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Input list e mapa" sheetId="2" state="visible" r:id="rId4"/>
    <sheet name="Cronograma" sheetId="3" state="visible" r:id="rId5"/>
    <sheet name="Registro do evento" sheetId="4" state="visible" r:id="rId6"/>
    <sheet name="Referência" sheetId="5" state="visible" r:id="rId7"/>
    <sheet name="Checklist" sheetId="6" state="visible" r:id="rId8"/>
    <sheet name="Exemplo - Input list" sheetId="7" state="visible" r:id="rId9"/>
  </sheets>
  <definedNames>
    <definedName function="false" hidden="false" localSheetId="5" name="_xlnm.Print_Area" vbProcedure="false">Checklist!$B$1:$F$20</definedName>
    <definedName function="false" hidden="false" localSheetId="2" name="_xlnm.Print_Area" vbProcedure="false">Cronograma!$B$1:$K$30</definedName>
    <definedName function="false" hidden="false" localSheetId="6" name="_xlnm.Print_Area" vbProcedure="false">'Exemplo - Input list'!$B$1:$M$69</definedName>
    <definedName function="false" hidden="false" localSheetId="1" name="_xlnm.Print_Area" vbProcedure="false">'Input list e mapa'!$B$1:$M$62</definedName>
    <definedName function="false" hidden="false" localSheetId="0" name="_xlnm.Print_Area" vbProcedure="false">Instruções!$B$1:$C$39</definedName>
    <definedName function="false" hidden="false" localSheetId="4" name="_xlnm.Print_Area" vbProcedure="false">Referência!$B$1:$E$46</definedName>
    <definedName function="false" hidden="false" localSheetId="3" name="_xlnm.Print_Area" vbProcedure="false">'Registro do evento'!$B$1:$K$59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1" authorId="0">
      <text>
        <r>
          <rPr>
            <sz val="10"/>
            <rFont val="Arial"/>
            <family val="2"/>
          </rPr>
          <t xml:space="preserve">Microfone: com fio.
Sem fio: o receptor entra na mesa ou na caixa de palco.
DI: instrumento por direct box.
Linha: fonte de linha ligada direto.</t>
        </r>
      </text>
    </comment>
    <comment ref="F11" authorId="0">
      <text>
        <r>
          <rPr>
            <sz val="10"/>
            <rFont val="Arial"/>
            <family val="2"/>
          </rPr>
          <t xml:space="preserve">O canal precisa da alimentação phantom (+48 V)?
Condensadores e direct boxes ativas costumam precisar.</t>
        </r>
      </text>
    </comment>
    <comment ref="H11" authorId="0">
      <text>
        <r>
          <rPr>
            <sz val="10"/>
            <rFont val="Arial"/>
            <family val="2"/>
          </rPr>
          <t xml:space="preserve">Em que entrada da caixa de palco ou do multicabo o cabo é ligado.
A mesma entrada em dois canais gera o aviso Entrada repetida.</t>
        </r>
      </text>
    </comment>
    <comment ref="I11" authorId="0">
      <text>
        <r>
          <rPr>
            <sz val="10"/>
            <rFont val="Arial"/>
            <family val="2"/>
          </rPr>
          <t xml:space="preserve">Posição do músico ou da fonte no palco.
O mapa no pé da aba é montado por esta coluna.</t>
        </r>
      </text>
    </comment>
    <comment ref="J11" authorId="0">
      <text>
        <r>
          <rPr>
            <sz val="10"/>
            <rFont val="Arial"/>
            <family val="2"/>
          </rPr>
          <t xml:space="preserve">Auxiliar ou mix de retorno em que quem toca este canal se ouve.</t>
        </r>
      </text>
    </comment>
    <comment ref="L11" authorId="0">
      <text>
        <r>
          <rPr>
            <sz val="10"/>
            <rFont val="Arial"/>
            <family val="2"/>
          </rPr>
          <t xml:space="preserve">OK só aparece quando a linha tem tipo, microfone ou DI, entrada sem repetição e line check OK.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9" authorId="0">
      <text>
        <r>
          <rPr>
            <sz val="10"/>
            <rFont val="Arial"/>
            <family val="2"/>
          </rPr>
          <t xml:space="preserve">Duração prevista, em minutos.
Os valores iniciais são um ponto de partida: troque pelos tempos da sua equipe.</t>
        </r>
      </text>
    </comment>
    <comment ref="F9" authorId="0">
      <text>
        <r>
          <rPr>
            <sz val="10"/>
            <rFont val="Arial"/>
            <family val="2"/>
          </rPr>
          <t xml:space="preserve">Contado para trás: a última etapa termina na abertura das portas, e cada etapa termina quando a seguinte começa.</t>
        </r>
      </text>
    </comment>
    <comment ref="H9" authorId="0">
      <text>
        <r>
          <rPr>
            <sz val="10"/>
            <rFont val="Arial"/>
            <family val="2"/>
          </rPr>
          <t xml:space="preserve">Hora em que a etapa terminou de fato, no formato 17:10.
Preencha durante a passagem.</t>
        </r>
      </text>
    </comment>
    <comment ref="I9" authorId="0">
      <text>
        <r>
          <rPr>
            <sz val="10"/>
            <rFont val="Arial"/>
            <family val="2"/>
          </rPr>
          <t xml:space="preserve">Diferença entre a hora real e o fim previsto.
Positivo: atrasou. Negativo: adiantou.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9" authorId="0">
      <text>
        <r>
          <rPr>
            <sz val="10"/>
            <rFont val="Arial"/>
            <family val="2"/>
          </rPr>
          <t xml:space="preserve">Leitura do medidor de nível sonoro, só o número.
Use sempre a mesma ponderação, a mesma resposta e o mesmo aparelho.</t>
        </r>
      </text>
    </comment>
    <comment ref="K24" authorId="0">
      <text>
        <r>
          <rPr>
            <sz val="10"/>
            <rFont val="Arial"/>
            <family val="2"/>
          </rPr>
          <t xml:space="preserve">Pendente: marcada para resolver antes do próximo evento e ainda não resolvida.</t>
        </r>
      </text>
    </comment>
  </commentList>
</comments>
</file>

<file path=xl/sharedStrings.xml><?xml version="1.0" encoding="utf-8"?>
<sst xmlns="http://schemas.openxmlformats.org/spreadsheetml/2006/main" count="623" uniqueCount="418">
  <si>
    <t xml:space="preserve">Passagem de som — como usar esta planilha</t>
  </si>
  <si>
    <t xml:space="preserve">Input list com mapa de palco, cronograma da passagem e registro do evento, para usar do planejamento à desmontagem.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</si>
  <si>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</si>
  <si>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</si>
  <si>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</si>
  <si>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</si>
  <si>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</si>
  <si>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</si>
  <si>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</si>
  <si>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</si>
  <si>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Tipo, phantom, pedestal, posição, line check, tipo de ocorrência e andamento aceitam só as opções da lista.</t>
  </si>
  <si>
    <t xml:space="preserve">Horas</t>
  </si>
  <si>
    <t xml:space="preserve">Digite as horas no formato 18:30. As durações são em minutos, só o número.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</si>
  <si>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</si>
  <si>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</si>
  <si>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</si>
  <si>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</si>
  <si>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Dias antes, aba Input list e mapa: liste os canais, com tipo, microfone ou DI, phantom, pedestal, entrada e retorno.</t>
  </si>
  <si>
    <t xml:space="preserve">2</t>
  </si>
  <si>
    <t xml:space="preserve">Dê a cada canal uma posição (de A1 a C5) e confira o mapa de palco no pé da aba. Anote os retornos e as tomadas.</t>
  </si>
  <si>
    <t xml:space="preserve">3</t>
  </si>
  <si>
    <t xml:space="preserve">Separe o material pelo resumo da aba: microfones, direct boxes, pedestais e cabos.</t>
  </si>
  <si>
    <t xml:space="preserve">4</t>
  </si>
  <si>
    <t xml:space="preserve">Aba Cronograma: informe a abertura das portas e a chegada da equipe, e ajuste as durações. Avise aos músicos a hora da rodada 1.</t>
  </si>
  <si>
    <t xml:space="preserve">5</t>
  </si>
  <si>
    <t xml:space="preserve">No dia, faça o line check e marque OK ou Problema em cada linha da input list. Resolva o que a coluna Situação apontar.</t>
  </si>
  <si>
    <t xml:space="preserve">6</t>
  </si>
  <si>
    <t xml:space="preserve">Durante a passagem, anote na aba Cronograma a hora em que cada etapa terminou.</t>
  </si>
  <si>
    <t xml:space="preserve">7</t>
  </si>
  <si>
    <t xml:space="preserve">Aba Registro do evento: informe a faixa de volume combinada, anote as leituras e registre as ocorrências na hora.</t>
  </si>
  <si>
    <t xml:space="preserve">8</t>
  </si>
  <si>
    <t xml:space="preserve">Aba Checklist: confira os doze itens. Depois do evento, veja as pendências e defina quem resolve.</t>
  </si>
  <si>
    <t xml:space="preserve">Abas da planilha</t>
  </si>
  <si>
    <t xml:space="preserve">Input list e mapa</t>
  </si>
  <si>
    <t xml:space="preserve">Lista de até 24 canais com a situação de cada linha, lista de material e mapa de palco em tabela.</t>
  </si>
  <si>
    <t xml:space="preserve">Cronograma</t>
  </si>
  <si>
    <t xml:space="preserve">Até 12 etapas, com início e fim contados para trás a partir da abertura das portas, folga e atrasos.</t>
  </si>
  <si>
    <t xml:space="preserve">Registro do evento</t>
  </si>
  <si>
    <t xml:space="preserve">Oito leituras de volume, comparadas com a faixa combinada, e até 20 ocorrências, com as pendências.</t>
  </si>
  <si>
    <t xml:space="preserve">Referência</t>
  </si>
  <si>
    <t xml:space="preserve">Line check e soundcheck, as três rodadas, prioridades de mixagem, faixas de volume e durações típicas.</t>
  </si>
  <si>
    <t xml:space="preserve">Checklist</t>
  </si>
  <si>
    <t xml:space="preserve">Os doze itens do treinamento, com percentual atendido.</t>
  </si>
  <si>
    <t xml:space="preserve">Exemplo - Input list</t>
  </si>
  <si>
    <t xml:space="preserve">Os dezesseis canais de um culto, como o line check os encontrou (exemplo 1 do treinamento).</t>
  </si>
  <si>
    <t xml:space="preserve">Regras e premissas do modelo</t>
  </si>
  <si>
    <t xml:space="preserve">Situação da linha</t>
  </si>
  <si>
    <t xml:space="preserve">OK exige tipo, microfone ou DI (menos em fonte de linha), entrada no palco sem repetição e line check OK.</t>
  </si>
  <si>
    <t xml:space="preserve">Entrada repetida</t>
  </si>
  <si>
    <t xml:space="preserve">O aviso aparece nas duas linhas que usam a mesma entrada. Fonte ligada direto na mesa: escreva M e o número do canal.</t>
  </si>
  <si>
    <t xml:space="preserve">Mapa de palco</t>
  </si>
  <si>
    <t xml:space="preserve">Três profundidades (A fundo, B meio, C frente) e cinco posições, de 1, esquerda, a 5, direita, vistas da plateia.</t>
  </si>
  <si>
    <t xml:space="preserve">A última etapa preenchida termina na abertura das portas. Preencha as etapas sem pular linhas. Eventos que cruzam a meia-noite não são tratados.</t>
  </si>
  <si>
    <t xml:space="preserve">Durações iniciais</t>
  </si>
  <si>
    <t xml:space="preserve">São um ponto de partida, típico de uma banda de seis a oito pessoas. Meça os tempos da sua equipe e troque.</t>
  </si>
  <si>
    <t xml:space="preserve">Faixa de volume</t>
  </si>
  <si>
    <t xml:space="preserve">A planilha não sugere a faixa: ela é combinada entre a equipe e a liderança, respeitando os limites de exposição ao som.</t>
  </si>
  <si>
    <t xml:space="preserve">Exemplo</t>
  </si>
  <si>
    <t xml:space="preserve">Os dados da aba de exemplo são ilustrativos, criados para este material.</t>
  </si>
  <si>
    <t xml:space="preserve">Input list e mapa de palco</t>
  </si>
  <si>
    <t xml:space="preserve">Preencha as células em amarelo-claro. As células cinza são calculadas. O mapa de palco fica no pé da aba.</t>
  </si>
  <si>
    <t xml:space="preserve">Evento</t>
  </si>
  <si>
    <t xml:space="preserve">Uma linha por canal da mesa, na mesma ordem toda semana.</t>
  </si>
  <si>
    <t xml:space="preserve">Local</t>
  </si>
  <si>
    <t xml:space="preserve">Entrada: número da entrada na caixa de palco. Fonte ligada direto na mesa: M e o número (M14).</t>
  </si>
  <si>
    <t xml:space="preserve">Data</t>
  </si>
  <si>
    <t xml:space="preserve">Posição: letra é a profundidade (A fundo, B meio, C frente); número vai de 1, esquerda, a 5, direita.</t>
  </si>
  <si>
    <t xml:space="preserve">Operador</t>
  </si>
  <si>
    <t xml:space="preserve">Esquerda e direita são sempre vistas da plateia, que é a visão de quem está na mesa.</t>
  </si>
  <si>
    <t xml:space="preserve">Mesa e caixa de palco</t>
  </si>
  <si>
    <t xml:space="preserve">Line check: marque OK ou Problema em cada linha, antes de a banda subir ao palco.</t>
  </si>
  <si>
    <t xml:space="preserve">Input list — uma linha por canal</t>
  </si>
  <si>
    <t xml:space="preserve">Canal</t>
  </si>
  <si>
    <t xml:space="preserve">Fonte</t>
  </si>
  <si>
    <t xml:space="preserve">Tipo</t>
  </si>
  <si>
    <t xml:space="preserve">Microfone ou DI</t>
  </si>
  <si>
    <t xml:space="preserve">Phantom</t>
  </si>
  <si>
    <t xml:space="preserve">Pedestal</t>
  </si>
  <si>
    <t xml:space="preserve">Entrada no palco</t>
  </si>
  <si>
    <t xml:space="preserve">Posição no mapa</t>
  </si>
  <si>
    <t xml:space="preserve">Retorno</t>
  </si>
  <si>
    <t xml:space="preserve">Line check</t>
  </si>
  <si>
    <t xml:space="preserve">Situação</t>
  </si>
  <si>
    <t xml:space="preserve">Observação</t>
  </si>
  <si>
    <t xml:space="preserve">nº na mesa</t>
  </si>
  <si>
    <t xml:space="preserve">o que entra no canal</t>
  </si>
  <si>
    <t xml:space="preserve">lista</t>
  </si>
  <si>
    <t xml:space="preserve">modelo ou tipo</t>
  </si>
  <si>
    <t xml:space="preserve">Sim / Não</t>
  </si>
  <si>
    <t xml:space="preserve">nº ou M+nº</t>
  </si>
  <si>
    <t xml:space="preserve">A1 a C5</t>
  </si>
  <si>
    <t xml:space="preserve">mix de quem toca</t>
  </si>
  <si>
    <t xml:space="preserve">OK / Problema</t>
  </si>
  <si>
    <t xml:space="preserve">Ex.</t>
  </si>
  <si>
    <t xml:space="preserve">Voz principal</t>
  </si>
  <si>
    <t xml:space="preserve">Sem fio</t>
  </si>
  <si>
    <t xml:space="preserve">Dinâmico de mão</t>
  </si>
  <si>
    <t xml:space="preserve">Não</t>
  </si>
  <si>
    <t xml:space="preserve">Reto</t>
  </si>
  <si>
    <t xml:space="preserve">C3</t>
  </si>
  <si>
    <t xml:space="preserve">Aux 1</t>
  </si>
  <si>
    <t xml:space="preserve">OK</t>
  </si>
  <si>
    <t xml:space="preserve">Pilhas novas.</t>
  </si>
  <si>
    <t xml:space="preserve">Resumo e lista de material</t>
  </si>
  <si>
    <t xml:space="preserve">Canais em uso</t>
  </si>
  <si>
    <t xml:space="preserve">A conta de cabos é o mínimo: some os cabos dos receptores sem fio, dos retornos e os de reserva.</t>
  </si>
  <si>
    <t xml:space="preserve">Microfones com fio</t>
  </si>
  <si>
    <t xml:space="preserve">Microfones sem fio</t>
  </si>
  <si>
    <t xml:space="preserve">Direct boxes (DI)</t>
  </si>
  <si>
    <t xml:space="preserve">Fontes de linha</t>
  </si>
  <si>
    <t xml:space="preserve">Canais com phantom</t>
  </si>
  <si>
    <t xml:space="preserve">Pedestais (girafa, reto e baixo)</t>
  </si>
  <si>
    <t xml:space="preserve">Cabos de microfone no palco (com fio e DI)</t>
  </si>
  <si>
    <t xml:space="preserve">Linhas com line check OK</t>
  </si>
  <si>
    <t xml:space="preserve">Linhas a resolver</t>
  </si>
  <si>
    <t xml:space="preserve">Aviso</t>
  </si>
  <si>
    <t xml:space="preserve">Mapa de palco — montado pela coluna Posição</t>
  </si>
  <si>
    <t xml:space="preserve">FUNDO DO PALCO</t>
  </si>
  <si>
    <t xml:space="preserve">1 · esquerda</t>
  </si>
  <si>
    <t xml:space="preserve">3 · centro</t>
  </si>
  <si>
    <t xml:space="preserve">5 · direita</t>
  </si>
  <si>
    <t xml:space="preserve">A
fundo</t>
  </si>
  <si>
    <t xml:space="preserve">B
meio</t>
  </si>
  <si>
    <t xml:space="preserve">C
frente</t>
  </si>
  <si>
    <t xml:space="preserve">PLATEIA  ·  esquerda e direita vistas da plateia (da mesa de som)</t>
  </si>
  <si>
    <t xml:space="preserve">Em cada posição: em cima, os canais que a input list põe ali (calculado); embaixo, anote os retornos e as tomadas.</t>
  </si>
  <si>
    <t xml:space="preserve">Cronograma da passagem — de trás para a frente</t>
  </si>
  <si>
    <t xml:space="preserve">Informe a hora de abrir as portas e as durações. A planilha calcula a hora de cada etapa e a hora em que a equipe precisa começar.</t>
  </si>
  <si>
    <t xml:space="preserve">Início do evento</t>
  </si>
  <si>
    <t xml:space="preserve">Só para registro. Digite as horas no formato 19:00.</t>
  </si>
  <si>
    <t xml:space="preserve">Abertura das portas</t>
  </si>
  <si>
    <t xml:space="preserve">A passagem precisa terminar antes desta hora.</t>
  </si>
  <si>
    <t xml:space="preserve">Responsável</t>
  </si>
  <si>
    <t xml:space="preserve">Chegada da equipe</t>
  </si>
  <si>
    <t xml:space="preserve">Hora em que a equipe pode começar a montar.</t>
  </si>
  <si>
    <t xml:space="preserve">Etapas, na ordem em que acontecem</t>
  </si>
  <si>
    <t xml:space="preserve">#</t>
  </si>
  <si>
    <t xml:space="preserve">Etapa</t>
  </si>
  <si>
    <t xml:space="preserve">Duração</t>
  </si>
  <si>
    <t xml:space="preserve">Início</t>
  </si>
  <si>
    <t xml:space="preserve">Fim</t>
  </si>
  <si>
    <t xml:space="preserve">Terminou às</t>
  </si>
  <si>
    <t xml:space="preserve">Atraso</t>
  </si>
  <si>
    <t xml:space="preserve">sem pular linhas</t>
  </si>
  <si>
    <t xml:space="preserve">minutos</t>
  </si>
  <si>
    <t xml:space="preserve">calculado</t>
  </si>
  <si>
    <t xml:space="preserve">hora real</t>
  </si>
  <si>
    <t xml:space="preserve">Montagem do palco e do sistema</t>
  </si>
  <si>
    <t xml:space="preserve">Ligar o sistema na ordem e zerar a mesa</t>
  </si>
  <si>
    <t xml:space="preserve">Line check: canais, retornos e caixas</t>
  </si>
  <si>
    <t xml:space="preserve">Rodada 1: ganho, canal por canal</t>
  </si>
  <si>
    <t xml:space="preserve">Rodada 2: retornos</t>
  </si>
  <si>
    <t xml:space="preserve">Rodada 3: PA e mistura</t>
  </si>
  <si>
    <t xml:space="preserve">Volume medido e caminhada pela sala</t>
  </si>
  <si>
    <t xml:space="preserve">Transições: fala, vídeo com som, música ambiente</t>
  </si>
  <si>
    <t xml:space="preserve">Folga</t>
  </si>
  <si>
    <t xml:space="preserve">Leitura do cronograma</t>
  </si>
  <si>
    <t xml:space="preserve">Duração total, em minutos</t>
  </si>
  <si>
    <t xml:space="preserve">A equipe precisa começar às</t>
  </si>
  <si>
    <t xml:space="preserve">Folga em relação à chegada da equipe, em minutos</t>
  </si>
  <si>
    <t xml:space="preserve">Maior atraso de uma etapa, em minutos</t>
  </si>
  <si>
    <t xml:space="preserve">Avise aos músicos a hora de início da rodada 1, e não a da montagem. As durações iniciais são típicas de uma banda de seis a oito pessoas.</t>
  </si>
  <si>
    <t xml:space="preserve">Registro do evento — volume e ocorrências</t>
  </si>
  <si>
    <t xml:space="preserve">Anote na hora, em poucas palavras. O que fica pendente aparece no resumo, para resolver antes do próximo evento.</t>
  </si>
  <si>
    <t xml:space="preserve">Faixa combinada: mínimo, em dB(A)</t>
  </si>
  <si>
    <t xml:space="preserve">A faixa é a que a equipe e a liderança combinarem.</t>
  </si>
  <si>
    <t xml:space="preserve">Faixa combinada: máximo, em dB(A)</t>
  </si>
  <si>
    <t xml:space="preserve">Exemplo de medição: dB(A), resposta lenta, meio da sala.</t>
  </si>
  <si>
    <t xml:space="preserve">Como e onde a faixa é medida</t>
  </si>
  <si>
    <t xml:space="preserve">Volume da sala — leituras ao longo do evento</t>
  </si>
  <si>
    <t xml:space="preserve">Hora</t>
  </si>
  <si>
    <t xml:space="preserve">Momento do evento</t>
  </si>
  <si>
    <t xml:space="preserve">Ponto de medição</t>
  </si>
  <si>
    <t xml:space="preserve">Leitura</t>
  </si>
  <si>
    <t xml:space="preserve">19:20</t>
  </si>
  <si>
    <t xml:space="preserve">louvor, pregação…</t>
  </si>
  <si>
    <t xml:space="preserve">meio da sala, mesa…</t>
  </si>
  <si>
    <t xml:space="preserve">dB(A), só o número</t>
  </si>
  <si>
    <t xml:space="preserve">Leituras registradas</t>
  </si>
  <si>
    <t xml:space="preserve">Leituras de pontos diferentes não se comparam direto: a primeira fileira costuma ler mais do que o meio da sala.</t>
  </si>
  <si>
    <t xml:space="preserve">Maior leitura, em dB(A)</t>
  </si>
  <si>
    <t xml:space="preserve">Leituras acima da faixa</t>
  </si>
  <si>
    <t xml:space="preserve">Ocorrências — o que aconteceu e o que fica para resolver</t>
  </si>
  <si>
    <t xml:space="preserve">Canal ou equipamento</t>
  </si>
  <si>
    <t xml:space="preserve">O que aconteceu</t>
  </si>
  <si>
    <t xml:space="preserve">O que foi feito na hora</t>
  </si>
  <si>
    <t xml:space="preserve">Resolver antes do próximo?</t>
  </si>
  <si>
    <t xml:space="preserve">Andamento</t>
  </si>
  <si>
    <t xml:space="preserve">Pendência</t>
  </si>
  <si>
    <t xml:space="preserve">19:42</t>
  </si>
  <si>
    <t xml:space="preserve">em poucas palavras</t>
  </si>
  <si>
    <t xml:space="preserve">Aberto / Resolvido</t>
  </si>
  <si>
    <t xml:space="preserve">Louvor, 3ª música</t>
  </si>
  <si>
    <t xml:space="preserve">Canal 6, violão</t>
  </si>
  <si>
    <t xml:space="preserve">Ruído</t>
  </si>
  <si>
    <t xml:space="preserve">Estalos ao mexer no cabo do violão.</t>
  </si>
  <si>
    <t xml:space="preserve">Cabo trocado entre as músicas.</t>
  </si>
  <si>
    <t xml:space="preserve">Sim</t>
  </si>
  <si>
    <t xml:space="preserve">Aberto</t>
  </si>
  <si>
    <t xml:space="preserve">Pendente</t>
  </si>
  <si>
    <t xml:space="preserve">Resumo das ocorrências</t>
  </si>
  <si>
    <t xml:space="preserve">Ocorrências registradas</t>
  </si>
  <si>
    <t xml:space="preserve">O tipo que mais se repete, semana após semana, mostra onde a equipe deve investir: cabos, pilhas, roteiro, treinamento.</t>
  </si>
  <si>
    <t xml:space="preserve">Pendentes para o próximo evento</t>
  </si>
  <si>
    <t xml:space="preserve">Tipo: Microfonia</t>
  </si>
  <si>
    <t xml:space="preserve">Tipo: Ruído</t>
  </si>
  <si>
    <t xml:space="preserve">Tipo: Sem sinal</t>
  </si>
  <si>
    <t xml:space="preserve">Tipo: Volume</t>
  </si>
  <si>
    <t xml:space="preserve">Tipo: Mute ou deixa</t>
  </si>
  <si>
    <t xml:space="preserve">Tipo: Sem fio</t>
  </si>
  <si>
    <t xml:space="preserve">Tipo: Mídia</t>
  </si>
  <si>
    <t xml:space="preserve">Tipo: Outro</t>
  </si>
  <si>
    <t xml:space="preserve">Referência — a passagem em tabelas</t>
  </si>
  <si>
    <t xml:space="preserve">Valores e durações típicos, para servir de ponto de partida. Ajuste à sua sala e à sua equipe.</t>
  </si>
  <si>
    <t xml:space="preserve">Line check e soundcheck</t>
  </si>
  <si>
    <t xml:space="preserve">Conferência</t>
  </si>
  <si>
    <t xml:space="preserve">Quem faz</t>
  </si>
  <si>
    <t xml:space="preserve">Quando</t>
  </si>
  <si>
    <t xml:space="preserve">O que se confere</t>
  </si>
  <si>
    <t xml:space="preserve">duas pessoas da equipe</t>
  </si>
  <si>
    <t xml:space="preserve">antes de a banda subir</t>
  </si>
  <si>
    <t xml:space="preserve">Cada linha chega ao canal certo, sem ruído. Phantom onde precisa. Cada retorno e cada caixa tocando.</t>
  </si>
  <si>
    <t xml:space="preserve">Soundcheck (passagem)</t>
  </si>
  <si>
    <t xml:space="preserve">o operador e os músicos</t>
  </si>
  <si>
    <t xml:space="preserve">depois do line check</t>
  </si>
  <si>
    <t xml:space="preserve">Nível e timbre de cada canal, retorno de cada músico, mistura da sala e volume.</t>
  </si>
  <si>
    <t xml:space="preserve">As três rodadas da passagem</t>
  </si>
  <si>
    <t xml:space="preserve">Rodada</t>
  </si>
  <si>
    <t xml:space="preserve">Quem toca</t>
  </si>
  <si>
    <t xml:space="preserve">Caixas da frente</t>
  </si>
  <si>
    <t xml:space="preserve">O que o operador faz</t>
  </si>
  <si>
    <t xml:space="preserve">1 · Ganho</t>
  </si>
  <si>
    <t xml:space="preserve">um músico por vez</t>
  </si>
  <si>
    <t xml:space="preserve">fechadas</t>
  </si>
  <si>
    <t xml:space="preserve">Ganho pelo medidor, com o PFL, no volume real. Filtro de graves e equalização básica. Anota o ganho.</t>
  </si>
  <si>
    <t xml:space="preserve">2 · Retornos</t>
  </si>
  <si>
    <t xml:space="preserve">a banda, um trecho</t>
  </si>
  <si>
    <t xml:space="preserve">fechadas ou baixas</t>
  </si>
  <si>
    <t xml:space="preserve">Um retorno por vez: primeiro o próprio músico, depois o que serve de guia. Abre o PA no fim e confirma.</t>
  </si>
  <si>
    <t xml:space="preserve">3 · PA</t>
  </si>
  <si>
    <t xml:space="preserve">a banda, uma música inteira</t>
  </si>
  <si>
    <t xml:space="preserve">no volume do evento</t>
  </si>
  <si>
    <t xml:space="preserve">Base primeiro, voz por cima. Mede o volume, caminha pela sala, passa as transições e salva a cena.</t>
  </si>
  <si>
    <t xml:space="preserve">Prioridades da mistura por tipo de evento</t>
  </si>
  <si>
    <t xml:space="preserve">Prioridade</t>
  </si>
  <si>
    <t xml:space="preserve">O que fica aberto</t>
  </si>
  <si>
    <t xml:space="preserve">Como a mistura se organiza</t>
  </si>
  <si>
    <t xml:space="preserve">Louvor congregacional</t>
  </si>
  <si>
    <t xml:space="preserve">a letra e a melodia</t>
  </si>
  <si>
    <t xml:space="preserve">banda, vozes e reverb</t>
  </si>
  <si>
    <t xml:space="preserve">Voz principal clara, apoio logo abaixo, base firme. O público precisa conseguir se ouvir cantando.</t>
  </si>
  <si>
    <t xml:space="preserve">Pregação, palestra, leitura</t>
  </si>
  <si>
    <t xml:space="preserve">cada palavra</t>
  </si>
  <si>
    <t xml:space="preserve">só o microfone de quem fala</t>
  </si>
  <si>
    <t xml:space="preserve">Sem reverb. Música de fundo, se houver, de 10 a 20 dB abaixo da voz, acertada pelo ouvido.</t>
  </si>
  <si>
    <t xml:space="preserve">Apresentação musical, coral</t>
  </si>
  <si>
    <t xml:space="preserve">o conjunto</t>
  </si>
  <si>
    <t xml:space="preserve">os microfones do grupo</t>
  </si>
  <si>
    <t xml:space="preserve">O equilíbrio vem do palco. O PA reforça por igual e destaca solos.</t>
  </si>
  <si>
    <t xml:space="preserve">Formatura, cerimônia</t>
  </si>
  <si>
    <t xml:space="preserve">os nomes e os discursos</t>
  </si>
  <si>
    <t xml:space="preserve">um microfone por vez</t>
  </si>
  <si>
    <t xml:space="preserve">Vídeos no nível da fala. Música de entrada mais forte, baixada antes de alguém falar.</t>
  </si>
  <si>
    <t xml:space="preserve">Volume na plateia — faixas típicas, em dB(A), resposta lenta</t>
  </si>
  <si>
    <t xml:space="preserve">Faixa típica</t>
  </si>
  <si>
    <t xml:space="preserve">Onde medir</t>
  </si>
  <si>
    <t xml:space="preserve">Conversa a um metro</t>
  </si>
  <si>
    <t xml:space="preserve">55 a 65</t>
  </si>
  <si>
    <t xml:space="preserve">–</t>
  </si>
  <si>
    <t xml:space="preserve">Só para comparar.</t>
  </si>
  <si>
    <t xml:space="preserve">Palestra, pregação, leitura</t>
  </si>
  <si>
    <t xml:space="preserve">65 a 75</t>
  </si>
  <si>
    <t xml:space="preserve">meio da sala</t>
  </si>
  <si>
    <t xml:space="preserve">A voz precisa ficar bem acima do ruído da sala.</t>
  </si>
  <si>
    <t xml:space="preserve">Culto ou evento com banda</t>
  </si>
  <si>
    <t xml:space="preserve">80 a 95</t>
  </si>
  <si>
    <t xml:space="preserve">Depende do estilo, da sala e do público. A faixa do seu evento é a que for combinada.</t>
  </si>
  <si>
    <t xml:space="preserve">Show com banda forte</t>
  </si>
  <si>
    <t xml:space="preserve">95 a 105</t>
  </si>
  <si>
    <t xml:space="preserve">Exige cuidado com o tempo de exposição da equipe e do público.</t>
  </si>
  <si>
    <t xml:space="preserve">Diferença entre a frente e o fundo</t>
  </si>
  <si>
    <t xml:space="preserve">até uns 6 dB</t>
  </si>
  <si>
    <t xml:space="preserve">primeira fileira e fundo</t>
  </si>
  <si>
    <t xml:space="preserve">Acima disso, o problema é de cobertura das caixas ou de som de palco, e não de fader.</t>
  </si>
  <si>
    <t xml:space="preserve">Durações típicas das etapas</t>
  </si>
  <si>
    <t xml:space="preserve">Quem participa</t>
  </si>
  <si>
    <t xml:space="preserve">45 a 90 min</t>
  </si>
  <si>
    <t xml:space="preserve">equipe técnica</t>
  </si>
  <si>
    <t xml:space="preserve">Depende de quanto fica montado de uma semana para a outra.</t>
  </si>
  <si>
    <t xml:space="preserve">15 a 30 min</t>
  </si>
  <si>
    <t xml:space="preserve">Cerca de um minuto por canal, mais os retornos e as caixas.</t>
  </si>
  <si>
    <t xml:space="preserve">Rodada 1: ganho</t>
  </si>
  <si>
    <t xml:space="preserve">20 a 40 min</t>
  </si>
  <si>
    <t xml:space="preserve">equipe e músicos</t>
  </si>
  <si>
    <t xml:space="preserve">Um a dois minutos por canal.</t>
  </si>
  <si>
    <t xml:space="preserve">Cerca de cinco minutos por retorno.</t>
  </si>
  <si>
    <t xml:space="preserve">Uma ou duas músicas inteiras.</t>
  </si>
  <si>
    <t xml:space="preserve">Volume, caminhada e transições</t>
  </si>
  <si>
    <t xml:space="preserve">15 a 20 min</t>
  </si>
  <si>
    <t xml:space="preserve">equipe e quem fala</t>
  </si>
  <si>
    <t xml:space="preserve">Inclui tocar cada vídeo e cada música de fundo por alguns segundos.</t>
  </si>
  <si>
    <t xml:space="preserve">10 a 15 min</t>
  </si>
  <si>
    <t xml:space="preserve">Absorve atrasos. Sem ela, qualquer imprevisto empurra a passagem para depois da abertura das portas.</t>
  </si>
  <si>
    <t xml:space="preserve">Durante o evento: resposta rápida</t>
  </si>
  <si>
    <t xml:space="preserve">Imprevisto</t>
  </si>
  <si>
    <t xml:space="preserve">Primeira ação</t>
  </si>
  <si>
    <t xml:space="preserve">Depois</t>
  </si>
  <si>
    <t xml:space="preserve">Registro</t>
  </si>
  <si>
    <t xml:space="preserve">Apito (microfonia)</t>
  </si>
  <si>
    <t xml:space="preserve">baixar alguns dB o fader ou o envio suspeito</t>
  </si>
  <si>
    <t xml:space="preserve">investigar a causa</t>
  </si>
  <si>
    <t xml:space="preserve">Canal, momento e o que estava aberto.</t>
  </si>
  <si>
    <t xml:space="preserve">Microfone falhou</t>
  </si>
  <si>
    <t xml:space="preserve">trocar pelo microfone reserva</t>
  </si>
  <si>
    <t xml:space="preserve">testar pilha, cabo e canal</t>
  </si>
  <si>
    <t xml:space="preserve">Qual microfone, e o que se achou.</t>
  </si>
  <si>
    <t xml:space="preserve">Ruído forte em um canal</t>
  </si>
  <si>
    <t xml:space="preserve">fechar o canal</t>
  </si>
  <si>
    <t xml:space="preserve">trocar o cabo no intervalo</t>
  </si>
  <si>
    <t xml:space="preserve">Marcar o cabo para conserto.</t>
  </si>
  <si>
    <t xml:space="preserve">Primeira palavra perdida</t>
  </si>
  <si>
    <t xml:space="preserve">abrir o microfone</t>
  </si>
  <si>
    <t xml:space="preserve">marcar a deixa no roteiro</t>
  </si>
  <si>
    <t xml:space="preserve">Em que transição aconteceu.</t>
  </si>
  <si>
    <t xml:space="preserve">Valores típicos, que variam com a sala, o sistema, o estilo e a equipe. Não são norma: servem de ponto de partida para a conversa e para o cronograma.</t>
  </si>
  <si>
    <t xml:space="preserve">Checklist da passagem de som</t>
  </si>
  <si>
    <t xml:space="preserve">Confira ao longo do dia do evento. Escolha a situação de cada item na lista suspensa.</t>
  </si>
  <si>
    <t xml:space="preserve">Grupo</t>
  </si>
  <si>
    <t xml:space="preserve">Item</t>
  </si>
  <si>
    <t xml:space="preserve">Preparação</t>
  </si>
  <si>
    <t xml:space="preserve">A input list está completa e ao lado da mesa: canal, fonte, microfone ou DI, entrada no palco e retorno.</t>
  </si>
  <si>
    <t xml:space="preserve">O mapa de palco mostra cada posição, os retornos e as tomadas.</t>
  </si>
  <si>
    <t xml:space="preserve">O cronograma foi montado de trás para a frente, e a passagem termina antes de abrir as portas.</t>
  </si>
  <si>
    <t xml:space="preserve">Montagem</t>
  </si>
  <si>
    <t xml:space="preserve">Os cabos estão presos e fora dos caminhos, e o sistema foi ligado na ordem, com a mesa zerada.</t>
  </si>
  <si>
    <t xml:space="preserve">O line check foi feito em todos os canais, retornos e caixas, e as pendências foram resolvidas.</t>
  </si>
  <si>
    <t xml:space="preserve">Passagem</t>
  </si>
  <si>
    <t xml:space="preserve">O ganho foi ajustado canal por canal, com cada fonte no volume real do evento.</t>
  </si>
  <si>
    <t xml:space="preserve">Cada músico confirmou o retorno com a banda tocando junta e com o PA aberto.</t>
  </si>
  <si>
    <t xml:space="preserve">A mistura foi montada com uma música inteira: base firme, voz por cima, letra entendida.</t>
  </si>
  <si>
    <t xml:space="preserve">O volume foi medido e está na faixa combinada, e a sala foi ouvida na frente, no meio e no fundo.</t>
  </si>
  <si>
    <t xml:space="preserve">As transições foram passadas (fala, vídeo com som, música ambiente), e a cena foi salva ou a mesa fotografada.</t>
  </si>
  <si>
    <t xml:space="preserve">Operação</t>
  </si>
  <si>
    <t xml:space="preserve">Durante o evento, os microfones sem uso ficam fechados, e o operador tem o roteiro e olha o palco.</t>
  </si>
  <si>
    <t xml:space="preserve">As ocorrências foram anotadas com a hora, o sistema foi desligado na ordem, e as pendências têm responsável.</t>
  </si>
  <si>
    <t xml:space="preserve">Itens respondidos</t>
  </si>
  <si>
    <t xml:space="preserve">Percentual atendido (Parcial vale metade)</t>
  </si>
  <si>
    <t xml:space="preserve">Exemplo preenchido, para consulta. Use a aba Input list e mapa para o seu evento.</t>
  </si>
  <si>
    <t xml:space="preserve">Culto de domingo, 19 h (portas às 18h30)</t>
  </si>
  <si>
    <t xml:space="preserve">Igreja de 200 lugares</t>
  </si>
  <si>
    <t xml:space="preserve">Operador de som da escala</t>
  </si>
  <si>
    <t xml:space="preserve">Mesa digital de 16 canais, caixa de palco com multicabo</t>
  </si>
  <si>
    <t xml:space="preserve">Estado em que o line check encontrou as linhas, antes das correções. A coluna Situação e o resumo são calculados.</t>
  </si>
  <si>
    <t xml:space="preserve">Bumbo</t>
  </si>
  <si>
    <t xml:space="preserve">Microfone</t>
  </si>
  <si>
    <t xml:space="preserve">Dinâmico de bumbo</t>
  </si>
  <si>
    <t xml:space="preserve">Baixo</t>
  </si>
  <si>
    <t xml:space="preserve">A3</t>
  </si>
  <si>
    <t xml:space="preserve">Aux 4</t>
  </si>
  <si>
    <t xml:space="preserve">Dentro do bumbo, perto da pele.</t>
  </si>
  <si>
    <t xml:space="preserve">Caixa da bateria</t>
  </si>
  <si>
    <t xml:space="preserve">Dinâmico</t>
  </si>
  <si>
    <t xml:space="preserve">Over da bateria, lado E</t>
  </si>
  <si>
    <t xml:space="preserve">Condensador</t>
  </si>
  <si>
    <t xml:space="preserve">Girafa</t>
  </si>
  <si>
    <t xml:space="preserve">Não vai para os retornos.</t>
  </si>
  <si>
    <t xml:space="preserve">Over da bateria, lado D</t>
  </si>
  <si>
    <t xml:space="preserve">DI</t>
  </si>
  <si>
    <t xml:space="preserve">DI ativa</t>
  </si>
  <si>
    <t xml:space="preserve">A2</t>
  </si>
  <si>
    <t xml:space="preserve">Saída paralela da DI para o amplificador.</t>
  </si>
  <si>
    <t xml:space="preserve">Violão</t>
  </si>
  <si>
    <t xml:space="preserve">DI passiva</t>
  </si>
  <si>
    <t xml:space="preserve">B2</t>
  </si>
  <si>
    <t xml:space="preserve">Aux 3</t>
  </si>
  <si>
    <t xml:space="preserve">Problema</t>
  </si>
  <si>
    <t xml:space="preserve">Sem sinal na mesa.</t>
  </si>
  <si>
    <t xml:space="preserve">Teclado, lado E</t>
  </si>
  <si>
    <t xml:space="preserve">A4</t>
  </si>
  <si>
    <t xml:space="preserve">Aux 2</t>
  </si>
  <si>
    <t xml:space="preserve">Teclado, lado D</t>
  </si>
  <si>
    <t xml:space="preserve">Não aparece na mesa.</t>
  </si>
  <si>
    <t xml:space="preserve">Pilhas novas. Receptor ao lado do palco.</t>
  </si>
  <si>
    <t xml:space="preserve">Voz de apoio 1</t>
  </si>
  <si>
    <t xml:space="preserve">C4</t>
  </si>
  <si>
    <t xml:space="preserve">Voz de apoio 2</t>
  </si>
  <si>
    <t xml:space="preserve">C5</t>
  </si>
  <si>
    <t xml:space="preserve">Pastor</t>
  </si>
  <si>
    <t xml:space="preserve">Headset</t>
  </si>
  <si>
    <t xml:space="preserve">Púlpito</t>
  </si>
  <si>
    <t xml:space="preserve">Condensador de púlpito</t>
  </si>
  <si>
    <t xml:space="preserve">C2</t>
  </si>
  <si>
    <t xml:space="preserve">Computador, lado E</t>
  </si>
  <si>
    <t xml:space="preserve">Linha</t>
  </si>
  <si>
    <t xml:space="preserve">M14</t>
  </si>
  <si>
    <t xml:space="preserve">Vídeos e música ambiente. Direto na mesa.</t>
  </si>
  <si>
    <t xml:space="preserve">Computador, lado D</t>
  </si>
  <si>
    <t xml:space="preserve">M15</t>
  </si>
  <si>
    <t xml:space="preserve">Direto na mesa.</t>
  </si>
  <si>
    <t xml:space="preserve">Microfone reserva</t>
  </si>
  <si>
    <t xml:space="preserve">Com fio, ao lado do púlpito.</t>
  </si>
  <si>
    <t xml:space="preserve">Caixa de palco</t>
  </si>
  <si>
    <t xml:space="preserve">1 tomada (amplificador do baixo)</t>
  </si>
  <si>
    <t xml:space="preserve">Retorno R4 (bateria e baixo)</t>
  </si>
  <si>
    <t xml:space="preserve">1 tomada (teclado)</t>
  </si>
  <si>
    <t xml:space="preserve">Retorno R3 · 1 tomada</t>
  </si>
  <si>
    <t xml:space="preserve">Retorno R1</t>
  </si>
  <si>
    <t xml:space="preserve">Retorno R2</t>
  </si>
  <si>
    <t xml:space="preserve">O que foi corrigido depois do line check</t>
  </si>
  <si>
    <t xml:space="preserve">O que foi feito</t>
  </si>
  <si>
    <t xml:space="preserve">Situação depois</t>
  </si>
  <si>
    <t xml:space="preserve">Sem sinal na mesa. Com outro cabo entre a DI e a caixa de palco, o sinal chegou: cabo trocado e separado para conserto.</t>
  </si>
  <si>
    <t xml:space="preserve">7 e 8</t>
  </si>
  <si>
    <t xml:space="preserve">A lista apontava a entrada 7 para os dois lados do teclado. Teclado D ligado na entrada 8, e a lista corrigida.</t>
  </si>
  <si>
    <t xml:space="preserve">16</t>
  </si>
  <si>
    <t xml:space="preserve">Microfone reserva ligado ao lado do púlpito e testado.</t>
  </si>
  <si>
    <t xml:space="preserve">Todos</t>
  </si>
  <si>
    <t xml:space="preserve">As dezesseis linhas estavam certas quando a banda subiu ao palco. Line check feito em 20 minutos, por duas pessoas.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</si>
</sst>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hh:mm"/>
    <numFmt numFmtId="168" formatCode="\+0;\-0;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99330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D9EEEB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31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31.5" hidden="false" customHeight="true" outlineLevel="0" collapsed="false">
      <c r="B19" s="8" t="s">
        <v>28</v>
      </c>
      <c r="C19" s="7" t="s">
        <v>29</v>
      </c>
    </row>
    <row r="20" customFormat="false" ht="19.5" hidden="false" customHeight="true" outlineLevel="0" collapsed="false">
      <c r="B20" s="8" t="s">
        <v>30</v>
      </c>
      <c r="C20" s="7" t="s">
        <v>31</v>
      </c>
    </row>
    <row r="22" customFormat="false" ht="21.75" hidden="false" customHeight="true" outlineLevel="0" collapsed="false">
      <c r="B22" s="3" t="s">
        <v>32</v>
      </c>
      <c r="C22" s="3"/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31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8" customFormat="false" ht="19.5" hidden="false" customHeight="true" outlineLevel="0" collapsed="false">
      <c r="B28" s="4" t="s">
        <v>43</v>
      </c>
      <c r="C28" s="7" t="s">
        <v>44</v>
      </c>
    </row>
    <row r="30" customFormat="false" ht="21.75" hidden="false" customHeight="true" outlineLevel="0" collapsed="false">
      <c r="B30" s="3" t="s">
        <v>45</v>
      </c>
      <c r="C30" s="3"/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35</v>
      </c>
      <c r="C34" s="7" t="s">
        <v>52</v>
      </c>
    </row>
    <row r="35" customFormat="false" ht="31.5" hidden="false" customHeight="true" outlineLevel="0" collapsed="false">
      <c r="B35" s="4" t="s">
        <v>53</v>
      </c>
      <c r="C35" s="7" t="s">
        <v>54</v>
      </c>
    </row>
    <row r="36" customFormat="false" ht="31.5" hidden="false" customHeight="true" outlineLevel="0" collapsed="false">
      <c r="B36" s="4" t="s">
        <v>55</v>
      </c>
      <c r="C36" s="7" t="s">
        <v>56</v>
      </c>
    </row>
    <row r="37" customFormat="false" ht="19.5" hidden="false" customHeight="true" outlineLevel="0" collapsed="false">
      <c r="B37" s="4" t="s">
        <v>57</v>
      </c>
      <c r="C37" s="7" t="s">
        <v>58</v>
      </c>
    </row>
  </sheetData>
  <mergeCells count="6">
    <mergeCell ref="B1:C1"/>
    <mergeCell ref="B2:C2"/>
    <mergeCell ref="B4:C4"/>
    <mergeCell ref="B12:C12"/>
    <mergeCell ref="B22:C22"/>
    <mergeCell ref="B30:C3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M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34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5"/>
      <c r="G4" s="5"/>
      <c r="H4" s="5"/>
      <c r="I4" s="9" t="s">
        <v>62</v>
      </c>
      <c r="J4" s="9"/>
      <c r="K4" s="9"/>
      <c r="L4" s="9"/>
      <c r="M4" s="9"/>
    </row>
    <row r="5" customFormat="false" ht="21.75" hidden="false" customHeight="true" outlineLevel="0" collapsed="false">
      <c r="B5" s="4" t="s">
        <v>63</v>
      </c>
      <c r="C5" s="4"/>
      <c r="D5" s="5"/>
      <c r="E5" s="5"/>
      <c r="F5" s="5"/>
      <c r="G5" s="5"/>
      <c r="H5" s="5"/>
      <c r="I5" s="9" t="s">
        <v>64</v>
      </c>
      <c r="J5" s="9"/>
      <c r="K5" s="9"/>
      <c r="L5" s="9"/>
      <c r="M5" s="9"/>
    </row>
    <row r="6" customFormat="false" ht="21.75" hidden="false" customHeight="true" outlineLevel="0" collapsed="false">
      <c r="B6" s="4" t="s">
        <v>65</v>
      </c>
      <c r="C6" s="4"/>
      <c r="D6" s="10"/>
      <c r="E6" s="10"/>
      <c r="F6" s="10"/>
      <c r="G6" s="10"/>
      <c r="H6" s="10"/>
      <c r="I6" s="9" t="s">
        <v>66</v>
      </c>
      <c r="J6" s="9"/>
      <c r="K6" s="9"/>
      <c r="L6" s="9"/>
      <c r="M6" s="9"/>
    </row>
    <row r="7" customFormat="false" ht="21.75" hidden="false" customHeight="true" outlineLevel="0" collapsed="false">
      <c r="B7" s="4" t="s">
        <v>67</v>
      </c>
      <c r="C7" s="4"/>
      <c r="D7" s="5"/>
      <c r="E7" s="5"/>
      <c r="F7" s="5"/>
      <c r="G7" s="5"/>
      <c r="H7" s="5"/>
      <c r="I7" s="9" t="s">
        <v>68</v>
      </c>
      <c r="J7" s="9"/>
      <c r="K7" s="9"/>
      <c r="L7" s="9"/>
      <c r="M7" s="9"/>
    </row>
    <row r="8" customFormat="false" ht="21.75" hidden="false" customHeight="true" outlineLevel="0" collapsed="false">
      <c r="B8" s="4" t="s">
        <v>69</v>
      </c>
      <c r="C8" s="4"/>
      <c r="D8" s="5"/>
      <c r="E8" s="5"/>
      <c r="F8" s="5"/>
      <c r="G8" s="5"/>
      <c r="H8" s="5"/>
      <c r="I8" s="9" t="s">
        <v>70</v>
      </c>
      <c r="J8" s="9"/>
      <c r="K8" s="9"/>
      <c r="L8" s="9"/>
      <c r="M8" s="9"/>
    </row>
    <row r="10" customFormat="false" ht="21.75" hidden="false" customHeight="true" outlineLevel="0" collapsed="false">
      <c r="B10" s="11" t="s">
        <v>71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30" hidden="false" customHeight="true" outlineLevel="0" collapsed="false">
      <c r="B11" s="12" t="s">
        <v>72</v>
      </c>
      <c r="C11" s="12" t="s">
        <v>73</v>
      </c>
      <c r="D11" s="13" t="s">
        <v>74</v>
      </c>
      <c r="E11" s="13" t="s">
        <v>75</v>
      </c>
      <c r="F11" s="13" t="s">
        <v>76</v>
      </c>
      <c r="G11" s="13" t="s">
        <v>77</v>
      </c>
      <c r="H11" s="13" t="s">
        <v>78</v>
      </c>
      <c r="I11" s="13" t="s">
        <v>79</v>
      </c>
      <c r="J11" s="13" t="s">
        <v>80</v>
      </c>
      <c r="K11" s="14" t="s">
        <v>81</v>
      </c>
      <c r="L11" s="15" t="s">
        <v>82</v>
      </c>
      <c r="M11" s="12" t="s">
        <v>83</v>
      </c>
    </row>
    <row r="12" customFormat="false" ht="27" hidden="false" customHeight="true" outlineLevel="0" collapsed="false">
      <c r="B12" s="16" t="s">
        <v>84</v>
      </c>
      <c r="C12" s="16" t="s">
        <v>85</v>
      </c>
      <c r="D12" s="16" t="s">
        <v>86</v>
      </c>
      <c r="E12" s="16" t="s">
        <v>87</v>
      </c>
      <c r="F12" s="16" t="s">
        <v>88</v>
      </c>
      <c r="G12" s="16" t="s">
        <v>86</v>
      </c>
      <c r="H12" s="16" t="s">
        <v>89</v>
      </c>
      <c r="I12" s="16" t="s">
        <v>90</v>
      </c>
      <c r="J12" s="16" t="s">
        <v>91</v>
      </c>
      <c r="K12" s="16" t="s">
        <v>92</v>
      </c>
      <c r="L12" s="16"/>
      <c r="M12" s="16"/>
    </row>
    <row r="13" customFormat="false" ht="24" hidden="false" customHeight="true" outlineLevel="0" collapsed="false">
      <c r="B13" s="16" t="s">
        <v>93</v>
      </c>
      <c r="C13" s="9" t="s">
        <v>94</v>
      </c>
      <c r="D13" s="16" t="s">
        <v>95</v>
      </c>
      <c r="E13" s="9" t="s">
        <v>96</v>
      </c>
      <c r="F13" s="16" t="s">
        <v>97</v>
      </c>
      <c r="G13" s="16" t="s">
        <v>98</v>
      </c>
      <c r="H13" s="16" t="n">
        <v>9</v>
      </c>
      <c r="I13" s="16" t="s">
        <v>99</v>
      </c>
      <c r="J13" s="16" t="s">
        <v>100</v>
      </c>
      <c r="K13" s="16" t="s">
        <v>101</v>
      </c>
      <c r="L13" s="16" t="s">
        <v>101</v>
      </c>
      <c r="M13" s="9" t="s">
        <v>102</v>
      </c>
    </row>
    <row r="14" customFormat="false" ht="21.75" hidden="false" customHeight="true" outlineLevel="0" collapsed="false">
      <c r="B14" s="17" t="n">
        <v>1</v>
      </c>
      <c r="C14" s="5"/>
      <c r="D14" s="18"/>
      <c r="E14" s="5"/>
      <c r="F14" s="18"/>
      <c r="G14" s="18"/>
      <c r="H14" s="18"/>
      <c r="I14" s="18"/>
      <c r="J14" s="18"/>
      <c r="K14" s="18"/>
      <c r="L14" s="19" t="str">
        <f aca="false">IF(C14="","",IF(D14="","Falta o tipo",IF(AND(D14&lt;&gt;"Linha",E14=""),"Falta microfone ou DI",IF(H14="","Falta a entrada",IF(COUNTIF($H$14:$H$37,H14)&gt;1,"Entrada repetida",IF(K14="Problema","Linha com problema",IF(K14="","Sem line check","OK")))))))</f>
        <v/>
      </c>
      <c r="M14" s="5"/>
    </row>
    <row r="15" customFormat="false" ht="21.75" hidden="false" customHeight="true" outlineLevel="0" collapsed="false">
      <c r="B15" s="17" t="n">
        <v>2</v>
      </c>
      <c r="C15" s="5"/>
      <c r="D15" s="18"/>
      <c r="E15" s="5"/>
      <c r="F15" s="18"/>
      <c r="G15" s="18"/>
      <c r="H15" s="18"/>
      <c r="I15" s="18"/>
      <c r="J15" s="18"/>
      <c r="K15" s="18"/>
      <c r="L15" s="19" t="str">
        <f aca="false">IF(C15="","",IF(D15="","Falta o tipo",IF(AND(D15&lt;&gt;"Linha",E15=""),"Falta microfone ou DI",IF(H15="","Falta a entrada",IF(COUNTIF($H$14:$H$37,H15)&gt;1,"Entrada repetida",IF(K15="Problema","Linha com problema",IF(K15="","Sem line check","OK")))))))</f>
        <v/>
      </c>
      <c r="M15" s="5"/>
    </row>
    <row r="16" customFormat="false" ht="21.75" hidden="false" customHeight="true" outlineLevel="0" collapsed="false">
      <c r="B16" s="17" t="n">
        <v>3</v>
      </c>
      <c r="C16" s="5"/>
      <c r="D16" s="18"/>
      <c r="E16" s="5"/>
      <c r="F16" s="18"/>
      <c r="G16" s="18"/>
      <c r="H16" s="18"/>
      <c r="I16" s="18"/>
      <c r="J16" s="18"/>
      <c r="K16" s="18"/>
      <c r="L16" s="19" t="str">
        <f aca="false">IF(C16="","",IF(D16="","Falta o tipo",IF(AND(D16&lt;&gt;"Linha",E16=""),"Falta microfone ou DI",IF(H16="","Falta a entrada",IF(COUNTIF($H$14:$H$37,H16)&gt;1,"Entrada repetida",IF(K16="Problema","Linha com problema",IF(K16="","Sem line check","OK")))))))</f>
        <v/>
      </c>
      <c r="M16" s="5"/>
    </row>
    <row r="17" customFormat="false" ht="21.75" hidden="false" customHeight="true" outlineLevel="0" collapsed="false">
      <c r="B17" s="17" t="n">
        <v>4</v>
      </c>
      <c r="C17" s="5"/>
      <c r="D17" s="18"/>
      <c r="E17" s="5"/>
      <c r="F17" s="18"/>
      <c r="G17" s="18"/>
      <c r="H17" s="18"/>
      <c r="I17" s="18"/>
      <c r="J17" s="18"/>
      <c r="K17" s="18"/>
      <c r="L17" s="19" t="str">
        <f aca="false">IF(C17="","",IF(D17="","Falta o tipo",IF(AND(D17&lt;&gt;"Linha",E17=""),"Falta microfone ou DI",IF(H17="","Falta a entrada",IF(COUNTIF($H$14:$H$37,H17)&gt;1,"Entrada repetida",IF(K17="Problema","Linha com problema",IF(K17="","Sem line check","OK")))))))</f>
        <v/>
      </c>
      <c r="M17" s="5"/>
    </row>
    <row r="18" customFormat="false" ht="21.75" hidden="false" customHeight="true" outlineLevel="0" collapsed="false">
      <c r="B18" s="17" t="n">
        <v>5</v>
      </c>
      <c r="C18" s="5"/>
      <c r="D18" s="18"/>
      <c r="E18" s="5"/>
      <c r="F18" s="18"/>
      <c r="G18" s="18"/>
      <c r="H18" s="18"/>
      <c r="I18" s="18"/>
      <c r="J18" s="18"/>
      <c r="K18" s="18"/>
      <c r="L18" s="19" t="str">
        <f aca="false">IF(C18="","",IF(D18="","Falta o tipo",IF(AND(D18&lt;&gt;"Linha",E18=""),"Falta microfone ou DI",IF(H18="","Falta a entrada",IF(COUNTIF($H$14:$H$37,H18)&gt;1,"Entrada repetida",IF(K18="Problema","Linha com problema",IF(K18="","Sem line check","OK")))))))</f>
        <v/>
      </c>
      <c r="M18" s="5"/>
    </row>
    <row r="19" customFormat="false" ht="21.75" hidden="false" customHeight="true" outlineLevel="0" collapsed="false">
      <c r="B19" s="17" t="n">
        <v>6</v>
      </c>
      <c r="C19" s="5"/>
      <c r="D19" s="18"/>
      <c r="E19" s="5"/>
      <c r="F19" s="18"/>
      <c r="G19" s="18"/>
      <c r="H19" s="18"/>
      <c r="I19" s="18"/>
      <c r="J19" s="18"/>
      <c r="K19" s="18"/>
      <c r="L19" s="19" t="str">
        <f aca="false">IF(C19="","",IF(D19="","Falta o tipo",IF(AND(D19&lt;&gt;"Linha",E19=""),"Falta microfone ou DI",IF(H19="","Falta a entrada",IF(COUNTIF($H$14:$H$37,H19)&gt;1,"Entrada repetida",IF(K19="Problema","Linha com problema",IF(K19="","Sem line check","OK")))))))</f>
        <v/>
      </c>
      <c r="M19" s="5"/>
    </row>
    <row r="20" customFormat="false" ht="21.75" hidden="false" customHeight="true" outlineLevel="0" collapsed="false">
      <c r="B20" s="17" t="n">
        <v>7</v>
      </c>
      <c r="C20" s="5"/>
      <c r="D20" s="18"/>
      <c r="E20" s="5"/>
      <c r="F20" s="18"/>
      <c r="G20" s="18"/>
      <c r="H20" s="18"/>
      <c r="I20" s="18"/>
      <c r="J20" s="18"/>
      <c r="K20" s="18"/>
      <c r="L20" s="19" t="str">
        <f aca="false">IF(C20="","",IF(D20="","Falta o tipo",IF(AND(D20&lt;&gt;"Linha",E20=""),"Falta microfone ou DI",IF(H20="","Falta a entrada",IF(COUNTIF($H$14:$H$37,H20)&gt;1,"Entrada repetida",IF(K20="Problema","Linha com problema",IF(K20="","Sem line check","OK")))))))</f>
        <v/>
      </c>
      <c r="M20" s="5"/>
    </row>
    <row r="21" customFormat="false" ht="21.75" hidden="false" customHeight="true" outlineLevel="0" collapsed="false">
      <c r="B21" s="17" t="n">
        <v>8</v>
      </c>
      <c r="C21" s="5"/>
      <c r="D21" s="18"/>
      <c r="E21" s="5"/>
      <c r="F21" s="18"/>
      <c r="G21" s="18"/>
      <c r="H21" s="18"/>
      <c r="I21" s="18"/>
      <c r="J21" s="18"/>
      <c r="K21" s="18"/>
      <c r="L21" s="19" t="str">
        <f aca="false">IF(C21="","",IF(D21="","Falta o tipo",IF(AND(D21&lt;&gt;"Linha",E21=""),"Falta microfone ou DI",IF(H21="","Falta a entrada",IF(COUNTIF($H$14:$H$37,H21)&gt;1,"Entrada repetida",IF(K21="Problema","Linha com problema",IF(K21="","Sem line check","OK")))))))</f>
        <v/>
      </c>
      <c r="M21" s="5"/>
    </row>
    <row r="22" customFormat="false" ht="21.75" hidden="false" customHeight="true" outlineLevel="0" collapsed="false">
      <c r="B22" s="17" t="n">
        <v>9</v>
      </c>
      <c r="C22" s="5"/>
      <c r="D22" s="18"/>
      <c r="E22" s="5"/>
      <c r="F22" s="18"/>
      <c r="G22" s="18"/>
      <c r="H22" s="18"/>
      <c r="I22" s="18"/>
      <c r="J22" s="18"/>
      <c r="K22" s="18"/>
      <c r="L22" s="19" t="str">
        <f aca="false">IF(C22="","",IF(D22="","Falta o tipo",IF(AND(D22&lt;&gt;"Linha",E22=""),"Falta microfone ou DI",IF(H22="","Falta a entrada",IF(COUNTIF($H$14:$H$37,H22)&gt;1,"Entrada repetida",IF(K22="Problema","Linha com problema",IF(K22="","Sem line check","OK")))))))</f>
        <v/>
      </c>
      <c r="M22" s="5"/>
    </row>
    <row r="23" customFormat="false" ht="21.75" hidden="false" customHeight="true" outlineLevel="0" collapsed="false">
      <c r="B23" s="17" t="n">
        <v>10</v>
      </c>
      <c r="C23" s="5"/>
      <c r="D23" s="18"/>
      <c r="E23" s="5"/>
      <c r="F23" s="18"/>
      <c r="G23" s="18"/>
      <c r="H23" s="18"/>
      <c r="I23" s="18"/>
      <c r="J23" s="18"/>
      <c r="K23" s="18"/>
      <c r="L23" s="19" t="str">
        <f aca="false">IF(C23="","",IF(D23="","Falta o tipo",IF(AND(D23&lt;&gt;"Linha",E23=""),"Falta microfone ou DI",IF(H23="","Falta a entrada",IF(COUNTIF($H$14:$H$37,H23)&gt;1,"Entrada repetida",IF(K23="Problema","Linha com problema",IF(K23="","Sem line check","OK")))))))</f>
        <v/>
      </c>
      <c r="M23" s="5"/>
    </row>
    <row r="24" customFormat="false" ht="21.75" hidden="false" customHeight="true" outlineLevel="0" collapsed="false">
      <c r="B24" s="17" t="n">
        <v>11</v>
      </c>
      <c r="C24" s="5"/>
      <c r="D24" s="18"/>
      <c r="E24" s="5"/>
      <c r="F24" s="18"/>
      <c r="G24" s="18"/>
      <c r="H24" s="18"/>
      <c r="I24" s="18"/>
      <c r="J24" s="18"/>
      <c r="K24" s="18"/>
      <c r="L24" s="19" t="str">
        <f aca="false">IF(C24="","",IF(D24="","Falta o tipo",IF(AND(D24&lt;&gt;"Linha",E24=""),"Falta microfone ou DI",IF(H24="","Falta a entrada",IF(COUNTIF($H$14:$H$37,H24)&gt;1,"Entrada repetida",IF(K24="Problema","Linha com problema",IF(K24="","Sem line check","OK")))))))</f>
        <v/>
      </c>
      <c r="M24" s="5"/>
    </row>
    <row r="25" customFormat="false" ht="21.75" hidden="false" customHeight="true" outlineLevel="0" collapsed="false">
      <c r="B25" s="17" t="n">
        <v>12</v>
      </c>
      <c r="C25" s="5"/>
      <c r="D25" s="18"/>
      <c r="E25" s="5"/>
      <c r="F25" s="18"/>
      <c r="G25" s="18"/>
      <c r="H25" s="18"/>
      <c r="I25" s="18"/>
      <c r="J25" s="18"/>
      <c r="K25" s="18"/>
      <c r="L25" s="19" t="str">
        <f aca="false">IF(C25="","",IF(D25="","Falta o tipo",IF(AND(D25&lt;&gt;"Linha",E25=""),"Falta microfone ou DI",IF(H25="","Falta a entrada",IF(COUNTIF($H$14:$H$37,H25)&gt;1,"Entrada repetida",IF(K25="Problema","Linha com problema",IF(K25="","Sem line check","OK")))))))</f>
        <v/>
      </c>
      <c r="M25" s="5"/>
    </row>
    <row r="26" customFormat="false" ht="21.75" hidden="false" customHeight="true" outlineLevel="0" collapsed="false">
      <c r="B26" s="17" t="n">
        <v>13</v>
      </c>
      <c r="C26" s="5"/>
      <c r="D26" s="18"/>
      <c r="E26" s="5"/>
      <c r="F26" s="18"/>
      <c r="G26" s="18"/>
      <c r="H26" s="18"/>
      <c r="I26" s="18"/>
      <c r="J26" s="18"/>
      <c r="K26" s="18"/>
      <c r="L26" s="19" t="str">
        <f aca="false">IF(C26="","",IF(D26="","Falta o tipo",IF(AND(D26&lt;&gt;"Linha",E26=""),"Falta microfone ou DI",IF(H26="","Falta a entrada",IF(COUNTIF($H$14:$H$37,H26)&gt;1,"Entrada repetida",IF(K26="Problema","Linha com problema",IF(K26="","Sem line check","OK")))))))</f>
        <v/>
      </c>
      <c r="M26" s="5"/>
    </row>
    <row r="27" customFormat="false" ht="21.75" hidden="false" customHeight="true" outlineLevel="0" collapsed="false">
      <c r="B27" s="17" t="n">
        <v>14</v>
      </c>
      <c r="C27" s="5"/>
      <c r="D27" s="18"/>
      <c r="E27" s="5"/>
      <c r="F27" s="18"/>
      <c r="G27" s="18"/>
      <c r="H27" s="18"/>
      <c r="I27" s="18"/>
      <c r="J27" s="18"/>
      <c r="K27" s="18"/>
      <c r="L27" s="19" t="str">
        <f aca="false">IF(C27="","",IF(D27="","Falta o tipo",IF(AND(D27&lt;&gt;"Linha",E27=""),"Falta microfone ou DI",IF(H27="","Falta a entrada",IF(COUNTIF($H$14:$H$37,H27)&gt;1,"Entrada repetida",IF(K27="Problema","Linha com problema",IF(K27="","Sem line check","OK")))))))</f>
        <v/>
      </c>
      <c r="M27" s="5"/>
    </row>
    <row r="28" customFormat="false" ht="21.75" hidden="false" customHeight="true" outlineLevel="0" collapsed="false">
      <c r="B28" s="17" t="n">
        <v>15</v>
      </c>
      <c r="C28" s="5"/>
      <c r="D28" s="18"/>
      <c r="E28" s="5"/>
      <c r="F28" s="18"/>
      <c r="G28" s="18"/>
      <c r="H28" s="18"/>
      <c r="I28" s="18"/>
      <c r="J28" s="18"/>
      <c r="K28" s="18"/>
      <c r="L28" s="19" t="str">
        <f aca="false">IF(C28="","",IF(D28="","Falta o tipo",IF(AND(D28&lt;&gt;"Linha",E28=""),"Falta microfone ou DI",IF(H28="","Falta a entrada",IF(COUNTIF($H$14:$H$37,H28)&gt;1,"Entrada repetida",IF(K28="Problema","Linha com problema",IF(K28="","Sem line check","OK")))))))</f>
        <v/>
      </c>
      <c r="M28" s="5"/>
    </row>
    <row r="29" customFormat="false" ht="21.75" hidden="false" customHeight="true" outlineLevel="0" collapsed="false">
      <c r="B29" s="17" t="n">
        <v>16</v>
      </c>
      <c r="C29" s="5"/>
      <c r="D29" s="18"/>
      <c r="E29" s="5"/>
      <c r="F29" s="18"/>
      <c r="G29" s="18"/>
      <c r="H29" s="18"/>
      <c r="I29" s="18"/>
      <c r="J29" s="18"/>
      <c r="K29" s="18"/>
      <c r="L29" s="19" t="str">
        <f aca="false">IF(C29="","",IF(D29="","Falta o tipo",IF(AND(D29&lt;&gt;"Linha",E29=""),"Falta microfone ou DI",IF(H29="","Falta a entrada",IF(COUNTIF($H$14:$H$37,H29)&gt;1,"Entrada repetida",IF(K29="Problema","Linha com problema",IF(K29="","Sem line check","OK")))))))</f>
        <v/>
      </c>
      <c r="M29" s="5"/>
    </row>
    <row r="30" customFormat="false" ht="21.75" hidden="false" customHeight="true" outlineLevel="0" collapsed="false">
      <c r="B30" s="17" t="n">
        <v>17</v>
      </c>
      <c r="C30" s="5"/>
      <c r="D30" s="18"/>
      <c r="E30" s="5"/>
      <c r="F30" s="18"/>
      <c r="G30" s="18"/>
      <c r="H30" s="18"/>
      <c r="I30" s="18"/>
      <c r="J30" s="18"/>
      <c r="K30" s="18"/>
      <c r="L30" s="19" t="str">
        <f aca="false">IF(C30="","",IF(D30="","Falta o tipo",IF(AND(D30&lt;&gt;"Linha",E30=""),"Falta microfone ou DI",IF(H30="","Falta a entrada",IF(COUNTIF($H$14:$H$37,H30)&gt;1,"Entrada repetida",IF(K30="Problema","Linha com problema",IF(K30="","Sem line check","OK")))))))</f>
        <v/>
      </c>
      <c r="M30" s="5"/>
    </row>
    <row r="31" customFormat="false" ht="21.75" hidden="false" customHeight="true" outlineLevel="0" collapsed="false">
      <c r="B31" s="17" t="n">
        <v>18</v>
      </c>
      <c r="C31" s="5"/>
      <c r="D31" s="18"/>
      <c r="E31" s="5"/>
      <c r="F31" s="18"/>
      <c r="G31" s="18"/>
      <c r="H31" s="18"/>
      <c r="I31" s="18"/>
      <c r="J31" s="18"/>
      <c r="K31" s="18"/>
      <c r="L31" s="19" t="str">
        <f aca="false">IF(C31="","",IF(D31="","Falta o tipo",IF(AND(D31&lt;&gt;"Linha",E31=""),"Falta microfone ou DI",IF(H31="","Falta a entrada",IF(COUNTIF($H$14:$H$37,H31)&gt;1,"Entrada repetida",IF(K31="Problema","Linha com problema",IF(K31="","Sem line check","OK")))))))</f>
        <v/>
      </c>
      <c r="M31" s="5"/>
    </row>
    <row r="32" customFormat="false" ht="21.75" hidden="false" customHeight="true" outlineLevel="0" collapsed="false">
      <c r="B32" s="17" t="n">
        <v>19</v>
      </c>
      <c r="C32" s="5"/>
      <c r="D32" s="18"/>
      <c r="E32" s="5"/>
      <c r="F32" s="18"/>
      <c r="G32" s="18"/>
      <c r="H32" s="18"/>
      <c r="I32" s="18"/>
      <c r="J32" s="18"/>
      <c r="K32" s="18"/>
      <c r="L32" s="19" t="str">
        <f aca="false">IF(C32="","",IF(D32="","Falta o tipo",IF(AND(D32&lt;&gt;"Linha",E32=""),"Falta microfone ou DI",IF(H32="","Falta a entrada",IF(COUNTIF($H$14:$H$37,H32)&gt;1,"Entrada repetida",IF(K32="Problema","Linha com problema",IF(K32="","Sem line check","OK")))))))</f>
        <v/>
      </c>
      <c r="M32" s="5"/>
    </row>
    <row r="33" customFormat="false" ht="21.75" hidden="false" customHeight="true" outlineLevel="0" collapsed="false">
      <c r="B33" s="17" t="n">
        <v>20</v>
      </c>
      <c r="C33" s="5"/>
      <c r="D33" s="18"/>
      <c r="E33" s="5"/>
      <c r="F33" s="18"/>
      <c r="G33" s="18"/>
      <c r="H33" s="18"/>
      <c r="I33" s="18"/>
      <c r="J33" s="18"/>
      <c r="K33" s="18"/>
      <c r="L33" s="19" t="str">
        <f aca="false">IF(C33="","",IF(D33="","Falta o tipo",IF(AND(D33&lt;&gt;"Linha",E33=""),"Falta microfone ou DI",IF(H33="","Falta a entrada",IF(COUNTIF($H$14:$H$37,H33)&gt;1,"Entrada repetida",IF(K33="Problema","Linha com problema",IF(K33="","Sem line check","OK")))))))</f>
        <v/>
      </c>
      <c r="M33" s="5"/>
    </row>
    <row r="34" customFormat="false" ht="21.75" hidden="false" customHeight="true" outlineLevel="0" collapsed="false">
      <c r="B34" s="17" t="n">
        <v>21</v>
      </c>
      <c r="C34" s="5"/>
      <c r="D34" s="18"/>
      <c r="E34" s="5"/>
      <c r="F34" s="18"/>
      <c r="G34" s="18"/>
      <c r="H34" s="18"/>
      <c r="I34" s="18"/>
      <c r="J34" s="18"/>
      <c r="K34" s="18"/>
      <c r="L34" s="19" t="str">
        <f aca="false">IF(C34="","",IF(D34="","Falta o tipo",IF(AND(D34&lt;&gt;"Linha",E34=""),"Falta microfone ou DI",IF(H34="","Falta a entrada",IF(COUNTIF($H$14:$H$37,H34)&gt;1,"Entrada repetida",IF(K34="Problema","Linha com problema",IF(K34="","Sem line check","OK")))))))</f>
        <v/>
      </c>
      <c r="M34" s="5"/>
    </row>
    <row r="35" customFormat="false" ht="21.75" hidden="false" customHeight="true" outlineLevel="0" collapsed="false">
      <c r="B35" s="17" t="n">
        <v>22</v>
      </c>
      <c r="C35" s="5"/>
      <c r="D35" s="18"/>
      <c r="E35" s="5"/>
      <c r="F35" s="18"/>
      <c r="G35" s="18"/>
      <c r="H35" s="18"/>
      <c r="I35" s="18"/>
      <c r="J35" s="18"/>
      <c r="K35" s="18"/>
      <c r="L35" s="19" t="str">
        <f aca="false">IF(C35="","",IF(D35="","Falta o tipo",IF(AND(D35&lt;&gt;"Linha",E35=""),"Falta microfone ou DI",IF(H35="","Falta a entrada",IF(COUNTIF($H$14:$H$37,H35)&gt;1,"Entrada repetida",IF(K35="Problema","Linha com problema",IF(K35="","Sem line check","OK")))))))</f>
        <v/>
      </c>
      <c r="M35" s="5"/>
    </row>
    <row r="36" customFormat="false" ht="21.75" hidden="false" customHeight="true" outlineLevel="0" collapsed="false">
      <c r="B36" s="17" t="n">
        <v>23</v>
      </c>
      <c r="C36" s="5"/>
      <c r="D36" s="18"/>
      <c r="E36" s="5"/>
      <c r="F36" s="18"/>
      <c r="G36" s="18"/>
      <c r="H36" s="18"/>
      <c r="I36" s="18"/>
      <c r="J36" s="18"/>
      <c r="K36" s="18"/>
      <c r="L36" s="19" t="str">
        <f aca="false">IF(C36="","",IF(D36="","Falta o tipo",IF(AND(D36&lt;&gt;"Linha",E36=""),"Falta microfone ou DI",IF(H36="","Falta a entrada",IF(COUNTIF($H$14:$H$37,H36)&gt;1,"Entrada repetida",IF(K36="Problema","Linha com problema",IF(K36="","Sem line check","OK")))))))</f>
        <v/>
      </c>
      <c r="M36" s="5"/>
    </row>
    <row r="37" customFormat="false" ht="21.75" hidden="false" customHeight="true" outlineLevel="0" collapsed="false">
      <c r="B37" s="17" t="n">
        <v>24</v>
      </c>
      <c r="C37" s="5"/>
      <c r="D37" s="18"/>
      <c r="E37" s="5"/>
      <c r="F37" s="18"/>
      <c r="G37" s="18"/>
      <c r="H37" s="18"/>
      <c r="I37" s="18"/>
      <c r="J37" s="18"/>
      <c r="K37" s="18"/>
      <c r="L37" s="19" t="str">
        <f aca="false">IF(C37="","",IF(D37="","Falta o tipo",IF(AND(D37&lt;&gt;"Linha",E37=""),"Falta microfone ou DI",IF(H37="","Falta a entrada",IF(COUNTIF($H$14:$H$37,H37)&gt;1,"Entrada repetida",IF(K37="Problema","Linha com problema",IF(K37="","Sem line check","OK")))))))</f>
        <v/>
      </c>
      <c r="M37" s="5"/>
    </row>
    <row r="39" customFormat="false" ht="21.75" hidden="false" customHeight="true" outlineLevel="0" collapsed="false">
      <c r="B39" s="11" t="s">
        <v>103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9.5" hidden="false" customHeight="true" outlineLevel="0" collapsed="false">
      <c r="B40" s="20" t="s">
        <v>104</v>
      </c>
      <c r="C40" s="20"/>
      <c r="D40" s="20"/>
      <c r="E40" s="20"/>
      <c r="F40" s="19" t="n">
        <f aca="false">COUNTA(C14:C37)</f>
        <v>0</v>
      </c>
      <c r="G40" s="19"/>
      <c r="H40" s="19"/>
      <c r="I40" s="9" t="s">
        <v>105</v>
      </c>
      <c r="J40" s="9"/>
      <c r="K40" s="9"/>
      <c r="L40" s="9"/>
      <c r="M40" s="9"/>
    </row>
    <row r="41" customFormat="false" ht="19.5" hidden="false" customHeight="true" outlineLevel="0" collapsed="false">
      <c r="B41" s="20" t="s">
        <v>106</v>
      </c>
      <c r="C41" s="20"/>
      <c r="D41" s="20"/>
      <c r="E41" s="20"/>
      <c r="F41" s="19" t="n">
        <f aca="false">COUNTIF(D14:D37,"Microfone")</f>
        <v>0</v>
      </c>
      <c r="G41" s="19"/>
      <c r="H41" s="19"/>
      <c r="I41" s="9"/>
      <c r="J41" s="9"/>
      <c r="K41" s="9"/>
      <c r="L41" s="9"/>
      <c r="M41" s="9"/>
    </row>
    <row r="42" customFormat="false" ht="19.5" hidden="false" customHeight="true" outlineLevel="0" collapsed="false">
      <c r="B42" s="20" t="s">
        <v>107</v>
      </c>
      <c r="C42" s="20"/>
      <c r="D42" s="20"/>
      <c r="E42" s="20"/>
      <c r="F42" s="19" t="n">
        <f aca="false">COUNTIF(D14:D37,"Sem fio")</f>
        <v>0</v>
      </c>
      <c r="G42" s="19"/>
      <c r="H42" s="19"/>
    </row>
    <row r="43" customFormat="false" ht="19.5" hidden="false" customHeight="true" outlineLevel="0" collapsed="false">
      <c r="B43" s="20" t="s">
        <v>108</v>
      </c>
      <c r="C43" s="20"/>
      <c r="D43" s="20"/>
      <c r="E43" s="20"/>
      <c r="F43" s="19" t="n">
        <f aca="false">COUNTIF(D14:D37,"DI")</f>
        <v>0</v>
      </c>
      <c r="G43" s="19"/>
      <c r="H43" s="19"/>
    </row>
    <row r="44" customFormat="false" ht="19.5" hidden="false" customHeight="true" outlineLevel="0" collapsed="false">
      <c r="B44" s="20" t="s">
        <v>109</v>
      </c>
      <c r="C44" s="20"/>
      <c r="D44" s="20"/>
      <c r="E44" s="20"/>
      <c r="F44" s="19" t="n">
        <f aca="false">COUNTIF(D14:D37,"Linha")</f>
        <v>0</v>
      </c>
      <c r="G44" s="19"/>
      <c r="H44" s="19"/>
    </row>
    <row r="45" customFormat="false" ht="19.5" hidden="false" customHeight="true" outlineLevel="0" collapsed="false">
      <c r="B45" s="20" t="s">
        <v>110</v>
      </c>
      <c r="C45" s="20"/>
      <c r="D45" s="20"/>
      <c r="E45" s="20"/>
      <c r="F45" s="19" t="n">
        <f aca="false">COUNTIF(F14:F37,"Sim")</f>
        <v>0</v>
      </c>
      <c r="G45" s="19"/>
      <c r="H45" s="19"/>
    </row>
    <row r="46" customFormat="false" ht="19.5" hidden="false" customHeight="true" outlineLevel="0" collapsed="false">
      <c r="B46" s="20" t="s">
        <v>111</v>
      </c>
      <c r="C46" s="20"/>
      <c r="D46" s="20"/>
      <c r="E46" s="20"/>
      <c r="F46" s="19" t="n">
        <f aca="false">COUNTIF(G14:G37,"Girafa")+COUNTIF(G14:G37,"Reto")+COUNTIF(G14:G37,"Baixo")</f>
        <v>0</v>
      </c>
      <c r="G46" s="19"/>
      <c r="H46" s="19"/>
    </row>
    <row r="47" customFormat="false" ht="19.5" hidden="false" customHeight="true" outlineLevel="0" collapsed="false">
      <c r="B47" s="20" t="s">
        <v>112</v>
      </c>
      <c r="C47" s="20"/>
      <c r="D47" s="20"/>
      <c r="E47" s="20"/>
      <c r="F47" s="19" t="n">
        <f aca="false">COUNTIF(D14:D37,"Microfone")+COUNTIF(D14:D37,"DI")</f>
        <v>0</v>
      </c>
      <c r="G47" s="19"/>
      <c r="H47" s="19"/>
    </row>
    <row r="48" customFormat="false" ht="19.5" hidden="false" customHeight="true" outlineLevel="0" collapsed="false">
      <c r="B48" s="20" t="s">
        <v>113</v>
      </c>
      <c r="C48" s="20"/>
      <c r="D48" s="20"/>
      <c r="E48" s="20"/>
      <c r="F48" s="19" t="n">
        <f aca="false">COUNTIF(K14:K37,"OK")</f>
        <v>0</v>
      </c>
      <c r="G48" s="19"/>
      <c r="H48" s="19"/>
    </row>
    <row r="49" customFormat="false" ht="19.5" hidden="false" customHeight="true" outlineLevel="0" collapsed="false">
      <c r="B49" s="20" t="s">
        <v>114</v>
      </c>
      <c r="C49" s="20"/>
      <c r="D49" s="20"/>
      <c r="E49" s="20"/>
      <c r="F49" s="19" t="n">
        <f aca="false">F40-COUNTIF(L14:L37,"OK")</f>
        <v>0</v>
      </c>
      <c r="G49" s="19"/>
      <c r="H49" s="19"/>
    </row>
    <row r="50" customFormat="false" ht="21.75" hidden="false" customHeight="true" outlineLevel="0" collapsed="false">
      <c r="B50" s="20" t="s">
        <v>115</v>
      </c>
      <c r="C50" s="20"/>
      <c r="D50" s="20"/>
      <c r="E50" s="20"/>
      <c r="F50" s="21" t="str">
        <f aca="false">IF(F40=0,"Liste os canais",IF(F49&gt;0,"Há linhas a resolver antes de a banda subir ao palco","OK"))</f>
        <v>Liste os canais</v>
      </c>
      <c r="G50" s="21"/>
      <c r="H50" s="21"/>
      <c r="I50" s="21"/>
      <c r="J50" s="21"/>
      <c r="K50" s="21"/>
      <c r="L50" s="21"/>
      <c r="M50" s="21"/>
    </row>
    <row r="52" customFormat="false" ht="21.75" hidden="false" customHeight="true" outlineLevel="0" collapsed="false">
      <c r="B52" s="11" t="s">
        <v>116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customFormat="false" ht="15" hidden="false" customHeight="true" outlineLevel="0" collapsed="false">
      <c r="B53" s="16" t="s">
        <v>117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customFormat="false" ht="21.75" hidden="false" customHeight="true" outlineLevel="0" collapsed="false">
      <c r="B54" s="6"/>
      <c r="C54" s="8" t="s">
        <v>118</v>
      </c>
      <c r="D54" s="8" t="s">
        <v>18</v>
      </c>
      <c r="E54" s="8"/>
      <c r="F54" s="8" t="s">
        <v>119</v>
      </c>
      <c r="G54" s="8"/>
      <c r="H54" s="8"/>
      <c r="I54" s="8"/>
      <c r="J54" s="19" t="s">
        <v>22</v>
      </c>
      <c r="K54" s="19"/>
      <c r="L54" s="19"/>
      <c r="M54" s="8" t="s">
        <v>120</v>
      </c>
    </row>
    <row r="55" customFormat="false" ht="54" hidden="false" customHeight="true" outlineLevel="0" collapsed="false">
      <c r="B55" s="8" t="s">
        <v>121</v>
      </c>
      <c r="C55" s="22" t="str">
        <f aca="false">IF($I$14="A1","• "&amp;$B$14&amp;" "&amp;$C$14&amp;"   ","")&amp;IF($I$15="A1","• "&amp;$B$15&amp;" "&amp;$C$15&amp;"   ","")&amp;IF($I$16="A1","• "&amp;$B$16&amp;" "&amp;$C$16&amp;"   ","")&amp;IF($I$17="A1","• "&amp;$B$17&amp;" "&amp;$C$17&amp;"   ","")&amp;IF($I$18="A1","• "&amp;$B$18&amp;" "&amp;$C$18&amp;"   ","")&amp;IF($I$19="A1","• "&amp;$B$19&amp;" "&amp;$C$19&amp;"   ","")&amp;IF($I$20="A1","• "&amp;$B$20&amp;" "&amp;$C$20&amp;"   ","")&amp;IF($I$21="A1","• "&amp;$B$21&amp;" "&amp;$C$21&amp;"   ","")&amp;IF($I$22="A1","• "&amp;$B$22&amp;" "&amp;$C$22&amp;"   ","")&amp;IF($I$23="A1","• "&amp;$B$23&amp;" "&amp;$C$23&amp;"   ","")&amp;IF($I$24="A1","• "&amp;$B$24&amp;" "&amp;$C$24&amp;"   ","")&amp;IF($I$25="A1","• "&amp;$B$25&amp;" "&amp;$C$25&amp;"   ","")&amp;IF($I$26="A1","• "&amp;$B$26&amp;" "&amp;$C$26&amp;"   ","")&amp;IF($I$27="A1","• "&amp;$B$27&amp;" "&amp;$C$27&amp;"   ","")&amp;IF($I$28="A1","• "&amp;$B$28&amp;" "&amp;$C$28&amp;"   ","")&amp;IF($I$29="A1","• "&amp;$B$29&amp;" "&amp;$C$29&amp;"   ","")&amp;IF($I$30="A1","• "&amp;$B$30&amp;" "&amp;$C$30&amp;"   ","")&amp;IF($I$31="A1","• "&amp;$B$31&amp;" "&amp;$C$31&amp;"   ","")&amp;IF($I$32="A1","• "&amp;$B$32&amp;" "&amp;$C$32&amp;"   ","")&amp;IF($I$33="A1","• "&amp;$B$33&amp;" "&amp;$C$33&amp;"   ","")&amp;IF($I$34="A1","• "&amp;$B$34&amp;" "&amp;$C$34&amp;"   ","")&amp;IF($I$35="A1","• "&amp;$B$35&amp;" "&amp;$C$35&amp;"   ","")&amp;IF($I$36="A1","• "&amp;$B$36&amp;" "&amp;$C$36&amp;"   ","")&amp;IF($I$37="A1","• "&amp;$B$37&amp;" "&amp;$C$37&amp;"   ","")</f>
        <v/>
      </c>
      <c r="D55" s="22" t="str">
        <f aca="false">IF($I$14="A2","• "&amp;$B$14&amp;" "&amp;$C$14&amp;"   ","")&amp;IF($I$15="A2","• "&amp;$B$15&amp;" "&amp;$C$15&amp;"   ","")&amp;IF($I$16="A2","• "&amp;$B$16&amp;" "&amp;$C$16&amp;"   ","")&amp;IF($I$17="A2","• "&amp;$B$17&amp;" "&amp;$C$17&amp;"   ","")&amp;IF($I$18="A2","• "&amp;$B$18&amp;" "&amp;$C$18&amp;"   ","")&amp;IF($I$19="A2","• "&amp;$B$19&amp;" "&amp;$C$19&amp;"   ","")&amp;IF($I$20="A2","• "&amp;$B$20&amp;" "&amp;$C$20&amp;"   ","")&amp;IF($I$21="A2","• "&amp;$B$21&amp;" "&amp;$C$21&amp;"   ","")&amp;IF($I$22="A2","• "&amp;$B$22&amp;" "&amp;$C$22&amp;"   ","")&amp;IF($I$23="A2","• "&amp;$B$23&amp;" "&amp;$C$23&amp;"   ","")&amp;IF($I$24="A2","• "&amp;$B$24&amp;" "&amp;$C$24&amp;"   ","")&amp;IF($I$25="A2","• "&amp;$B$25&amp;" "&amp;$C$25&amp;"   ","")&amp;IF($I$26="A2","• "&amp;$B$26&amp;" "&amp;$C$26&amp;"   ","")&amp;IF($I$27="A2","• "&amp;$B$27&amp;" "&amp;$C$27&amp;"   ","")&amp;IF($I$28="A2","• "&amp;$B$28&amp;" "&amp;$C$28&amp;"   ","")&amp;IF($I$29="A2","• "&amp;$B$29&amp;" "&amp;$C$29&amp;"   ","")&amp;IF($I$30="A2","• "&amp;$B$30&amp;" "&amp;$C$30&amp;"   ","")&amp;IF($I$31="A2","• "&amp;$B$31&amp;" "&amp;$C$31&amp;"   ","")&amp;IF($I$32="A2","• "&amp;$B$32&amp;" "&amp;$C$32&amp;"   ","")&amp;IF($I$33="A2","• "&amp;$B$33&amp;" "&amp;$C$33&amp;"   ","")&amp;IF($I$34="A2","• "&amp;$B$34&amp;" "&amp;$C$34&amp;"   ","")&amp;IF($I$35="A2","• "&amp;$B$35&amp;" "&amp;$C$35&amp;"   ","")&amp;IF($I$36="A2","• "&amp;$B$36&amp;" "&amp;$C$36&amp;"   ","")&amp;IF($I$37="A2","• "&amp;$B$37&amp;" "&amp;$C$37&amp;"   ","")</f>
        <v/>
      </c>
      <c r="E55" s="22"/>
      <c r="F55" s="22" t="str">
        <f aca="false">IF($I$14="A3","• "&amp;$B$14&amp;" "&amp;$C$14&amp;"   ","")&amp;IF($I$15="A3","• "&amp;$B$15&amp;" "&amp;$C$15&amp;"   ","")&amp;IF($I$16="A3","• "&amp;$B$16&amp;" "&amp;$C$16&amp;"   ","")&amp;IF($I$17="A3","• "&amp;$B$17&amp;" "&amp;$C$17&amp;"   ","")&amp;IF($I$18="A3","• "&amp;$B$18&amp;" "&amp;$C$18&amp;"   ","")&amp;IF($I$19="A3","• "&amp;$B$19&amp;" "&amp;$C$19&amp;"   ","")&amp;IF($I$20="A3","• "&amp;$B$20&amp;" "&amp;$C$20&amp;"   ","")&amp;IF($I$21="A3","• "&amp;$B$21&amp;" "&amp;$C$21&amp;"   ","")&amp;IF($I$22="A3","• "&amp;$B$22&amp;" "&amp;$C$22&amp;"   ","")&amp;IF($I$23="A3","• "&amp;$B$23&amp;" "&amp;$C$23&amp;"   ","")&amp;IF($I$24="A3","• "&amp;$B$24&amp;" "&amp;$C$24&amp;"   ","")&amp;IF($I$25="A3","• "&amp;$B$25&amp;" "&amp;$C$25&amp;"   ","")&amp;IF($I$26="A3","• "&amp;$B$26&amp;" "&amp;$C$26&amp;"   ","")&amp;IF($I$27="A3","• "&amp;$B$27&amp;" "&amp;$C$27&amp;"   ","")&amp;IF($I$28="A3","• "&amp;$B$28&amp;" "&amp;$C$28&amp;"   ","")&amp;IF($I$29="A3","• "&amp;$B$29&amp;" "&amp;$C$29&amp;"   ","")&amp;IF($I$30="A3","• "&amp;$B$30&amp;" "&amp;$C$30&amp;"   ","")&amp;IF($I$31="A3","• "&amp;$B$31&amp;" "&amp;$C$31&amp;"   ","")&amp;IF($I$32="A3","• "&amp;$B$32&amp;" "&amp;$C$32&amp;"   ","")&amp;IF($I$33="A3","• "&amp;$B$33&amp;" "&amp;$C$33&amp;"   ","")&amp;IF($I$34="A3","• "&amp;$B$34&amp;" "&amp;$C$34&amp;"   ","")&amp;IF($I$35="A3","• "&amp;$B$35&amp;" "&amp;$C$35&amp;"   ","")&amp;IF($I$36="A3","• "&amp;$B$36&amp;" "&amp;$C$36&amp;"   ","")&amp;IF($I$37="A3","• "&amp;$B$37&amp;" "&amp;$C$37&amp;"   ","")</f>
        <v/>
      </c>
      <c r="G55" s="22"/>
      <c r="H55" s="22"/>
      <c r="I55" s="22"/>
      <c r="J55" s="22" t="str">
        <f aca="false">IF($I$14="A4","• "&amp;$B$14&amp;" "&amp;$C$14&amp;"   ","")&amp;IF($I$15="A4","• "&amp;$B$15&amp;" "&amp;$C$15&amp;"   ","")&amp;IF($I$16="A4","• "&amp;$B$16&amp;" "&amp;$C$16&amp;"   ","")&amp;IF($I$17="A4","• "&amp;$B$17&amp;" "&amp;$C$17&amp;"   ","")&amp;IF($I$18="A4","• "&amp;$B$18&amp;" "&amp;$C$18&amp;"   ","")&amp;IF($I$19="A4","• "&amp;$B$19&amp;" "&amp;$C$19&amp;"   ","")&amp;IF($I$20="A4","• "&amp;$B$20&amp;" "&amp;$C$20&amp;"   ","")&amp;IF($I$21="A4","• "&amp;$B$21&amp;" "&amp;$C$21&amp;"   ","")&amp;IF($I$22="A4","• "&amp;$B$22&amp;" "&amp;$C$22&amp;"   ","")&amp;IF($I$23="A4","• "&amp;$B$23&amp;" "&amp;$C$23&amp;"   ","")&amp;IF($I$24="A4","• "&amp;$B$24&amp;" "&amp;$C$24&amp;"   ","")&amp;IF($I$25="A4","• "&amp;$B$25&amp;" "&amp;$C$25&amp;"   ","")&amp;IF($I$26="A4","• "&amp;$B$26&amp;" "&amp;$C$26&amp;"   ","")&amp;IF($I$27="A4","• "&amp;$B$27&amp;" "&amp;$C$27&amp;"   ","")&amp;IF($I$28="A4","• "&amp;$B$28&amp;" "&amp;$C$28&amp;"   ","")&amp;IF($I$29="A4","• "&amp;$B$29&amp;" "&amp;$C$29&amp;"   ","")&amp;IF($I$30="A4","• "&amp;$B$30&amp;" "&amp;$C$30&amp;"   ","")&amp;IF($I$31="A4","• "&amp;$B$31&amp;" "&amp;$C$31&amp;"   ","")&amp;IF($I$32="A4","• "&amp;$B$32&amp;" "&amp;$C$32&amp;"   ","")&amp;IF($I$33="A4","• "&amp;$B$33&amp;" "&amp;$C$33&amp;"   ","")&amp;IF($I$34="A4","• "&amp;$B$34&amp;" "&amp;$C$34&amp;"   ","")&amp;IF($I$35="A4","• "&amp;$B$35&amp;" "&amp;$C$35&amp;"   ","")&amp;IF($I$36="A4","• "&amp;$B$36&amp;" "&amp;$C$36&amp;"   ","")&amp;IF($I$37="A4","• "&amp;$B$37&amp;" "&amp;$C$37&amp;"   ","")</f>
        <v/>
      </c>
      <c r="K55" s="22"/>
      <c r="L55" s="22"/>
      <c r="M55" s="22" t="str">
        <f aca="false">IF($I$14="A5","• "&amp;$B$14&amp;" "&amp;$C$14&amp;"   ","")&amp;IF($I$15="A5","• "&amp;$B$15&amp;" "&amp;$C$15&amp;"   ","")&amp;IF($I$16="A5","• "&amp;$B$16&amp;" "&amp;$C$16&amp;"   ","")&amp;IF($I$17="A5","• "&amp;$B$17&amp;" "&amp;$C$17&amp;"   ","")&amp;IF($I$18="A5","• "&amp;$B$18&amp;" "&amp;$C$18&amp;"   ","")&amp;IF($I$19="A5","• "&amp;$B$19&amp;" "&amp;$C$19&amp;"   ","")&amp;IF($I$20="A5","• "&amp;$B$20&amp;" "&amp;$C$20&amp;"   ","")&amp;IF($I$21="A5","• "&amp;$B$21&amp;" "&amp;$C$21&amp;"   ","")&amp;IF($I$22="A5","• "&amp;$B$22&amp;" "&amp;$C$22&amp;"   ","")&amp;IF($I$23="A5","• "&amp;$B$23&amp;" "&amp;$C$23&amp;"   ","")&amp;IF($I$24="A5","• "&amp;$B$24&amp;" "&amp;$C$24&amp;"   ","")&amp;IF($I$25="A5","• "&amp;$B$25&amp;" "&amp;$C$25&amp;"   ","")&amp;IF($I$26="A5","• "&amp;$B$26&amp;" "&amp;$C$26&amp;"   ","")&amp;IF($I$27="A5","• "&amp;$B$27&amp;" "&amp;$C$27&amp;"   ","")&amp;IF($I$28="A5","• "&amp;$B$28&amp;" "&amp;$C$28&amp;"   ","")&amp;IF($I$29="A5","• "&amp;$B$29&amp;" "&amp;$C$29&amp;"   ","")&amp;IF($I$30="A5","• "&amp;$B$30&amp;" "&amp;$C$30&amp;"   ","")&amp;IF($I$31="A5","• "&amp;$B$31&amp;" "&amp;$C$31&amp;"   ","")&amp;IF($I$32="A5","• "&amp;$B$32&amp;" "&amp;$C$32&amp;"   ","")&amp;IF($I$33="A5","• "&amp;$B$33&amp;" "&amp;$C$33&amp;"   ","")&amp;IF($I$34="A5","• "&amp;$B$34&amp;" "&amp;$C$34&amp;"   ","")&amp;IF($I$35="A5","• "&amp;$B$35&amp;" "&amp;$C$35&amp;"   ","")&amp;IF($I$36="A5","• "&amp;$B$36&amp;" "&amp;$C$36&amp;"   ","")&amp;IF($I$37="A5","• "&amp;$B$37&amp;" "&amp;$C$37&amp;"   ","")</f>
        <v/>
      </c>
    </row>
    <row r="56" customFormat="false" ht="24" hidden="false" customHeight="true" outlineLevel="0" collapsed="false">
      <c r="B56" s="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customFormat="false" ht="54" hidden="false" customHeight="true" outlineLevel="0" collapsed="false">
      <c r="B57" s="8" t="s">
        <v>122</v>
      </c>
      <c r="C57" s="22" t="str">
        <f aca="false">IF($I$14="B1","• "&amp;$B$14&amp;" "&amp;$C$14&amp;"   ","")&amp;IF($I$15="B1","• "&amp;$B$15&amp;" "&amp;$C$15&amp;"   ","")&amp;IF($I$16="B1","• "&amp;$B$16&amp;" "&amp;$C$16&amp;"   ","")&amp;IF($I$17="B1","• "&amp;$B$17&amp;" "&amp;$C$17&amp;"   ","")&amp;IF($I$18="B1","• "&amp;$B$18&amp;" "&amp;$C$18&amp;"   ","")&amp;IF($I$19="B1","• "&amp;$B$19&amp;" "&amp;$C$19&amp;"   ","")&amp;IF($I$20="B1","• "&amp;$B$20&amp;" "&amp;$C$20&amp;"   ","")&amp;IF($I$21="B1","• "&amp;$B$21&amp;" "&amp;$C$21&amp;"   ","")&amp;IF($I$22="B1","• "&amp;$B$22&amp;" "&amp;$C$22&amp;"   ","")&amp;IF($I$23="B1","• "&amp;$B$23&amp;" "&amp;$C$23&amp;"   ","")&amp;IF($I$24="B1","• "&amp;$B$24&amp;" "&amp;$C$24&amp;"   ","")&amp;IF($I$25="B1","• "&amp;$B$25&amp;" "&amp;$C$25&amp;"   ","")&amp;IF($I$26="B1","• "&amp;$B$26&amp;" "&amp;$C$26&amp;"   ","")&amp;IF($I$27="B1","• "&amp;$B$27&amp;" "&amp;$C$27&amp;"   ","")&amp;IF($I$28="B1","• "&amp;$B$28&amp;" "&amp;$C$28&amp;"   ","")&amp;IF($I$29="B1","• "&amp;$B$29&amp;" "&amp;$C$29&amp;"   ","")&amp;IF($I$30="B1","• "&amp;$B$30&amp;" "&amp;$C$30&amp;"   ","")&amp;IF($I$31="B1","• "&amp;$B$31&amp;" "&amp;$C$31&amp;"   ","")&amp;IF($I$32="B1","• "&amp;$B$32&amp;" "&amp;$C$32&amp;"   ","")&amp;IF($I$33="B1","• "&amp;$B$33&amp;" "&amp;$C$33&amp;"   ","")&amp;IF($I$34="B1","• "&amp;$B$34&amp;" "&amp;$C$34&amp;"   ","")&amp;IF($I$35="B1","• "&amp;$B$35&amp;" "&amp;$C$35&amp;"   ","")&amp;IF($I$36="B1","• "&amp;$B$36&amp;" "&amp;$C$36&amp;"   ","")&amp;IF($I$37="B1","• "&amp;$B$37&amp;" "&amp;$C$37&amp;"   ","")</f>
        <v/>
      </c>
      <c r="D57" s="22" t="str">
        <f aca="false">IF($I$14="B2","• "&amp;$B$14&amp;" "&amp;$C$14&amp;"   ","")&amp;IF($I$15="B2","• "&amp;$B$15&amp;" "&amp;$C$15&amp;"   ","")&amp;IF($I$16="B2","• "&amp;$B$16&amp;" "&amp;$C$16&amp;"   ","")&amp;IF($I$17="B2","• "&amp;$B$17&amp;" "&amp;$C$17&amp;"   ","")&amp;IF($I$18="B2","• "&amp;$B$18&amp;" "&amp;$C$18&amp;"   ","")&amp;IF($I$19="B2","• "&amp;$B$19&amp;" "&amp;$C$19&amp;"   ","")&amp;IF($I$20="B2","• "&amp;$B$20&amp;" "&amp;$C$20&amp;"   ","")&amp;IF($I$21="B2","• "&amp;$B$21&amp;" "&amp;$C$21&amp;"   ","")&amp;IF($I$22="B2","• "&amp;$B$22&amp;" "&amp;$C$22&amp;"   ","")&amp;IF($I$23="B2","• "&amp;$B$23&amp;" "&amp;$C$23&amp;"   ","")&amp;IF($I$24="B2","• "&amp;$B$24&amp;" "&amp;$C$24&amp;"   ","")&amp;IF($I$25="B2","• "&amp;$B$25&amp;" "&amp;$C$25&amp;"   ","")&amp;IF($I$26="B2","• "&amp;$B$26&amp;" "&amp;$C$26&amp;"   ","")&amp;IF($I$27="B2","• "&amp;$B$27&amp;" "&amp;$C$27&amp;"   ","")&amp;IF($I$28="B2","• "&amp;$B$28&amp;" "&amp;$C$28&amp;"   ","")&amp;IF($I$29="B2","• "&amp;$B$29&amp;" "&amp;$C$29&amp;"   ","")&amp;IF($I$30="B2","• "&amp;$B$30&amp;" "&amp;$C$30&amp;"   ","")&amp;IF($I$31="B2","• "&amp;$B$31&amp;" "&amp;$C$31&amp;"   ","")&amp;IF($I$32="B2","• "&amp;$B$32&amp;" "&amp;$C$32&amp;"   ","")&amp;IF($I$33="B2","• "&amp;$B$33&amp;" "&amp;$C$33&amp;"   ","")&amp;IF($I$34="B2","• "&amp;$B$34&amp;" "&amp;$C$34&amp;"   ","")&amp;IF($I$35="B2","• "&amp;$B$35&amp;" "&amp;$C$35&amp;"   ","")&amp;IF($I$36="B2","• "&amp;$B$36&amp;" "&amp;$C$36&amp;"   ","")&amp;IF($I$37="B2","• "&amp;$B$37&amp;" "&amp;$C$37&amp;"   ","")</f>
        <v/>
      </c>
      <c r="E57" s="22"/>
      <c r="F57" s="22" t="str">
        <f aca="false">IF($I$14="B3","• "&amp;$B$14&amp;" "&amp;$C$14&amp;"   ","")&amp;IF($I$15="B3","• "&amp;$B$15&amp;" "&amp;$C$15&amp;"   ","")&amp;IF($I$16="B3","• "&amp;$B$16&amp;" "&amp;$C$16&amp;"   ","")&amp;IF($I$17="B3","• "&amp;$B$17&amp;" "&amp;$C$17&amp;"   ","")&amp;IF($I$18="B3","• "&amp;$B$18&amp;" "&amp;$C$18&amp;"   ","")&amp;IF($I$19="B3","• "&amp;$B$19&amp;" "&amp;$C$19&amp;"   ","")&amp;IF($I$20="B3","• "&amp;$B$20&amp;" "&amp;$C$20&amp;"   ","")&amp;IF($I$21="B3","• "&amp;$B$21&amp;" "&amp;$C$21&amp;"   ","")&amp;IF($I$22="B3","• "&amp;$B$22&amp;" "&amp;$C$22&amp;"   ","")&amp;IF($I$23="B3","• "&amp;$B$23&amp;" "&amp;$C$23&amp;"   ","")&amp;IF($I$24="B3","• "&amp;$B$24&amp;" "&amp;$C$24&amp;"   ","")&amp;IF($I$25="B3","• "&amp;$B$25&amp;" "&amp;$C$25&amp;"   ","")&amp;IF($I$26="B3","• "&amp;$B$26&amp;" "&amp;$C$26&amp;"   ","")&amp;IF($I$27="B3","• "&amp;$B$27&amp;" "&amp;$C$27&amp;"   ","")&amp;IF($I$28="B3","• "&amp;$B$28&amp;" "&amp;$C$28&amp;"   ","")&amp;IF($I$29="B3","• "&amp;$B$29&amp;" "&amp;$C$29&amp;"   ","")&amp;IF($I$30="B3","• "&amp;$B$30&amp;" "&amp;$C$30&amp;"   ","")&amp;IF($I$31="B3","• "&amp;$B$31&amp;" "&amp;$C$31&amp;"   ","")&amp;IF($I$32="B3","• "&amp;$B$32&amp;" "&amp;$C$32&amp;"   ","")&amp;IF($I$33="B3","• "&amp;$B$33&amp;" "&amp;$C$33&amp;"   ","")&amp;IF($I$34="B3","• "&amp;$B$34&amp;" "&amp;$C$34&amp;"   ","")&amp;IF($I$35="B3","• "&amp;$B$35&amp;" "&amp;$C$35&amp;"   ","")&amp;IF($I$36="B3","• "&amp;$B$36&amp;" "&amp;$C$36&amp;"   ","")&amp;IF($I$37="B3","• "&amp;$B$37&amp;" "&amp;$C$37&amp;"   ","")</f>
        <v/>
      </c>
      <c r="G57" s="22"/>
      <c r="H57" s="22"/>
      <c r="I57" s="22"/>
      <c r="J57" s="22" t="str">
        <f aca="false">IF($I$14="B4","• "&amp;$B$14&amp;" "&amp;$C$14&amp;"   ","")&amp;IF($I$15="B4","• "&amp;$B$15&amp;" "&amp;$C$15&amp;"   ","")&amp;IF($I$16="B4","• "&amp;$B$16&amp;" "&amp;$C$16&amp;"   ","")&amp;IF($I$17="B4","• "&amp;$B$17&amp;" "&amp;$C$17&amp;"   ","")&amp;IF($I$18="B4","• "&amp;$B$18&amp;" "&amp;$C$18&amp;"   ","")&amp;IF($I$19="B4","• "&amp;$B$19&amp;" "&amp;$C$19&amp;"   ","")&amp;IF($I$20="B4","• "&amp;$B$20&amp;" "&amp;$C$20&amp;"   ","")&amp;IF($I$21="B4","• "&amp;$B$21&amp;" "&amp;$C$21&amp;"   ","")&amp;IF($I$22="B4","• "&amp;$B$22&amp;" "&amp;$C$22&amp;"   ","")&amp;IF($I$23="B4","• "&amp;$B$23&amp;" "&amp;$C$23&amp;"   ","")&amp;IF($I$24="B4","• "&amp;$B$24&amp;" "&amp;$C$24&amp;"   ","")&amp;IF($I$25="B4","• "&amp;$B$25&amp;" "&amp;$C$25&amp;"   ","")&amp;IF($I$26="B4","• "&amp;$B$26&amp;" "&amp;$C$26&amp;"   ","")&amp;IF($I$27="B4","• "&amp;$B$27&amp;" "&amp;$C$27&amp;"   ","")&amp;IF($I$28="B4","• "&amp;$B$28&amp;" "&amp;$C$28&amp;"   ","")&amp;IF($I$29="B4","• "&amp;$B$29&amp;" "&amp;$C$29&amp;"   ","")&amp;IF($I$30="B4","• "&amp;$B$30&amp;" "&amp;$C$30&amp;"   ","")&amp;IF($I$31="B4","• "&amp;$B$31&amp;" "&amp;$C$31&amp;"   ","")&amp;IF($I$32="B4","• "&amp;$B$32&amp;" "&amp;$C$32&amp;"   ","")&amp;IF($I$33="B4","• "&amp;$B$33&amp;" "&amp;$C$33&amp;"   ","")&amp;IF($I$34="B4","• "&amp;$B$34&amp;" "&amp;$C$34&amp;"   ","")&amp;IF($I$35="B4","• "&amp;$B$35&amp;" "&amp;$C$35&amp;"   ","")&amp;IF($I$36="B4","• "&amp;$B$36&amp;" "&amp;$C$36&amp;"   ","")&amp;IF($I$37="B4","• "&amp;$B$37&amp;" "&amp;$C$37&amp;"   ","")</f>
        <v/>
      </c>
      <c r="K57" s="22"/>
      <c r="L57" s="22"/>
      <c r="M57" s="22" t="str">
        <f aca="false">IF($I$14="B5","• "&amp;$B$14&amp;" "&amp;$C$14&amp;"   ","")&amp;IF($I$15="B5","• "&amp;$B$15&amp;" "&amp;$C$15&amp;"   ","")&amp;IF($I$16="B5","• "&amp;$B$16&amp;" "&amp;$C$16&amp;"   ","")&amp;IF($I$17="B5","• "&amp;$B$17&amp;" "&amp;$C$17&amp;"   ","")&amp;IF($I$18="B5","• "&amp;$B$18&amp;" "&amp;$C$18&amp;"   ","")&amp;IF($I$19="B5","• "&amp;$B$19&amp;" "&amp;$C$19&amp;"   ","")&amp;IF($I$20="B5","• "&amp;$B$20&amp;" "&amp;$C$20&amp;"   ","")&amp;IF($I$21="B5","• "&amp;$B$21&amp;" "&amp;$C$21&amp;"   ","")&amp;IF($I$22="B5","• "&amp;$B$22&amp;" "&amp;$C$22&amp;"   ","")&amp;IF($I$23="B5","• "&amp;$B$23&amp;" "&amp;$C$23&amp;"   ","")&amp;IF($I$24="B5","• "&amp;$B$24&amp;" "&amp;$C$24&amp;"   ","")&amp;IF($I$25="B5","• "&amp;$B$25&amp;" "&amp;$C$25&amp;"   ","")&amp;IF($I$26="B5","• "&amp;$B$26&amp;" "&amp;$C$26&amp;"   ","")&amp;IF($I$27="B5","• "&amp;$B$27&amp;" "&amp;$C$27&amp;"   ","")&amp;IF($I$28="B5","• "&amp;$B$28&amp;" "&amp;$C$28&amp;"   ","")&amp;IF($I$29="B5","• "&amp;$B$29&amp;" "&amp;$C$29&amp;"   ","")&amp;IF($I$30="B5","• "&amp;$B$30&amp;" "&amp;$C$30&amp;"   ","")&amp;IF($I$31="B5","• "&amp;$B$31&amp;" "&amp;$C$31&amp;"   ","")&amp;IF($I$32="B5","• "&amp;$B$32&amp;" "&amp;$C$32&amp;"   ","")&amp;IF($I$33="B5","• "&amp;$B$33&amp;" "&amp;$C$33&amp;"   ","")&amp;IF($I$34="B5","• "&amp;$B$34&amp;" "&amp;$C$34&amp;"   ","")&amp;IF($I$35="B5","• "&amp;$B$35&amp;" "&amp;$C$35&amp;"   ","")&amp;IF($I$36="B5","• "&amp;$B$36&amp;" "&amp;$C$36&amp;"   ","")&amp;IF($I$37="B5","• "&amp;$B$37&amp;" "&amp;$C$37&amp;"   ","")</f>
        <v/>
      </c>
    </row>
    <row r="58" customFormat="false" ht="24" hidden="false" customHeight="true" outlineLevel="0" collapsed="false">
      <c r="B58" s="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customFormat="false" ht="54" hidden="false" customHeight="true" outlineLevel="0" collapsed="false">
      <c r="B59" s="8" t="s">
        <v>123</v>
      </c>
      <c r="C59" s="22" t="str">
        <f aca="false">IF($I$14="C1","• "&amp;$B$14&amp;" "&amp;$C$14&amp;"   ","")&amp;IF($I$15="C1","• "&amp;$B$15&amp;" "&amp;$C$15&amp;"   ","")&amp;IF($I$16="C1","• "&amp;$B$16&amp;" "&amp;$C$16&amp;"   ","")&amp;IF($I$17="C1","• "&amp;$B$17&amp;" "&amp;$C$17&amp;"   ","")&amp;IF($I$18="C1","• "&amp;$B$18&amp;" "&amp;$C$18&amp;"   ","")&amp;IF($I$19="C1","• "&amp;$B$19&amp;" "&amp;$C$19&amp;"   ","")&amp;IF($I$20="C1","• "&amp;$B$20&amp;" "&amp;$C$20&amp;"   ","")&amp;IF($I$21="C1","• "&amp;$B$21&amp;" "&amp;$C$21&amp;"   ","")&amp;IF($I$22="C1","• "&amp;$B$22&amp;" "&amp;$C$22&amp;"   ","")&amp;IF($I$23="C1","• "&amp;$B$23&amp;" "&amp;$C$23&amp;"   ","")&amp;IF($I$24="C1","• "&amp;$B$24&amp;" "&amp;$C$24&amp;"   ","")&amp;IF($I$25="C1","• "&amp;$B$25&amp;" "&amp;$C$25&amp;"   ","")&amp;IF($I$26="C1","• "&amp;$B$26&amp;" "&amp;$C$26&amp;"   ","")&amp;IF($I$27="C1","• "&amp;$B$27&amp;" "&amp;$C$27&amp;"   ","")&amp;IF($I$28="C1","• "&amp;$B$28&amp;" "&amp;$C$28&amp;"   ","")&amp;IF($I$29="C1","• "&amp;$B$29&amp;" "&amp;$C$29&amp;"   ","")&amp;IF($I$30="C1","• "&amp;$B$30&amp;" "&amp;$C$30&amp;"   ","")&amp;IF($I$31="C1","• "&amp;$B$31&amp;" "&amp;$C$31&amp;"   ","")&amp;IF($I$32="C1","• "&amp;$B$32&amp;" "&amp;$C$32&amp;"   ","")&amp;IF($I$33="C1","• "&amp;$B$33&amp;" "&amp;$C$33&amp;"   ","")&amp;IF($I$34="C1","• "&amp;$B$34&amp;" "&amp;$C$34&amp;"   ","")&amp;IF($I$35="C1","• "&amp;$B$35&amp;" "&amp;$C$35&amp;"   ","")&amp;IF($I$36="C1","• "&amp;$B$36&amp;" "&amp;$C$36&amp;"   ","")&amp;IF($I$37="C1","• "&amp;$B$37&amp;" "&amp;$C$37&amp;"   ","")</f>
        <v/>
      </c>
      <c r="D59" s="22" t="str">
        <f aca="false">IF($I$14="C2","• "&amp;$B$14&amp;" "&amp;$C$14&amp;"   ","")&amp;IF($I$15="C2","• "&amp;$B$15&amp;" "&amp;$C$15&amp;"   ","")&amp;IF($I$16="C2","• "&amp;$B$16&amp;" "&amp;$C$16&amp;"   ","")&amp;IF($I$17="C2","• "&amp;$B$17&amp;" "&amp;$C$17&amp;"   ","")&amp;IF($I$18="C2","• "&amp;$B$18&amp;" "&amp;$C$18&amp;"   ","")&amp;IF($I$19="C2","• "&amp;$B$19&amp;" "&amp;$C$19&amp;"   ","")&amp;IF($I$20="C2","• "&amp;$B$20&amp;" "&amp;$C$20&amp;"   ","")&amp;IF($I$21="C2","• "&amp;$B$21&amp;" "&amp;$C$21&amp;"   ","")&amp;IF($I$22="C2","• "&amp;$B$22&amp;" "&amp;$C$22&amp;"   ","")&amp;IF($I$23="C2","• "&amp;$B$23&amp;" "&amp;$C$23&amp;"   ","")&amp;IF($I$24="C2","• "&amp;$B$24&amp;" "&amp;$C$24&amp;"   ","")&amp;IF($I$25="C2","• "&amp;$B$25&amp;" "&amp;$C$25&amp;"   ","")&amp;IF($I$26="C2","• "&amp;$B$26&amp;" "&amp;$C$26&amp;"   ","")&amp;IF($I$27="C2","• "&amp;$B$27&amp;" "&amp;$C$27&amp;"   ","")&amp;IF($I$28="C2","• "&amp;$B$28&amp;" "&amp;$C$28&amp;"   ","")&amp;IF($I$29="C2","• "&amp;$B$29&amp;" "&amp;$C$29&amp;"   ","")&amp;IF($I$30="C2","• "&amp;$B$30&amp;" "&amp;$C$30&amp;"   ","")&amp;IF($I$31="C2","• "&amp;$B$31&amp;" "&amp;$C$31&amp;"   ","")&amp;IF($I$32="C2","• "&amp;$B$32&amp;" "&amp;$C$32&amp;"   ","")&amp;IF($I$33="C2","• "&amp;$B$33&amp;" "&amp;$C$33&amp;"   ","")&amp;IF($I$34="C2","• "&amp;$B$34&amp;" "&amp;$C$34&amp;"   ","")&amp;IF($I$35="C2","• "&amp;$B$35&amp;" "&amp;$C$35&amp;"   ","")&amp;IF($I$36="C2","• "&amp;$B$36&amp;" "&amp;$C$36&amp;"   ","")&amp;IF($I$37="C2","• "&amp;$B$37&amp;" "&amp;$C$37&amp;"   ","")</f>
        <v/>
      </c>
      <c r="E59" s="22"/>
      <c r="F59" s="22" t="str">
        <f aca="false">IF($I$14="C3","• "&amp;$B$14&amp;" "&amp;$C$14&amp;"   ","")&amp;IF($I$15="C3","• "&amp;$B$15&amp;" "&amp;$C$15&amp;"   ","")&amp;IF($I$16="C3","• "&amp;$B$16&amp;" "&amp;$C$16&amp;"   ","")&amp;IF($I$17="C3","• "&amp;$B$17&amp;" "&amp;$C$17&amp;"   ","")&amp;IF($I$18="C3","• "&amp;$B$18&amp;" "&amp;$C$18&amp;"   ","")&amp;IF($I$19="C3","• "&amp;$B$19&amp;" "&amp;$C$19&amp;"   ","")&amp;IF($I$20="C3","• "&amp;$B$20&amp;" "&amp;$C$20&amp;"   ","")&amp;IF($I$21="C3","• "&amp;$B$21&amp;" "&amp;$C$21&amp;"   ","")&amp;IF($I$22="C3","• "&amp;$B$22&amp;" "&amp;$C$22&amp;"   ","")&amp;IF($I$23="C3","• "&amp;$B$23&amp;" "&amp;$C$23&amp;"   ","")&amp;IF($I$24="C3","• "&amp;$B$24&amp;" "&amp;$C$24&amp;"   ","")&amp;IF($I$25="C3","• "&amp;$B$25&amp;" "&amp;$C$25&amp;"   ","")&amp;IF($I$26="C3","• "&amp;$B$26&amp;" "&amp;$C$26&amp;"   ","")&amp;IF($I$27="C3","• "&amp;$B$27&amp;" "&amp;$C$27&amp;"   ","")&amp;IF($I$28="C3","• "&amp;$B$28&amp;" "&amp;$C$28&amp;"   ","")&amp;IF($I$29="C3","• "&amp;$B$29&amp;" "&amp;$C$29&amp;"   ","")&amp;IF($I$30="C3","• "&amp;$B$30&amp;" "&amp;$C$30&amp;"   ","")&amp;IF($I$31="C3","• "&amp;$B$31&amp;" "&amp;$C$31&amp;"   ","")&amp;IF($I$32="C3","• "&amp;$B$32&amp;" "&amp;$C$32&amp;"   ","")&amp;IF($I$33="C3","• "&amp;$B$33&amp;" "&amp;$C$33&amp;"   ","")&amp;IF($I$34="C3","• "&amp;$B$34&amp;" "&amp;$C$34&amp;"   ","")&amp;IF($I$35="C3","• "&amp;$B$35&amp;" "&amp;$C$35&amp;"   ","")&amp;IF($I$36="C3","• "&amp;$B$36&amp;" "&amp;$C$36&amp;"   ","")&amp;IF($I$37="C3","• "&amp;$B$37&amp;" "&amp;$C$37&amp;"   ","")</f>
        <v/>
      </c>
      <c r="G59" s="22"/>
      <c r="H59" s="22"/>
      <c r="I59" s="22"/>
      <c r="J59" s="22" t="str">
        <f aca="false">IF($I$14="C4","• "&amp;$B$14&amp;" "&amp;$C$14&amp;"   ","")&amp;IF($I$15="C4","• "&amp;$B$15&amp;" "&amp;$C$15&amp;"   ","")&amp;IF($I$16="C4","• "&amp;$B$16&amp;" "&amp;$C$16&amp;"   ","")&amp;IF($I$17="C4","• "&amp;$B$17&amp;" "&amp;$C$17&amp;"   ","")&amp;IF($I$18="C4","• "&amp;$B$18&amp;" "&amp;$C$18&amp;"   ","")&amp;IF($I$19="C4","• "&amp;$B$19&amp;" "&amp;$C$19&amp;"   ","")&amp;IF($I$20="C4","• "&amp;$B$20&amp;" "&amp;$C$20&amp;"   ","")&amp;IF($I$21="C4","• "&amp;$B$21&amp;" "&amp;$C$21&amp;"   ","")&amp;IF($I$22="C4","• "&amp;$B$22&amp;" "&amp;$C$22&amp;"   ","")&amp;IF($I$23="C4","• "&amp;$B$23&amp;" "&amp;$C$23&amp;"   ","")&amp;IF($I$24="C4","• "&amp;$B$24&amp;" "&amp;$C$24&amp;"   ","")&amp;IF($I$25="C4","• "&amp;$B$25&amp;" "&amp;$C$25&amp;"   ","")&amp;IF($I$26="C4","• "&amp;$B$26&amp;" "&amp;$C$26&amp;"   ","")&amp;IF($I$27="C4","• "&amp;$B$27&amp;" "&amp;$C$27&amp;"   ","")&amp;IF($I$28="C4","• "&amp;$B$28&amp;" "&amp;$C$28&amp;"   ","")&amp;IF($I$29="C4","• "&amp;$B$29&amp;" "&amp;$C$29&amp;"   ","")&amp;IF($I$30="C4","• "&amp;$B$30&amp;" "&amp;$C$30&amp;"   ","")&amp;IF($I$31="C4","• "&amp;$B$31&amp;" "&amp;$C$31&amp;"   ","")&amp;IF($I$32="C4","• "&amp;$B$32&amp;" "&amp;$C$32&amp;"   ","")&amp;IF($I$33="C4","• "&amp;$B$33&amp;" "&amp;$C$33&amp;"   ","")&amp;IF($I$34="C4","• "&amp;$B$34&amp;" "&amp;$C$34&amp;"   ","")&amp;IF($I$35="C4","• "&amp;$B$35&amp;" "&amp;$C$35&amp;"   ","")&amp;IF($I$36="C4","• "&amp;$B$36&amp;" "&amp;$C$36&amp;"   ","")&amp;IF($I$37="C4","• "&amp;$B$37&amp;" "&amp;$C$37&amp;"   ","")</f>
        <v/>
      </c>
      <c r="K59" s="22"/>
      <c r="L59" s="22"/>
      <c r="M59" s="22" t="str">
        <f aca="false">IF($I$14="C5","• "&amp;$B$14&amp;" "&amp;$C$14&amp;"   ","")&amp;IF($I$15="C5","• "&amp;$B$15&amp;" "&amp;$C$15&amp;"   ","")&amp;IF($I$16="C5","• "&amp;$B$16&amp;" "&amp;$C$16&amp;"   ","")&amp;IF($I$17="C5","• "&amp;$B$17&amp;" "&amp;$C$17&amp;"   ","")&amp;IF($I$18="C5","• "&amp;$B$18&amp;" "&amp;$C$18&amp;"   ","")&amp;IF($I$19="C5","• "&amp;$B$19&amp;" "&amp;$C$19&amp;"   ","")&amp;IF($I$20="C5","• "&amp;$B$20&amp;" "&amp;$C$20&amp;"   ","")&amp;IF($I$21="C5","• "&amp;$B$21&amp;" "&amp;$C$21&amp;"   ","")&amp;IF($I$22="C5","• "&amp;$B$22&amp;" "&amp;$C$22&amp;"   ","")&amp;IF($I$23="C5","• "&amp;$B$23&amp;" "&amp;$C$23&amp;"   ","")&amp;IF($I$24="C5","• "&amp;$B$24&amp;" "&amp;$C$24&amp;"   ","")&amp;IF($I$25="C5","• "&amp;$B$25&amp;" "&amp;$C$25&amp;"   ","")&amp;IF($I$26="C5","• "&amp;$B$26&amp;" "&amp;$C$26&amp;"   ","")&amp;IF($I$27="C5","• "&amp;$B$27&amp;" "&amp;$C$27&amp;"   ","")&amp;IF($I$28="C5","• "&amp;$B$28&amp;" "&amp;$C$28&amp;"   ","")&amp;IF($I$29="C5","• "&amp;$B$29&amp;" "&amp;$C$29&amp;"   ","")&amp;IF($I$30="C5","• "&amp;$B$30&amp;" "&amp;$C$30&amp;"   ","")&amp;IF($I$31="C5","• "&amp;$B$31&amp;" "&amp;$C$31&amp;"   ","")&amp;IF($I$32="C5","• "&amp;$B$32&amp;" "&amp;$C$32&amp;"   ","")&amp;IF($I$33="C5","• "&amp;$B$33&amp;" "&amp;$C$33&amp;"   ","")&amp;IF($I$34="C5","• "&amp;$B$34&amp;" "&amp;$C$34&amp;"   ","")&amp;IF($I$35="C5","• "&amp;$B$35&amp;" "&amp;$C$35&amp;"   ","")&amp;IF($I$36="C5","• "&amp;$B$36&amp;" "&amp;$C$36&amp;"   ","")&amp;IF($I$37="C5","• "&amp;$B$37&amp;" "&amp;$C$37&amp;"   ","")</f>
        <v/>
      </c>
    </row>
    <row r="60" customFormat="false" ht="24" hidden="false" customHeight="true" outlineLevel="0" collapsed="false">
      <c r="B60" s="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customFormat="false" ht="15" hidden="false" customHeight="true" outlineLevel="0" collapsed="false">
      <c r="B61" s="16" t="s">
        <v>124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customFormat="false" ht="15" hidden="false" customHeight="true" outlineLevel="0" collapsed="false">
      <c r="B62" s="9" t="s">
        <v>125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</sheetData>
  <mergeCells count="70">
    <mergeCell ref="B1:M1"/>
    <mergeCell ref="B2:M2"/>
    <mergeCell ref="B4:C4"/>
    <mergeCell ref="D4:H4"/>
    <mergeCell ref="I4:M4"/>
    <mergeCell ref="B5:C5"/>
    <mergeCell ref="D5:H5"/>
    <mergeCell ref="I5:M5"/>
    <mergeCell ref="B6:C6"/>
    <mergeCell ref="D6:H6"/>
    <mergeCell ref="I6:M6"/>
    <mergeCell ref="B7:C7"/>
    <mergeCell ref="D7:H7"/>
    <mergeCell ref="I7:M7"/>
    <mergeCell ref="B8:C8"/>
    <mergeCell ref="D8:H8"/>
    <mergeCell ref="I8:M8"/>
    <mergeCell ref="B10:M10"/>
    <mergeCell ref="B39:M39"/>
    <mergeCell ref="B40:E40"/>
    <mergeCell ref="F40:H40"/>
    <mergeCell ref="I40:M41"/>
    <mergeCell ref="B41:E41"/>
    <mergeCell ref="F41:H41"/>
    <mergeCell ref="B42:E42"/>
    <mergeCell ref="F42:H42"/>
    <mergeCell ref="B43:E43"/>
    <mergeCell ref="F43:H43"/>
    <mergeCell ref="B44:E44"/>
    <mergeCell ref="F44:H44"/>
    <mergeCell ref="B45:E45"/>
    <mergeCell ref="F45:H45"/>
    <mergeCell ref="B46:E46"/>
    <mergeCell ref="F46:H46"/>
    <mergeCell ref="B47:E47"/>
    <mergeCell ref="F47:H47"/>
    <mergeCell ref="B48:E48"/>
    <mergeCell ref="F48:H48"/>
    <mergeCell ref="B49:E49"/>
    <mergeCell ref="F49:H49"/>
    <mergeCell ref="B50:E50"/>
    <mergeCell ref="F50:M50"/>
    <mergeCell ref="B52:M52"/>
    <mergeCell ref="B53:M53"/>
    <mergeCell ref="D54:E54"/>
    <mergeCell ref="F54:I54"/>
    <mergeCell ref="J54:L54"/>
    <mergeCell ref="B55:B56"/>
    <mergeCell ref="D55:E55"/>
    <mergeCell ref="F55:I55"/>
    <mergeCell ref="J55:L55"/>
    <mergeCell ref="D56:E56"/>
    <mergeCell ref="F56:I56"/>
    <mergeCell ref="J56:L56"/>
    <mergeCell ref="B57:B58"/>
    <mergeCell ref="D57:E57"/>
    <mergeCell ref="F57:I57"/>
    <mergeCell ref="J57:L57"/>
    <mergeCell ref="D58:E58"/>
    <mergeCell ref="F58:I58"/>
    <mergeCell ref="J58:L58"/>
    <mergeCell ref="B59:B60"/>
    <mergeCell ref="D59:E59"/>
    <mergeCell ref="F59:I59"/>
    <mergeCell ref="J59:L59"/>
    <mergeCell ref="D60:E60"/>
    <mergeCell ref="F60:I60"/>
    <mergeCell ref="J60:L60"/>
    <mergeCell ref="B61:M61"/>
    <mergeCell ref="B62:M62"/>
  </mergeCells>
  <conditionalFormatting sqref="L14:L37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AND(LEN(L14)&gt;0,L14&lt;&gt;"OK")</formula>
    </cfRule>
  </conditionalFormatting>
  <conditionalFormatting sqref="F50:M50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1">
      <formula>"OK"</formula>
    </cfRule>
  </conditionalFormatting>
  <conditionalFormatting sqref="C55">
    <cfRule type="expression" priority="6" aboveAverage="0" equalAverage="0" bottom="0" percent="0" rank="0" text="" dxfId="2">
      <formula>LEN($C$55)&gt;0</formula>
    </cfRule>
  </conditionalFormatting>
  <conditionalFormatting sqref="D55:E55">
    <cfRule type="expression" priority="7" aboveAverage="0" equalAverage="0" bottom="0" percent="0" rank="0" text="" dxfId="2">
      <formula>LEN($D$55)&gt;0</formula>
    </cfRule>
  </conditionalFormatting>
  <conditionalFormatting sqref="F55:I55">
    <cfRule type="expression" priority="8" aboveAverage="0" equalAverage="0" bottom="0" percent="0" rank="0" text="" dxfId="2">
      <formula>LEN($F$55)&gt;0</formula>
    </cfRule>
  </conditionalFormatting>
  <conditionalFormatting sqref="J55:L55">
    <cfRule type="expression" priority="9" aboveAverage="0" equalAverage="0" bottom="0" percent="0" rank="0" text="" dxfId="2">
      <formula>LEN($J$55)&gt;0</formula>
    </cfRule>
  </conditionalFormatting>
  <conditionalFormatting sqref="M55">
    <cfRule type="expression" priority="10" aboveAverage="0" equalAverage="0" bottom="0" percent="0" rank="0" text="" dxfId="2">
      <formula>LEN($M$55)&gt;0</formula>
    </cfRule>
  </conditionalFormatting>
  <conditionalFormatting sqref="C57">
    <cfRule type="expression" priority="11" aboveAverage="0" equalAverage="0" bottom="0" percent="0" rank="0" text="" dxfId="2">
      <formula>LEN($C$57)&gt;0</formula>
    </cfRule>
  </conditionalFormatting>
  <conditionalFormatting sqref="D57:E57">
    <cfRule type="expression" priority="12" aboveAverage="0" equalAverage="0" bottom="0" percent="0" rank="0" text="" dxfId="2">
      <formula>LEN($D$57)&gt;0</formula>
    </cfRule>
  </conditionalFormatting>
  <conditionalFormatting sqref="F57:I57">
    <cfRule type="expression" priority="13" aboveAverage="0" equalAverage="0" bottom="0" percent="0" rank="0" text="" dxfId="2">
      <formula>LEN($F$57)&gt;0</formula>
    </cfRule>
  </conditionalFormatting>
  <conditionalFormatting sqref="J57:L57">
    <cfRule type="expression" priority="14" aboveAverage="0" equalAverage="0" bottom="0" percent="0" rank="0" text="" dxfId="2">
      <formula>LEN($J$57)&gt;0</formula>
    </cfRule>
  </conditionalFormatting>
  <conditionalFormatting sqref="M57">
    <cfRule type="expression" priority="15" aboveAverage="0" equalAverage="0" bottom="0" percent="0" rank="0" text="" dxfId="2">
      <formula>LEN($M$57)&gt;0</formula>
    </cfRule>
  </conditionalFormatting>
  <conditionalFormatting sqref="C59">
    <cfRule type="expression" priority="16" aboveAverage="0" equalAverage="0" bottom="0" percent="0" rank="0" text="" dxfId="2">
      <formula>LEN($C$59)&gt;0</formula>
    </cfRule>
  </conditionalFormatting>
  <conditionalFormatting sqref="D59:E59">
    <cfRule type="expression" priority="17" aboveAverage="0" equalAverage="0" bottom="0" percent="0" rank="0" text="" dxfId="2">
      <formula>LEN($D$59)&gt;0</formula>
    </cfRule>
  </conditionalFormatting>
  <conditionalFormatting sqref="F59:I59">
    <cfRule type="expression" priority="18" aboveAverage="0" equalAverage="0" bottom="0" percent="0" rank="0" text="" dxfId="2">
      <formula>LEN($F$59)&gt;0</formula>
    </cfRule>
  </conditionalFormatting>
  <conditionalFormatting sqref="J59:L59">
    <cfRule type="expression" priority="19" aboveAverage="0" equalAverage="0" bottom="0" percent="0" rank="0" text="" dxfId="2">
      <formula>LEN($J$59)&gt;0</formula>
    </cfRule>
  </conditionalFormatting>
  <conditionalFormatting sqref="M59">
    <cfRule type="expression" priority="20" aboveAverage="0" equalAverage="0" bottom="0" percent="0" rank="0" text="" dxfId="2">
      <formula>LEN($M$59)&gt;0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Microfone, Sem fio, DI ou Linha." promptTitle="Opções" showDropDown="false" showErrorMessage="true" showInputMessage="true" sqref="D14:D37" type="list">
      <formula1>"Microfone,Sem fio,DI,Linha"</formula1>
      <formula2>0</formula2>
    </dataValidation>
    <dataValidation allowBlank="true" error="Escolha uma das opções da lista." errorStyle="stop" errorTitle="Valor inválido" operator="between" prompt="O canal precisa de phantom (+48 V)?" promptTitle="Opções" showDropDown="false" showErrorMessage="true" showInputMessage="true" sqref="F14:F37" type="list">
      <formula1>"Sim,Não"</formula1>
      <formula2>0</formula2>
    </dataValidation>
    <dataValidation allowBlank="true" error="Escolha uma das opções da lista." errorStyle="stop" errorTitle="Valor inválido" operator="between" prompt="Girafa, Reto, Baixo, Clipe ou Não." promptTitle="Opções" showDropDown="false" showErrorMessage="true" showInputMessage="true" sqref="G14:G37" type="list">
      <formula1>"Girafa,Reto,Baixo,Clipe,Não"</formula1>
      <formula2>0</formula2>
    </dataValidation>
    <dataValidation allowBlank="true" error="Escolha uma das opções da lista." errorStyle="stop" errorTitle="Valor inválido" operator="between" prompt="De A1 a C5. A é o fundo do palco, C é a frente; 1 é a esquerda, vista da plateia." promptTitle="Opções" showDropDown="false" showErrorMessage="true" showInputMessage="true" sqref="I14:I37" type="list">
      <formula1>"A1,A2,A3,A4,A5,B1,B2,B3,B4,B5,C1,C2,C3,C4,C5"</formula1>
      <formula2>0</formula2>
    </dataValidation>
    <dataValidation allowBlank="true" error="Escolha uma das opções da lista." errorStyle="stop" errorTitle="Valor inválido" operator="between" prompt="Resultado do line check desta linha." promptTitle="Opções" showDropDown="false" showErrorMessage="true" showInputMessage="true" sqref="K14:K37" type="list">
      <formula1>"OK,Problema"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126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127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5"/>
      <c r="G4" s="4" t="s">
        <v>128</v>
      </c>
      <c r="H4" s="4"/>
      <c r="I4" s="4"/>
      <c r="J4" s="23"/>
      <c r="K4" s="9" t="s">
        <v>129</v>
      </c>
    </row>
    <row r="5" customFormat="false" ht="21.75" hidden="false" customHeight="true" outlineLevel="0" collapsed="false">
      <c r="B5" s="4" t="s">
        <v>65</v>
      </c>
      <c r="C5" s="4"/>
      <c r="D5" s="10"/>
      <c r="E5" s="10"/>
      <c r="F5" s="10"/>
      <c r="G5" s="4" t="s">
        <v>130</v>
      </c>
      <c r="H5" s="4"/>
      <c r="I5" s="4"/>
      <c r="J5" s="23"/>
      <c r="K5" s="9" t="s">
        <v>131</v>
      </c>
    </row>
    <row r="6" customFormat="false" ht="21.75" hidden="false" customHeight="true" outlineLevel="0" collapsed="false">
      <c r="B6" s="4" t="s">
        <v>132</v>
      </c>
      <c r="C6" s="4"/>
      <c r="D6" s="5"/>
      <c r="E6" s="5"/>
      <c r="F6" s="5"/>
      <c r="G6" s="4" t="s">
        <v>133</v>
      </c>
      <c r="H6" s="4"/>
      <c r="I6" s="4"/>
      <c r="J6" s="23"/>
      <c r="K6" s="9" t="s">
        <v>134</v>
      </c>
    </row>
    <row r="8" customFormat="false" ht="21.75" hidden="false" customHeight="true" outlineLevel="0" collapsed="false">
      <c r="B8" s="11" t="s">
        <v>135</v>
      </c>
      <c r="C8" s="11"/>
      <c r="D8" s="11"/>
      <c r="E8" s="11"/>
      <c r="F8" s="11"/>
      <c r="G8" s="11"/>
      <c r="H8" s="11"/>
      <c r="I8" s="11"/>
      <c r="J8" s="11"/>
      <c r="K8" s="11"/>
    </row>
    <row r="9" customFormat="false" ht="30" hidden="false" customHeight="true" outlineLevel="0" collapsed="false">
      <c r="B9" s="12" t="s">
        <v>136</v>
      </c>
      <c r="C9" s="12" t="s">
        <v>137</v>
      </c>
      <c r="D9" s="12" t="s">
        <v>132</v>
      </c>
      <c r="E9" s="13" t="s">
        <v>138</v>
      </c>
      <c r="F9" s="15" t="s">
        <v>139</v>
      </c>
      <c r="G9" s="15" t="s">
        <v>140</v>
      </c>
      <c r="H9" s="14" t="s">
        <v>141</v>
      </c>
      <c r="I9" s="15" t="s">
        <v>142</v>
      </c>
      <c r="J9" s="15" t="s">
        <v>82</v>
      </c>
      <c r="K9" s="12" t="s">
        <v>83</v>
      </c>
    </row>
    <row r="10" customFormat="false" ht="21.75" hidden="false" customHeight="true" outlineLevel="0" collapsed="false">
      <c r="B10" s="16"/>
      <c r="C10" s="16" t="s">
        <v>143</v>
      </c>
      <c r="D10" s="16"/>
      <c r="E10" s="16" t="s">
        <v>144</v>
      </c>
      <c r="F10" s="16" t="s">
        <v>145</v>
      </c>
      <c r="G10" s="16" t="s">
        <v>145</v>
      </c>
      <c r="H10" s="16" t="s">
        <v>146</v>
      </c>
      <c r="I10" s="16" t="s">
        <v>144</v>
      </c>
      <c r="J10" s="16"/>
      <c r="K10" s="16"/>
    </row>
    <row r="11" customFormat="false" ht="21.75" hidden="false" customHeight="true" outlineLevel="0" collapsed="false">
      <c r="B11" s="17" t="n">
        <v>1</v>
      </c>
      <c r="C11" s="5" t="s">
        <v>147</v>
      </c>
      <c r="D11" s="5"/>
      <c r="E11" s="18" t="n">
        <v>60</v>
      </c>
      <c r="F11" s="24" t="str">
        <f aca="false">IF(G11="","",G11-E11/1440)</f>
        <v/>
      </c>
      <c r="G11" s="25" t="str">
        <f aca="false">IF(OR(E11="",$J$5=""),"",IF(F12="",$J$5,F12))</f>
        <v/>
      </c>
      <c r="H11" s="23"/>
      <c r="I11" s="26" t="str">
        <f aca="false">IF(OR(H11="",G11=""),"",ROUND((H11-G11)*1440,0))</f>
        <v/>
      </c>
      <c r="J11" s="19" t="str">
        <f aca="false">IF(I11="","",IF(I11&gt;0,"Atrasou","OK"))</f>
        <v/>
      </c>
      <c r="K11" s="5"/>
    </row>
    <row r="12" customFormat="false" ht="21.75" hidden="false" customHeight="true" outlineLevel="0" collapsed="false">
      <c r="B12" s="17" t="n">
        <v>2</v>
      </c>
      <c r="C12" s="5" t="s">
        <v>148</v>
      </c>
      <c r="D12" s="5"/>
      <c r="E12" s="18" t="n">
        <v>10</v>
      </c>
      <c r="F12" s="24" t="str">
        <f aca="false">IF(G12="","",G12-E12/1440)</f>
        <v/>
      </c>
      <c r="G12" s="25" t="str">
        <f aca="false">IF(OR(E12="",$J$5=""),"",IF(F13="",$J$5,F13))</f>
        <v/>
      </c>
      <c r="H12" s="23"/>
      <c r="I12" s="26" t="str">
        <f aca="false">IF(OR(H12="",G12=""),"",ROUND((H12-G12)*1440,0))</f>
        <v/>
      </c>
      <c r="J12" s="19" t="str">
        <f aca="false">IF(I12="","",IF(I12&gt;0,"Atrasou","OK"))</f>
        <v/>
      </c>
      <c r="K12" s="5"/>
    </row>
    <row r="13" customFormat="false" ht="21.75" hidden="false" customHeight="true" outlineLevel="0" collapsed="false">
      <c r="B13" s="17" t="n">
        <v>3</v>
      </c>
      <c r="C13" s="5" t="s">
        <v>149</v>
      </c>
      <c r="D13" s="5"/>
      <c r="E13" s="18" t="n">
        <v>20</v>
      </c>
      <c r="F13" s="24" t="str">
        <f aca="false">IF(G13="","",G13-E13/1440)</f>
        <v/>
      </c>
      <c r="G13" s="25" t="str">
        <f aca="false">IF(OR(E13="",$J$5=""),"",IF(F14="",$J$5,F14))</f>
        <v/>
      </c>
      <c r="H13" s="23"/>
      <c r="I13" s="26" t="str">
        <f aca="false">IF(OR(H13="",G13=""),"",ROUND((H13-G13)*1440,0))</f>
        <v/>
      </c>
      <c r="J13" s="19" t="str">
        <f aca="false">IF(I13="","",IF(I13&gt;0,"Atrasou","OK"))</f>
        <v/>
      </c>
      <c r="K13" s="5"/>
    </row>
    <row r="14" customFormat="false" ht="21.75" hidden="false" customHeight="true" outlineLevel="0" collapsed="false">
      <c r="B14" s="17" t="n">
        <v>4</v>
      </c>
      <c r="C14" s="5" t="s">
        <v>150</v>
      </c>
      <c r="D14" s="5"/>
      <c r="E14" s="18" t="n">
        <v>30</v>
      </c>
      <c r="F14" s="24" t="str">
        <f aca="false">IF(G14="","",G14-E14/1440)</f>
        <v/>
      </c>
      <c r="G14" s="25" t="str">
        <f aca="false">IF(OR(E14="",$J$5=""),"",IF(F15="",$J$5,F15))</f>
        <v/>
      </c>
      <c r="H14" s="23"/>
      <c r="I14" s="26" t="str">
        <f aca="false">IF(OR(H14="",G14=""),"",ROUND((H14-G14)*1440,0))</f>
        <v/>
      </c>
      <c r="J14" s="19" t="str">
        <f aca="false">IF(I14="","",IF(I14&gt;0,"Atrasou","OK"))</f>
        <v/>
      </c>
      <c r="K14" s="5"/>
    </row>
    <row r="15" customFormat="false" ht="21.75" hidden="false" customHeight="true" outlineLevel="0" collapsed="false">
      <c r="B15" s="17" t="n">
        <v>5</v>
      </c>
      <c r="C15" s="5" t="s">
        <v>151</v>
      </c>
      <c r="D15" s="5"/>
      <c r="E15" s="18" t="n">
        <v>25</v>
      </c>
      <c r="F15" s="24" t="str">
        <f aca="false">IF(G15="","",G15-E15/1440)</f>
        <v/>
      </c>
      <c r="G15" s="25" t="str">
        <f aca="false">IF(OR(E15="",$J$5=""),"",IF(F16="",$J$5,F16))</f>
        <v/>
      </c>
      <c r="H15" s="23"/>
      <c r="I15" s="26" t="str">
        <f aca="false">IF(OR(H15="",G15=""),"",ROUND((H15-G15)*1440,0))</f>
        <v/>
      </c>
      <c r="J15" s="19" t="str">
        <f aca="false">IF(I15="","",IF(I15&gt;0,"Atrasou","OK"))</f>
        <v/>
      </c>
      <c r="K15" s="5"/>
    </row>
    <row r="16" customFormat="false" ht="21.75" hidden="false" customHeight="true" outlineLevel="0" collapsed="false">
      <c r="B16" s="17" t="n">
        <v>6</v>
      </c>
      <c r="C16" s="5" t="s">
        <v>152</v>
      </c>
      <c r="D16" s="5"/>
      <c r="E16" s="18" t="n">
        <v>25</v>
      </c>
      <c r="F16" s="24" t="str">
        <f aca="false">IF(G16="","",G16-E16/1440)</f>
        <v/>
      </c>
      <c r="G16" s="25" t="str">
        <f aca="false">IF(OR(E16="",$J$5=""),"",IF(F17="",$J$5,F17))</f>
        <v/>
      </c>
      <c r="H16" s="23"/>
      <c r="I16" s="26" t="str">
        <f aca="false">IF(OR(H16="",G16=""),"",ROUND((H16-G16)*1440,0))</f>
        <v/>
      </c>
      <c r="J16" s="19" t="str">
        <f aca="false">IF(I16="","",IF(I16&gt;0,"Atrasou","OK"))</f>
        <v/>
      </c>
      <c r="K16" s="5"/>
    </row>
    <row r="17" customFormat="false" ht="21.75" hidden="false" customHeight="true" outlineLevel="0" collapsed="false">
      <c r="B17" s="17" t="n">
        <v>7</v>
      </c>
      <c r="C17" s="5" t="s">
        <v>153</v>
      </c>
      <c r="D17" s="5"/>
      <c r="E17" s="18" t="n">
        <v>10</v>
      </c>
      <c r="F17" s="24" t="str">
        <f aca="false">IF(G17="","",G17-E17/1440)</f>
        <v/>
      </c>
      <c r="G17" s="25" t="str">
        <f aca="false">IF(OR(E17="",$J$5=""),"",IF(F18="",$J$5,F18))</f>
        <v/>
      </c>
      <c r="H17" s="23"/>
      <c r="I17" s="26" t="str">
        <f aca="false">IF(OR(H17="",G17=""),"",ROUND((H17-G17)*1440,0))</f>
        <v/>
      </c>
      <c r="J17" s="19" t="str">
        <f aca="false">IF(I17="","",IF(I17&gt;0,"Atrasou","OK"))</f>
        <v/>
      </c>
      <c r="K17" s="5"/>
    </row>
    <row r="18" customFormat="false" ht="21.75" hidden="false" customHeight="true" outlineLevel="0" collapsed="false">
      <c r="B18" s="17" t="n">
        <v>8</v>
      </c>
      <c r="C18" s="5" t="s">
        <v>154</v>
      </c>
      <c r="D18" s="5"/>
      <c r="E18" s="18" t="n">
        <v>10</v>
      </c>
      <c r="F18" s="24" t="str">
        <f aca="false">IF(G18="","",G18-E18/1440)</f>
        <v/>
      </c>
      <c r="G18" s="25" t="str">
        <f aca="false">IF(OR(E18="",$J$5=""),"",IF(F19="",$J$5,F19))</f>
        <v/>
      </c>
      <c r="H18" s="23"/>
      <c r="I18" s="26" t="str">
        <f aca="false">IF(OR(H18="",G18=""),"",ROUND((H18-G18)*1440,0))</f>
        <v/>
      </c>
      <c r="J18" s="19" t="str">
        <f aca="false">IF(I18="","",IF(I18&gt;0,"Atrasou","OK"))</f>
        <v/>
      </c>
      <c r="K18" s="5"/>
    </row>
    <row r="19" customFormat="false" ht="21.75" hidden="false" customHeight="true" outlineLevel="0" collapsed="false">
      <c r="B19" s="17" t="n">
        <v>9</v>
      </c>
      <c r="C19" s="5" t="s">
        <v>155</v>
      </c>
      <c r="D19" s="5"/>
      <c r="E19" s="18" t="n">
        <v>10</v>
      </c>
      <c r="F19" s="24" t="str">
        <f aca="false">IF(G19="","",G19-E19/1440)</f>
        <v/>
      </c>
      <c r="G19" s="25" t="str">
        <f aca="false">IF(OR(E19="",$J$5=""),"",IF(F20="",$J$5,F20))</f>
        <v/>
      </c>
      <c r="H19" s="23"/>
      <c r="I19" s="26" t="str">
        <f aca="false">IF(OR(H19="",G19=""),"",ROUND((H19-G19)*1440,0))</f>
        <v/>
      </c>
      <c r="J19" s="19" t="str">
        <f aca="false">IF(I19="","",IF(I19&gt;0,"Atrasou","OK"))</f>
        <v/>
      </c>
      <c r="K19" s="5"/>
    </row>
    <row r="20" customFormat="false" ht="21.75" hidden="false" customHeight="true" outlineLevel="0" collapsed="false">
      <c r="B20" s="17" t="n">
        <v>10</v>
      </c>
      <c r="C20" s="5"/>
      <c r="D20" s="5"/>
      <c r="E20" s="18"/>
      <c r="F20" s="24" t="str">
        <f aca="false">IF(G20="","",G20-E20/1440)</f>
        <v/>
      </c>
      <c r="G20" s="25" t="str">
        <f aca="false">IF(OR(E20="",$J$5=""),"",IF(F21="",$J$5,F21))</f>
        <v/>
      </c>
      <c r="H20" s="23"/>
      <c r="I20" s="26" t="str">
        <f aca="false">IF(OR(H20="",G20=""),"",ROUND((H20-G20)*1440,0))</f>
        <v/>
      </c>
      <c r="J20" s="19" t="str">
        <f aca="false">IF(I20="","",IF(I20&gt;0,"Atrasou","OK"))</f>
        <v/>
      </c>
      <c r="K20" s="5"/>
    </row>
    <row r="21" customFormat="false" ht="21.75" hidden="false" customHeight="true" outlineLevel="0" collapsed="false">
      <c r="B21" s="17" t="n">
        <v>11</v>
      </c>
      <c r="C21" s="5"/>
      <c r="D21" s="5"/>
      <c r="E21" s="18"/>
      <c r="F21" s="24" t="str">
        <f aca="false">IF(G21="","",G21-E21/1440)</f>
        <v/>
      </c>
      <c r="G21" s="25" t="str">
        <f aca="false">IF(OR(E21="",$J$5=""),"",IF(F22="",$J$5,F22))</f>
        <v/>
      </c>
      <c r="H21" s="23"/>
      <c r="I21" s="26" t="str">
        <f aca="false">IF(OR(H21="",G21=""),"",ROUND((H21-G21)*1440,0))</f>
        <v/>
      </c>
      <c r="J21" s="19" t="str">
        <f aca="false">IF(I21="","",IF(I21&gt;0,"Atrasou","OK"))</f>
        <v/>
      </c>
      <c r="K21" s="5"/>
    </row>
    <row r="22" customFormat="false" ht="21.75" hidden="false" customHeight="true" outlineLevel="0" collapsed="false">
      <c r="B22" s="17" t="n">
        <v>12</v>
      </c>
      <c r="C22" s="5"/>
      <c r="D22" s="5"/>
      <c r="E22" s="18"/>
      <c r="F22" s="24" t="str">
        <f aca="false">IF(G22="","",G22-E22/1440)</f>
        <v/>
      </c>
      <c r="G22" s="25" t="str">
        <f aca="false">IF(OR(E22="",$J$5=""),"",$J$5)</f>
        <v/>
      </c>
      <c r="H22" s="23"/>
      <c r="I22" s="26" t="str">
        <f aca="false">IF(OR(H22="",G22=""),"",ROUND((H22-G22)*1440,0))</f>
        <v/>
      </c>
      <c r="J22" s="19" t="str">
        <f aca="false">IF(I22="","",IF(I22&gt;0,"Atrasou","OK"))</f>
        <v/>
      </c>
      <c r="K22" s="5"/>
    </row>
    <row r="24" customFormat="false" ht="21.75" hidden="false" customHeight="true" outlineLevel="0" collapsed="false">
      <c r="B24" s="11" t="s">
        <v>156</v>
      </c>
      <c r="C24" s="11"/>
      <c r="D24" s="11"/>
      <c r="E24" s="11"/>
      <c r="F24" s="11"/>
      <c r="G24" s="11"/>
      <c r="H24" s="11"/>
      <c r="I24" s="11"/>
      <c r="J24" s="11"/>
      <c r="K24" s="11"/>
    </row>
    <row r="25" customFormat="false" ht="19.5" hidden="false" customHeight="true" outlineLevel="0" collapsed="false">
      <c r="B25" s="20" t="s">
        <v>157</v>
      </c>
      <c r="C25" s="20"/>
      <c r="D25" s="20"/>
      <c r="E25" s="8" t="n">
        <f aca="false">IF(SUM(E11:E22)=0,"",SUM(E11:E22))</f>
        <v>200</v>
      </c>
    </row>
    <row r="26" customFormat="false" ht="19.5" hidden="false" customHeight="true" outlineLevel="0" collapsed="false">
      <c r="B26" s="20" t="s">
        <v>158</v>
      </c>
      <c r="C26" s="20"/>
      <c r="D26" s="20"/>
      <c r="E26" s="24" t="str">
        <f aca="false">IF(F11="","",F11)</f>
        <v/>
      </c>
    </row>
    <row r="27" customFormat="false" ht="19.5" hidden="false" customHeight="true" outlineLevel="0" collapsed="false">
      <c r="B27" s="20" t="s">
        <v>159</v>
      </c>
      <c r="C27" s="20"/>
      <c r="D27" s="20"/>
      <c r="E27" s="27" t="str">
        <f aca="false">IF(OR(F11="",$J$6=""),"",ROUND((F11-$J$6)*1440,0))</f>
        <v/>
      </c>
    </row>
    <row r="28" customFormat="false" ht="19.5" hidden="false" customHeight="true" outlineLevel="0" collapsed="false">
      <c r="B28" s="20" t="s">
        <v>160</v>
      </c>
      <c r="C28" s="20"/>
      <c r="D28" s="20"/>
      <c r="E28" s="27" t="str">
        <f aca="false">IF(COUNT(I11:I22)=0,"",MAX(I11:I22))</f>
        <v/>
      </c>
    </row>
    <row r="29" customFormat="false" ht="21.75" hidden="false" customHeight="true" outlineLevel="0" collapsed="false">
      <c r="B29" s="20" t="s">
        <v>115</v>
      </c>
      <c r="C29" s="20"/>
      <c r="D29" s="20"/>
      <c r="E29" s="21" t="str">
        <f aca="false">IF($J$5="","Informe a hora de abrir as portas",IF(E25="","Informe as durações",IF($J$6="","Informe a hora de chegada da equipe",IF(E27&lt;0,"Faltam "&amp;ABS(E27)&amp;" min: chegue mais cedo ou encurte etapas","OK"))))</f>
        <v>Informe a hora de abrir as portas</v>
      </c>
      <c r="F29" s="21"/>
      <c r="G29" s="21"/>
      <c r="H29" s="21"/>
      <c r="I29" s="21"/>
      <c r="J29" s="21"/>
      <c r="K29" s="21"/>
    </row>
    <row r="30" customFormat="false" ht="15" hidden="false" customHeight="true" outlineLevel="0" collapsed="false">
      <c r="B30" s="9" t="s">
        <v>161</v>
      </c>
      <c r="C30" s="9"/>
      <c r="D30" s="9"/>
      <c r="E30" s="9"/>
      <c r="F30" s="9"/>
      <c r="G30" s="9"/>
      <c r="H30" s="9"/>
      <c r="I30" s="9"/>
      <c r="J30" s="9"/>
      <c r="K30" s="9"/>
    </row>
  </sheetData>
  <mergeCells count="20">
    <mergeCell ref="B1:K1"/>
    <mergeCell ref="B2:K2"/>
    <mergeCell ref="B4:C4"/>
    <mergeCell ref="D4:F4"/>
    <mergeCell ref="G4:I4"/>
    <mergeCell ref="B5:C5"/>
    <mergeCell ref="D5:F5"/>
    <mergeCell ref="G5:I5"/>
    <mergeCell ref="B6:C6"/>
    <mergeCell ref="D6:F6"/>
    <mergeCell ref="G6:I6"/>
    <mergeCell ref="B8:K8"/>
    <mergeCell ref="B24:K24"/>
    <mergeCell ref="B25:D25"/>
    <mergeCell ref="B26:D26"/>
    <mergeCell ref="B27:D27"/>
    <mergeCell ref="B28:D28"/>
    <mergeCell ref="B29:D29"/>
    <mergeCell ref="E29:K29"/>
    <mergeCell ref="B30:K30"/>
  </mergeCells>
  <conditionalFormatting sqref="J11:J22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AND(LEN(J11)&gt;0,J11&lt;&gt;"OK")</formula>
    </cfRule>
  </conditionalFormatting>
  <conditionalFormatting sqref="E29:K29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1">
      <formula>"OK"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1:E22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5" min="4" style="0" width="24"/>
    <col collapsed="false" customWidth="true" hidden="false" outlineLevel="0" max="6" min="6" style="0" width="15"/>
    <col collapsed="false" customWidth="true" hidden="false" outlineLevel="0" max="8" min="7" style="0" width="40"/>
    <col collapsed="false" customWidth="true" hidden="false" outlineLevel="0" max="11" min="9" style="0" width="13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162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163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4" t="s">
        <v>164</v>
      </c>
      <c r="G4" s="4"/>
      <c r="H4" s="18"/>
      <c r="I4" s="9" t="s">
        <v>165</v>
      </c>
      <c r="J4" s="9"/>
      <c r="K4" s="9"/>
    </row>
    <row r="5" customFormat="false" ht="21.75" hidden="false" customHeight="true" outlineLevel="0" collapsed="false">
      <c r="B5" s="4" t="s">
        <v>65</v>
      </c>
      <c r="C5" s="4"/>
      <c r="D5" s="10"/>
      <c r="E5" s="10"/>
      <c r="F5" s="4" t="s">
        <v>166</v>
      </c>
      <c r="G5" s="4"/>
      <c r="H5" s="18"/>
      <c r="I5" s="9" t="s">
        <v>167</v>
      </c>
      <c r="J5" s="9"/>
      <c r="K5" s="9"/>
    </row>
    <row r="6" customFormat="false" ht="21.75" hidden="false" customHeight="true" outlineLevel="0" collapsed="false">
      <c r="B6" s="4" t="s">
        <v>67</v>
      </c>
      <c r="C6" s="4"/>
      <c r="D6" s="5"/>
      <c r="E6" s="5"/>
      <c r="F6" s="4" t="s">
        <v>168</v>
      </c>
      <c r="G6" s="4"/>
      <c r="H6" s="5"/>
      <c r="I6" s="5"/>
      <c r="J6" s="5"/>
      <c r="K6" s="5"/>
    </row>
    <row r="8" customFormat="false" ht="21.75" hidden="false" customHeight="true" outlineLevel="0" collapsed="false">
      <c r="B8" s="11" t="s">
        <v>169</v>
      </c>
      <c r="C8" s="11"/>
      <c r="D8" s="11"/>
      <c r="E8" s="11"/>
      <c r="F8" s="11"/>
      <c r="G8" s="11"/>
      <c r="H8" s="11"/>
      <c r="I8" s="11"/>
      <c r="J8" s="11"/>
      <c r="K8" s="11"/>
    </row>
    <row r="9" customFormat="false" ht="30" hidden="false" customHeight="true" outlineLevel="0" collapsed="false">
      <c r="B9" s="12" t="s">
        <v>136</v>
      </c>
      <c r="C9" s="12" t="s">
        <v>170</v>
      </c>
      <c r="D9" s="12" t="s">
        <v>171</v>
      </c>
      <c r="E9" s="12" t="s">
        <v>172</v>
      </c>
      <c r="F9" s="14" t="s">
        <v>173</v>
      </c>
      <c r="G9" s="15" t="s">
        <v>82</v>
      </c>
      <c r="H9" s="12" t="s">
        <v>83</v>
      </c>
      <c r="I9" s="12"/>
      <c r="J9" s="12"/>
      <c r="K9" s="12"/>
    </row>
    <row r="10" customFormat="false" ht="21.75" hidden="false" customHeight="true" outlineLevel="0" collapsed="false">
      <c r="B10" s="16"/>
      <c r="C10" s="16" t="s">
        <v>174</v>
      </c>
      <c r="D10" s="16" t="s">
        <v>175</v>
      </c>
      <c r="E10" s="16" t="s">
        <v>176</v>
      </c>
      <c r="F10" s="16" t="s">
        <v>177</v>
      </c>
      <c r="G10" s="16"/>
      <c r="H10" s="16"/>
      <c r="I10" s="16"/>
      <c r="J10" s="16"/>
      <c r="K10" s="16"/>
    </row>
    <row r="11" customFormat="false" ht="21.75" hidden="false" customHeight="true" outlineLevel="0" collapsed="false">
      <c r="B11" s="17" t="n">
        <v>1</v>
      </c>
      <c r="C11" s="23"/>
      <c r="D11" s="5"/>
      <c r="E11" s="5"/>
      <c r="F11" s="18"/>
      <c r="G11" s="28" t="str">
        <f aca="false">IF(F11="","",IF(OR($H$4="",$H$5=""),"Informe a faixa combinada",IF(F11&gt;$H$5,"Acima da faixa em "&amp;ROUND(F11-$H$5,0)&amp;" dB",IF(F11&lt;$H$4,"Abaixo da faixa em "&amp;ROUND($H$4-F11,0)&amp;" dB","OK"))))</f>
        <v/>
      </c>
      <c r="H11" s="5"/>
      <c r="I11" s="5"/>
      <c r="J11" s="5"/>
      <c r="K11" s="5"/>
    </row>
    <row r="12" customFormat="false" ht="21.75" hidden="false" customHeight="true" outlineLevel="0" collapsed="false">
      <c r="B12" s="17" t="n">
        <v>2</v>
      </c>
      <c r="C12" s="23"/>
      <c r="D12" s="5"/>
      <c r="E12" s="5"/>
      <c r="F12" s="18"/>
      <c r="G12" s="28" t="str">
        <f aca="false">IF(F12="","",IF(OR($H$4="",$H$5=""),"Informe a faixa combinada",IF(F12&gt;$H$5,"Acima da faixa em "&amp;ROUND(F12-$H$5,0)&amp;" dB",IF(F12&lt;$H$4,"Abaixo da faixa em "&amp;ROUND($H$4-F12,0)&amp;" dB","OK"))))</f>
        <v/>
      </c>
      <c r="H12" s="5"/>
      <c r="I12" s="5"/>
      <c r="J12" s="5"/>
      <c r="K12" s="5"/>
    </row>
    <row r="13" customFormat="false" ht="21.75" hidden="false" customHeight="true" outlineLevel="0" collapsed="false">
      <c r="B13" s="17" t="n">
        <v>3</v>
      </c>
      <c r="C13" s="23"/>
      <c r="D13" s="5"/>
      <c r="E13" s="5"/>
      <c r="F13" s="18"/>
      <c r="G13" s="28" t="str">
        <f aca="false">IF(F13="","",IF(OR($H$4="",$H$5=""),"Informe a faixa combinada",IF(F13&gt;$H$5,"Acima da faixa em "&amp;ROUND(F13-$H$5,0)&amp;" dB",IF(F13&lt;$H$4,"Abaixo da faixa em "&amp;ROUND($H$4-F13,0)&amp;" dB","OK"))))</f>
        <v/>
      </c>
      <c r="H13" s="5"/>
      <c r="I13" s="5"/>
      <c r="J13" s="5"/>
      <c r="K13" s="5"/>
    </row>
    <row r="14" customFormat="false" ht="21.75" hidden="false" customHeight="true" outlineLevel="0" collapsed="false">
      <c r="B14" s="17" t="n">
        <v>4</v>
      </c>
      <c r="C14" s="23"/>
      <c r="D14" s="5"/>
      <c r="E14" s="5"/>
      <c r="F14" s="18"/>
      <c r="G14" s="28" t="str">
        <f aca="false">IF(F14="","",IF(OR($H$4="",$H$5=""),"Informe a faixa combinada",IF(F14&gt;$H$5,"Acima da faixa em "&amp;ROUND(F14-$H$5,0)&amp;" dB",IF(F14&lt;$H$4,"Abaixo da faixa em "&amp;ROUND($H$4-F14,0)&amp;" dB","OK"))))</f>
        <v/>
      </c>
      <c r="H14" s="5"/>
      <c r="I14" s="5"/>
      <c r="J14" s="5"/>
      <c r="K14" s="5"/>
    </row>
    <row r="15" customFormat="false" ht="21.75" hidden="false" customHeight="true" outlineLevel="0" collapsed="false">
      <c r="B15" s="17" t="n">
        <v>5</v>
      </c>
      <c r="C15" s="23"/>
      <c r="D15" s="5"/>
      <c r="E15" s="5"/>
      <c r="F15" s="18"/>
      <c r="G15" s="28" t="str">
        <f aca="false">IF(F15="","",IF(OR($H$4="",$H$5=""),"Informe a faixa combinada",IF(F15&gt;$H$5,"Acima da faixa em "&amp;ROUND(F15-$H$5,0)&amp;" dB",IF(F15&lt;$H$4,"Abaixo da faixa em "&amp;ROUND($H$4-F15,0)&amp;" dB","OK"))))</f>
        <v/>
      </c>
      <c r="H15" s="5"/>
      <c r="I15" s="5"/>
      <c r="J15" s="5"/>
      <c r="K15" s="5"/>
    </row>
    <row r="16" customFormat="false" ht="21.75" hidden="false" customHeight="true" outlineLevel="0" collapsed="false">
      <c r="B16" s="17" t="n">
        <v>6</v>
      </c>
      <c r="C16" s="23"/>
      <c r="D16" s="5"/>
      <c r="E16" s="5"/>
      <c r="F16" s="18"/>
      <c r="G16" s="28" t="str">
        <f aca="false">IF(F16="","",IF(OR($H$4="",$H$5=""),"Informe a faixa combinada",IF(F16&gt;$H$5,"Acima da faixa em "&amp;ROUND(F16-$H$5,0)&amp;" dB",IF(F16&lt;$H$4,"Abaixo da faixa em "&amp;ROUND($H$4-F16,0)&amp;" dB","OK"))))</f>
        <v/>
      </c>
      <c r="H16" s="5"/>
      <c r="I16" s="5"/>
      <c r="J16" s="5"/>
      <c r="K16" s="5"/>
    </row>
    <row r="17" customFormat="false" ht="21.75" hidden="false" customHeight="true" outlineLevel="0" collapsed="false">
      <c r="B17" s="17" t="n">
        <v>7</v>
      </c>
      <c r="C17" s="23"/>
      <c r="D17" s="5"/>
      <c r="E17" s="5"/>
      <c r="F17" s="18"/>
      <c r="G17" s="28" t="str">
        <f aca="false">IF(F17="","",IF(OR($H$4="",$H$5=""),"Informe a faixa combinada",IF(F17&gt;$H$5,"Acima da faixa em "&amp;ROUND(F17-$H$5,0)&amp;" dB",IF(F17&lt;$H$4,"Abaixo da faixa em "&amp;ROUND($H$4-F17,0)&amp;" dB","OK"))))</f>
        <v/>
      </c>
      <c r="H17" s="5"/>
      <c r="I17" s="5"/>
      <c r="J17" s="5"/>
      <c r="K17" s="5"/>
    </row>
    <row r="18" customFormat="false" ht="21.75" hidden="false" customHeight="true" outlineLevel="0" collapsed="false">
      <c r="B18" s="17" t="n">
        <v>8</v>
      </c>
      <c r="C18" s="23"/>
      <c r="D18" s="5"/>
      <c r="E18" s="5"/>
      <c r="F18" s="18"/>
      <c r="G18" s="28" t="str">
        <f aca="false">IF(F18="","",IF(OR($H$4="",$H$5=""),"Informe a faixa combinada",IF(F18&gt;$H$5,"Acima da faixa em "&amp;ROUND(F18-$H$5,0)&amp;" dB",IF(F18&lt;$H$4,"Abaixo da faixa em "&amp;ROUND($H$4-F18,0)&amp;" dB","OK"))))</f>
        <v/>
      </c>
      <c r="H18" s="5"/>
      <c r="I18" s="5"/>
      <c r="J18" s="5"/>
      <c r="K18" s="5"/>
    </row>
    <row r="19" customFormat="false" ht="19.5" hidden="false" customHeight="true" outlineLevel="0" collapsed="false">
      <c r="B19" s="20" t="s">
        <v>178</v>
      </c>
      <c r="C19" s="20"/>
      <c r="D19" s="20"/>
      <c r="E19" s="20"/>
      <c r="F19" s="8" t="n">
        <f aca="false">COUNT(F11:F18)</f>
        <v>0</v>
      </c>
      <c r="G19" s="9" t="s">
        <v>179</v>
      </c>
      <c r="H19" s="9"/>
      <c r="I19" s="9"/>
      <c r="J19" s="9"/>
      <c r="K19" s="9"/>
    </row>
    <row r="20" customFormat="false" ht="19.5" hidden="false" customHeight="true" outlineLevel="0" collapsed="false">
      <c r="B20" s="20" t="s">
        <v>180</v>
      </c>
      <c r="C20" s="20"/>
      <c r="D20" s="20"/>
      <c r="E20" s="20"/>
      <c r="F20" s="8" t="str">
        <f aca="false">IF(COUNT(F11:F18)=0,"",MAX(F11:F18))</f>
        <v/>
      </c>
    </row>
    <row r="21" customFormat="false" ht="19.5" hidden="false" customHeight="true" outlineLevel="0" collapsed="false">
      <c r="B21" s="20" t="s">
        <v>181</v>
      </c>
      <c r="C21" s="20"/>
      <c r="D21" s="20"/>
      <c r="E21" s="20"/>
      <c r="F21" s="8" t="str">
        <f aca="false">IF($H$5="","",COUNTIF(F11:F18,"&gt;"&amp;$H$5))</f>
        <v/>
      </c>
    </row>
    <row r="23" customFormat="false" ht="21.75" hidden="false" customHeight="true" outlineLevel="0" collapsed="false">
      <c r="B23" s="11" t="s">
        <v>182</v>
      </c>
      <c r="C23" s="11"/>
      <c r="D23" s="11"/>
      <c r="E23" s="11"/>
      <c r="F23" s="11"/>
      <c r="G23" s="11"/>
      <c r="H23" s="11"/>
      <c r="I23" s="11"/>
      <c r="J23" s="11"/>
      <c r="K23" s="11"/>
    </row>
    <row r="24" customFormat="false" ht="30" hidden="false" customHeight="true" outlineLevel="0" collapsed="false">
      <c r="B24" s="12" t="s">
        <v>136</v>
      </c>
      <c r="C24" s="12" t="s">
        <v>170</v>
      </c>
      <c r="D24" s="12" t="s">
        <v>171</v>
      </c>
      <c r="E24" s="12" t="s">
        <v>183</v>
      </c>
      <c r="F24" s="14" t="s">
        <v>74</v>
      </c>
      <c r="G24" s="14" t="s">
        <v>184</v>
      </c>
      <c r="H24" s="14" t="s">
        <v>185</v>
      </c>
      <c r="I24" s="14" t="s">
        <v>186</v>
      </c>
      <c r="J24" s="14" t="s">
        <v>187</v>
      </c>
      <c r="K24" s="15" t="s">
        <v>188</v>
      </c>
    </row>
    <row r="25" customFormat="false" ht="21.75" hidden="false" customHeight="true" outlineLevel="0" collapsed="false">
      <c r="B25" s="16"/>
      <c r="C25" s="16" t="s">
        <v>189</v>
      </c>
      <c r="D25" s="16"/>
      <c r="E25" s="16"/>
      <c r="F25" s="16" t="s">
        <v>86</v>
      </c>
      <c r="G25" s="16" t="s">
        <v>190</v>
      </c>
      <c r="H25" s="16"/>
      <c r="I25" s="16" t="s">
        <v>88</v>
      </c>
      <c r="J25" s="16" t="s">
        <v>191</v>
      </c>
      <c r="K25" s="16"/>
    </row>
    <row r="26" customFormat="false" ht="24" hidden="false" customHeight="true" outlineLevel="0" collapsed="false">
      <c r="B26" s="16" t="s">
        <v>93</v>
      </c>
      <c r="C26" s="29" t="n">
        <v>0.820833333333333</v>
      </c>
      <c r="D26" s="9" t="s">
        <v>192</v>
      </c>
      <c r="E26" s="9" t="s">
        <v>193</v>
      </c>
      <c r="F26" s="16" t="s">
        <v>194</v>
      </c>
      <c r="G26" s="9" t="s">
        <v>195</v>
      </c>
      <c r="H26" s="9" t="s">
        <v>196</v>
      </c>
      <c r="I26" s="16" t="s">
        <v>197</v>
      </c>
      <c r="J26" s="16" t="s">
        <v>198</v>
      </c>
      <c r="K26" s="16" t="s">
        <v>199</v>
      </c>
    </row>
    <row r="27" customFormat="false" ht="21.75" hidden="false" customHeight="true" outlineLevel="0" collapsed="false">
      <c r="B27" s="17" t="n">
        <v>1</v>
      </c>
      <c r="C27" s="23"/>
      <c r="D27" s="5"/>
      <c r="E27" s="5"/>
      <c r="F27" s="18"/>
      <c r="G27" s="5"/>
      <c r="H27" s="5"/>
      <c r="I27" s="18"/>
      <c r="J27" s="18"/>
      <c r="K27" s="19" t="str">
        <f aca="false">IF(G27="","",IF(AND(I27="Sim",J27&lt;&gt;"Resolvido"),"Pendente","OK"))</f>
        <v/>
      </c>
    </row>
    <row r="28" customFormat="false" ht="21.75" hidden="false" customHeight="true" outlineLevel="0" collapsed="false">
      <c r="B28" s="17" t="n">
        <v>2</v>
      </c>
      <c r="C28" s="23"/>
      <c r="D28" s="5"/>
      <c r="E28" s="5"/>
      <c r="F28" s="18"/>
      <c r="G28" s="5"/>
      <c r="H28" s="5"/>
      <c r="I28" s="18"/>
      <c r="J28" s="18"/>
      <c r="K28" s="19" t="str">
        <f aca="false">IF(G28="","",IF(AND(I28="Sim",J28&lt;&gt;"Resolvido"),"Pendente","OK"))</f>
        <v/>
      </c>
    </row>
    <row r="29" customFormat="false" ht="21.75" hidden="false" customHeight="true" outlineLevel="0" collapsed="false">
      <c r="B29" s="17" t="n">
        <v>3</v>
      </c>
      <c r="C29" s="23"/>
      <c r="D29" s="5"/>
      <c r="E29" s="5"/>
      <c r="F29" s="18"/>
      <c r="G29" s="5"/>
      <c r="H29" s="5"/>
      <c r="I29" s="18"/>
      <c r="J29" s="18"/>
      <c r="K29" s="19" t="str">
        <f aca="false">IF(G29="","",IF(AND(I29="Sim",J29&lt;&gt;"Resolvido"),"Pendente","OK"))</f>
        <v/>
      </c>
    </row>
    <row r="30" customFormat="false" ht="21.75" hidden="false" customHeight="true" outlineLevel="0" collapsed="false">
      <c r="B30" s="17" t="n">
        <v>4</v>
      </c>
      <c r="C30" s="23"/>
      <c r="D30" s="5"/>
      <c r="E30" s="5"/>
      <c r="F30" s="18"/>
      <c r="G30" s="5"/>
      <c r="H30" s="5"/>
      <c r="I30" s="18"/>
      <c r="J30" s="18"/>
      <c r="K30" s="19" t="str">
        <f aca="false">IF(G30="","",IF(AND(I30="Sim",J30&lt;&gt;"Resolvido"),"Pendente","OK"))</f>
        <v/>
      </c>
    </row>
    <row r="31" customFormat="false" ht="21.75" hidden="false" customHeight="true" outlineLevel="0" collapsed="false">
      <c r="B31" s="17" t="n">
        <v>5</v>
      </c>
      <c r="C31" s="23"/>
      <c r="D31" s="5"/>
      <c r="E31" s="5"/>
      <c r="F31" s="18"/>
      <c r="G31" s="5"/>
      <c r="H31" s="5"/>
      <c r="I31" s="18"/>
      <c r="J31" s="18"/>
      <c r="K31" s="19" t="str">
        <f aca="false">IF(G31="","",IF(AND(I31="Sim",J31&lt;&gt;"Resolvido"),"Pendente","OK"))</f>
        <v/>
      </c>
    </row>
    <row r="32" customFormat="false" ht="21.75" hidden="false" customHeight="true" outlineLevel="0" collapsed="false">
      <c r="B32" s="17" t="n">
        <v>6</v>
      </c>
      <c r="C32" s="23"/>
      <c r="D32" s="5"/>
      <c r="E32" s="5"/>
      <c r="F32" s="18"/>
      <c r="G32" s="5"/>
      <c r="H32" s="5"/>
      <c r="I32" s="18"/>
      <c r="J32" s="18"/>
      <c r="K32" s="19" t="str">
        <f aca="false">IF(G32="","",IF(AND(I32="Sim",J32&lt;&gt;"Resolvido"),"Pendente","OK"))</f>
        <v/>
      </c>
    </row>
    <row r="33" customFormat="false" ht="21.75" hidden="false" customHeight="true" outlineLevel="0" collapsed="false">
      <c r="B33" s="17" t="n">
        <v>7</v>
      </c>
      <c r="C33" s="23"/>
      <c r="D33" s="5"/>
      <c r="E33" s="5"/>
      <c r="F33" s="18"/>
      <c r="G33" s="5"/>
      <c r="H33" s="5"/>
      <c r="I33" s="18"/>
      <c r="J33" s="18"/>
      <c r="K33" s="19" t="str">
        <f aca="false">IF(G33="","",IF(AND(I33="Sim",J33&lt;&gt;"Resolvido"),"Pendente","OK"))</f>
        <v/>
      </c>
    </row>
    <row r="34" customFormat="false" ht="21.75" hidden="false" customHeight="true" outlineLevel="0" collapsed="false">
      <c r="B34" s="17" t="n">
        <v>8</v>
      </c>
      <c r="C34" s="23"/>
      <c r="D34" s="5"/>
      <c r="E34" s="5"/>
      <c r="F34" s="18"/>
      <c r="G34" s="5"/>
      <c r="H34" s="5"/>
      <c r="I34" s="18"/>
      <c r="J34" s="18"/>
      <c r="K34" s="19" t="str">
        <f aca="false">IF(G34="","",IF(AND(I34="Sim",J34&lt;&gt;"Resolvido"),"Pendente","OK"))</f>
        <v/>
      </c>
    </row>
    <row r="35" customFormat="false" ht="21.75" hidden="false" customHeight="true" outlineLevel="0" collapsed="false">
      <c r="B35" s="17" t="n">
        <v>9</v>
      </c>
      <c r="C35" s="23"/>
      <c r="D35" s="5"/>
      <c r="E35" s="5"/>
      <c r="F35" s="18"/>
      <c r="G35" s="5"/>
      <c r="H35" s="5"/>
      <c r="I35" s="18"/>
      <c r="J35" s="18"/>
      <c r="K35" s="19" t="str">
        <f aca="false">IF(G35="","",IF(AND(I35="Sim",J35&lt;&gt;"Resolvido"),"Pendente","OK"))</f>
        <v/>
      </c>
    </row>
    <row r="36" customFormat="false" ht="21.75" hidden="false" customHeight="true" outlineLevel="0" collapsed="false">
      <c r="B36" s="17" t="n">
        <v>10</v>
      </c>
      <c r="C36" s="23"/>
      <c r="D36" s="5"/>
      <c r="E36" s="5"/>
      <c r="F36" s="18"/>
      <c r="G36" s="5"/>
      <c r="H36" s="5"/>
      <c r="I36" s="18"/>
      <c r="J36" s="18"/>
      <c r="K36" s="19" t="str">
        <f aca="false">IF(G36="","",IF(AND(I36="Sim",J36&lt;&gt;"Resolvido"),"Pendente","OK"))</f>
        <v/>
      </c>
    </row>
    <row r="37" customFormat="false" ht="21.75" hidden="false" customHeight="true" outlineLevel="0" collapsed="false">
      <c r="B37" s="17" t="n">
        <v>11</v>
      </c>
      <c r="C37" s="23"/>
      <c r="D37" s="5"/>
      <c r="E37" s="5"/>
      <c r="F37" s="18"/>
      <c r="G37" s="5"/>
      <c r="H37" s="5"/>
      <c r="I37" s="18"/>
      <c r="J37" s="18"/>
      <c r="K37" s="19" t="str">
        <f aca="false">IF(G37="","",IF(AND(I37="Sim",J37&lt;&gt;"Resolvido"),"Pendente","OK"))</f>
        <v/>
      </c>
    </row>
    <row r="38" customFormat="false" ht="21.75" hidden="false" customHeight="true" outlineLevel="0" collapsed="false">
      <c r="B38" s="17" t="n">
        <v>12</v>
      </c>
      <c r="C38" s="23"/>
      <c r="D38" s="5"/>
      <c r="E38" s="5"/>
      <c r="F38" s="18"/>
      <c r="G38" s="5"/>
      <c r="H38" s="5"/>
      <c r="I38" s="18"/>
      <c r="J38" s="18"/>
      <c r="K38" s="19" t="str">
        <f aca="false">IF(G38="","",IF(AND(I38="Sim",J38&lt;&gt;"Resolvido"),"Pendente","OK"))</f>
        <v/>
      </c>
    </row>
    <row r="39" customFormat="false" ht="21.75" hidden="false" customHeight="true" outlineLevel="0" collapsed="false">
      <c r="B39" s="17" t="n">
        <v>13</v>
      </c>
      <c r="C39" s="23"/>
      <c r="D39" s="5"/>
      <c r="E39" s="5"/>
      <c r="F39" s="18"/>
      <c r="G39" s="5"/>
      <c r="H39" s="5"/>
      <c r="I39" s="18"/>
      <c r="J39" s="18"/>
      <c r="K39" s="19" t="str">
        <f aca="false">IF(G39="","",IF(AND(I39="Sim",J39&lt;&gt;"Resolvido"),"Pendente","OK"))</f>
        <v/>
      </c>
    </row>
    <row r="40" customFormat="false" ht="21.75" hidden="false" customHeight="true" outlineLevel="0" collapsed="false">
      <c r="B40" s="17" t="n">
        <v>14</v>
      </c>
      <c r="C40" s="23"/>
      <c r="D40" s="5"/>
      <c r="E40" s="5"/>
      <c r="F40" s="18"/>
      <c r="G40" s="5"/>
      <c r="H40" s="5"/>
      <c r="I40" s="18"/>
      <c r="J40" s="18"/>
      <c r="K40" s="19" t="str">
        <f aca="false">IF(G40="","",IF(AND(I40="Sim",J40&lt;&gt;"Resolvido"),"Pendente","OK"))</f>
        <v/>
      </c>
    </row>
    <row r="41" customFormat="false" ht="21.75" hidden="false" customHeight="true" outlineLevel="0" collapsed="false">
      <c r="B41" s="17" t="n">
        <v>15</v>
      </c>
      <c r="C41" s="23"/>
      <c r="D41" s="5"/>
      <c r="E41" s="5"/>
      <c r="F41" s="18"/>
      <c r="G41" s="5"/>
      <c r="H41" s="5"/>
      <c r="I41" s="18"/>
      <c r="J41" s="18"/>
      <c r="K41" s="19" t="str">
        <f aca="false">IF(G41="","",IF(AND(I41="Sim",J41&lt;&gt;"Resolvido"),"Pendente","OK"))</f>
        <v/>
      </c>
    </row>
    <row r="42" customFormat="false" ht="21.75" hidden="false" customHeight="true" outlineLevel="0" collapsed="false">
      <c r="B42" s="17" t="n">
        <v>16</v>
      </c>
      <c r="C42" s="23"/>
      <c r="D42" s="5"/>
      <c r="E42" s="5"/>
      <c r="F42" s="18"/>
      <c r="G42" s="5"/>
      <c r="H42" s="5"/>
      <c r="I42" s="18"/>
      <c r="J42" s="18"/>
      <c r="K42" s="19" t="str">
        <f aca="false">IF(G42="","",IF(AND(I42="Sim",J42&lt;&gt;"Resolvido"),"Pendente","OK"))</f>
        <v/>
      </c>
    </row>
    <row r="43" customFormat="false" ht="21.75" hidden="false" customHeight="true" outlineLevel="0" collapsed="false">
      <c r="B43" s="17" t="n">
        <v>17</v>
      </c>
      <c r="C43" s="23"/>
      <c r="D43" s="5"/>
      <c r="E43" s="5"/>
      <c r="F43" s="18"/>
      <c r="G43" s="5"/>
      <c r="H43" s="5"/>
      <c r="I43" s="18"/>
      <c r="J43" s="18"/>
      <c r="K43" s="19" t="str">
        <f aca="false">IF(G43="","",IF(AND(I43="Sim",J43&lt;&gt;"Resolvido"),"Pendente","OK"))</f>
        <v/>
      </c>
    </row>
    <row r="44" customFormat="false" ht="21.75" hidden="false" customHeight="true" outlineLevel="0" collapsed="false">
      <c r="B44" s="17" t="n">
        <v>18</v>
      </c>
      <c r="C44" s="23"/>
      <c r="D44" s="5"/>
      <c r="E44" s="5"/>
      <c r="F44" s="18"/>
      <c r="G44" s="5"/>
      <c r="H44" s="5"/>
      <c r="I44" s="18"/>
      <c r="J44" s="18"/>
      <c r="K44" s="19" t="str">
        <f aca="false">IF(G44="","",IF(AND(I44="Sim",J44&lt;&gt;"Resolvido"),"Pendente","OK"))</f>
        <v/>
      </c>
    </row>
    <row r="45" customFormat="false" ht="21.75" hidden="false" customHeight="true" outlineLevel="0" collapsed="false">
      <c r="B45" s="17" t="n">
        <v>19</v>
      </c>
      <c r="C45" s="23"/>
      <c r="D45" s="5"/>
      <c r="E45" s="5"/>
      <c r="F45" s="18"/>
      <c r="G45" s="5"/>
      <c r="H45" s="5"/>
      <c r="I45" s="18"/>
      <c r="J45" s="18"/>
      <c r="K45" s="19" t="str">
        <f aca="false">IF(G45="","",IF(AND(I45="Sim",J45&lt;&gt;"Resolvido"),"Pendente","OK"))</f>
        <v/>
      </c>
    </row>
    <row r="46" customFormat="false" ht="21.75" hidden="false" customHeight="true" outlineLevel="0" collapsed="false">
      <c r="B46" s="17" t="n">
        <v>20</v>
      </c>
      <c r="C46" s="23"/>
      <c r="D46" s="5"/>
      <c r="E46" s="5"/>
      <c r="F46" s="18"/>
      <c r="G46" s="5"/>
      <c r="H46" s="5"/>
      <c r="I46" s="18"/>
      <c r="J46" s="18"/>
      <c r="K46" s="19" t="str">
        <f aca="false">IF(G46="","",IF(AND(I46="Sim",J46&lt;&gt;"Resolvido"),"Pendente","OK"))</f>
        <v/>
      </c>
    </row>
    <row r="48" customFormat="false" ht="21.75" hidden="false" customHeight="true" outlineLevel="0" collapsed="false">
      <c r="B48" s="11" t="s">
        <v>200</v>
      </c>
      <c r="C48" s="11"/>
      <c r="D48" s="11"/>
      <c r="E48" s="11"/>
      <c r="F48" s="11"/>
      <c r="G48" s="11"/>
      <c r="H48" s="11"/>
      <c r="I48" s="11"/>
      <c r="J48" s="11"/>
      <c r="K48" s="11"/>
    </row>
    <row r="49" customFormat="false" ht="19.5" hidden="false" customHeight="true" outlineLevel="0" collapsed="false">
      <c r="B49" s="20" t="s">
        <v>201</v>
      </c>
      <c r="C49" s="20"/>
      <c r="D49" s="20"/>
      <c r="E49" s="20"/>
      <c r="F49" s="8" t="n">
        <f aca="false">COUNTA(G27:G46)</f>
        <v>0</v>
      </c>
      <c r="G49" s="9" t="s">
        <v>202</v>
      </c>
      <c r="H49" s="9"/>
      <c r="I49" s="9"/>
      <c r="J49" s="9"/>
      <c r="K49" s="9"/>
    </row>
    <row r="50" customFormat="false" ht="19.5" hidden="false" customHeight="true" outlineLevel="0" collapsed="false">
      <c r="B50" s="20" t="s">
        <v>203</v>
      </c>
      <c r="C50" s="20"/>
      <c r="D50" s="20"/>
      <c r="E50" s="20"/>
      <c r="F50" s="8" t="n">
        <f aca="false">COUNTIF(K27:K46,"Pendente")</f>
        <v>0</v>
      </c>
      <c r="G50" s="9"/>
      <c r="H50" s="9"/>
      <c r="I50" s="9"/>
      <c r="J50" s="9"/>
      <c r="K50" s="9"/>
    </row>
    <row r="51" customFormat="false" ht="19.5" hidden="false" customHeight="true" outlineLevel="0" collapsed="false">
      <c r="B51" s="20" t="s">
        <v>204</v>
      </c>
      <c r="C51" s="20"/>
      <c r="D51" s="20"/>
      <c r="E51" s="20"/>
      <c r="F51" s="8" t="n">
        <f aca="false">COUNTIF(F27:F46,"Microfonia")</f>
        <v>0</v>
      </c>
    </row>
    <row r="52" customFormat="false" ht="19.5" hidden="false" customHeight="true" outlineLevel="0" collapsed="false">
      <c r="B52" s="20" t="s">
        <v>205</v>
      </c>
      <c r="C52" s="20"/>
      <c r="D52" s="20"/>
      <c r="E52" s="20"/>
      <c r="F52" s="8" t="n">
        <f aca="false">COUNTIF(F27:F46,"Ruído")</f>
        <v>0</v>
      </c>
    </row>
    <row r="53" customFormat="false" ht="19.5" hidden="false" customHeight="true" outlineLevel="0" collapsed="false">
      <c r="B53" s="20" t="s">
        <v>206</v>
      </c>
      <c r="C53" s="20"/>
      <c r="D53" s="20"/>
      <c r="E53" s="20"/>
      <c r="F53" s="8" t="n">
        <f aca="false">COUNTIF(F27:F46,"Sem sinal")</f>
        <v>0</v>
      </c>
    </row>
    <row r="54" customFormat="false" ht="19.5" hidden="false" customHeight="true" outlineLevel="0" collapsed="false">
      <c r="B54" s="20" t="s">
        <v>207</v>
      </c>
      <c r="C54" s="20"/>
      <c r="D54" s="20"/>
      <c r="E54" s="20"/>
      <c r="F54" s="8" t="n">
        <f aca="false">COUNTIF(F27:F46,"Volume")</f>
        <v>0</v>
      </c>
    </row>
    <row r="55" customFormat="false" ht="19.5" hidden="false" customHeight="true" outlineLevel="0" collapsed="false">
      <c r="B55" s="20" t="s">
        <v>208</v>
      </c>
      <c r="C55" s="20"/>
      <c r="D55" s="20"/>
      <c r="E55" s="20"/>
      <c r="F55" s="8" t="n">
        <f aca="false">COUNTIF(F27:F46,"Mute ou deixa")</f>
        <v>0</v>
      </c>
    </row>
    <row r="56" customFormat="false" ht="19.5" hidden="false" customHeight="true" outlineLevel="0" collapsed="false">
      <c r="B56" s="20" t="s">
        <v>209</v>
      </c>
      <c r="C56" s="20"/>
      <c r="D56" s="20"/>
      <c r="E56" s="20"/>
      <c r="F56" s="8" t="n">
        <f aca="false">COUNTIF(F27:F46,"Sem fio")</f>
        <v>0</v>
      </c>
    </row>
    <row r="57" customFormat="false" ht="19.5" hidden="false" customHeight="true" outlineLevel="0" collapsed="false">
      <c r="B57" s="20" t="s">
        <v>210</v>
      </c>
      <c r="C57" s="20"/>
      <c r="D57" s="20"/>
      <c r="E57" s="20"/>
      <c r="F57" s="8" t="n">
        <f aca="false">COUNTIF(F27:F46,"Mídia")</f>
        <v>0</v>
      </c>
    </row>
    <row r="58" customFormat="false" ht="19.5" hidden="false" customHeight="true" outlineLevel="0" collapsed="false">
      <c r="B58" s="20" t="s">
        <v>211</v>
      </c>
      <c r="C58" s="20"/>
      <c r="D58" s="20"/>
      <c r="E58" s="20"/>
      <c r="F58" s="8" t="n">
        <f aca="false">COUNTIF(F27:F46,"Outro")</f>
        <v>0</v>
      </c>
    </row>
    <row r="59" customFormat="false" ht="21.75" hidden="false" customHeight="true" outlineLevel="0" collapsed="false">
      <c r="B59" s="20" t="s">
        <v>115</v>
      </c>
      <c r="C59" s="20"/>
      <c r="D59" s="20"/>
      <c r="E59" s="20"/>
      <c r="F59" s="21" t="str">
        <f aca="false">IF(F50&gt;0,"Há pendências: defina quem resolve, antes do próximo evento","OK")</f>
        <v>OK</v>
      </c>
      <c r="G59" s="21"/>
      <c r="H59" s="21"/>
      <c r="I59" s="21"/>
      <c r="J59" s="21"/>
      <c r="K59" s="21"/>
    </row>
  </sheetData>
  <mergeCells count="44">
    <mergeCell ref="B1:K1"/>
    <mergeCell ref="B2:K2"/>
    <mergeCell ref="B4:C4"/>
    <mergeCell ref="D4:E4"/>
    <mergeCell ref="F4:G4"/>
    <mergeCell ref="I4:K4"/>
    <mergeCell ref="B5:C5"/>
    <mergeCell ref="D5:E5"/>
    <mergeCell ref="F5:G5"/>
    <mergeCell ref="I5:K5"/>
    <mergeCell ref="B6:C6"/>
    <mergeCell ref="D6:E6"/>
    <mergeCell ref="F6:G6"/>
    <mergeCell ref="H6:K6"/>
    <mergeCell ref="B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18:K18"/>
    <mergeCell ref="B19:E19"/>
    <mergeCell ref="G19:K19"/>
    <mergeCell ref="B20:E20"/>
    <mergeCell ref="B21:E21"/>
    <mergeCell ref="B23:K23"/>
    <mergeCell ref="B48:K48"/>
    <mergeCell ref="B49:E49"/>
    <mergeCell ref="G49:K50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F59:K59"/>
  </mergeCells>
  <conditionalFormatting sqref="G11:G18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AND(LEN(G11)&gt;0,G11&lt;&gt;"OK")</formula>
    </cfRule>
  </conditionalFormatting>
  <conditionalFormatting sqref="K27:K46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AND(LEN(K27)&gt;0,K27&lt;&gt;"OK")</formula>
    </cfRule>
  </conditionalFormatting>
  <conditionalFormatting sqref="F59:K59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4:H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F11:F18" type="decimal">
      <formula1>-1000000000</formula1>
      <formula2>1000000000</formula2>
    </dataValidation>
    <dataValidation allowBlank="true" error="Escolha uma das opções da lista." errorStyle="stop" errorTitle="Valor inválido" operator="between" prompt="Escolha o tipo que mais se aproxima." promptTitle="Opções" showDropDown="false" showErrorMessage="true" showInputMessage="true" sqref="F27:F46" type="list">
      <formula1>"Microfonia,Ruído,Sem sinal,Volume,Mute ou deixa,Sem fio,Mídia,Outro"</formula1>
      <formula2>0</formula2>
    </dataValidation>
    <dataValidation allowBlank="true" error="Escolha uma das opções da lista." errorStyle="stop" errorTitle="Valor inválido" operator="between" prompt="Precisa ser resolvido antes do próximo evento?" promptTitle="Opções" showDropDown="false" showErrorMessage="true" showInputMessage="true" sqref="I27:I46" type="list">
      <formula1>"Sim,Não"</formula1>
      <formula2>0</formula2>
    </dataValidation>
    <dataValidation allowBlank="true" error="Escolha uma das opções da lista." errorStyle="stop" errorTitle="Valor inválido" operator="between" prompt="Aberto ou Resolvido." promptTitle="Opções" showDropDown="false" showErrorMessage="true" showInputMessage="true" sqref="J27:J46" type="list">
      <formula1>"Aberto,Resolvido"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34"/>
    <col collapsed="false" customWidth="true" hidden="false" outlineLevel="0" max="5" min="5" style="0" width="60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212</v>
      </c>
      <c r="C1" s="1"/>
      <c r="D1" s="1"/>
      <c r="E1" s="1"/>
    </row>
    <row r="2" customFormat="false" ht="19.5" hidden="false" customHeight="true" outlineLevel="0" collapsed="false">
      <c r="B2" s="2" t="s">
        <v>213</v>
      </c>
      <c r="C2" s="2"/>
      <c r="D2" s="2"/>
      <c r="E2" s="2"/>
    </row>
    <row r="4" customFormat="false" ht="21.75" hidden="false" customHeight="true" outlineLevel="0" collapsed="false">
      <c r="B4" s="11" t="s">
        <v>214</v>
      </c>
      <c r="C4" s="11"/>
      <c r="D4" s="11"/>
      <c r="E4" s="11"/>
    </row>
    <row r="5" customFormat="false" ht="21.75" hidden="false" customHeight="true" outlineLevel="0" collapsed="false">
      <c r="B5" s="8" t="s">
        <v>215</v>
      </c>
      <c r="C5" s="8" t="s">
        <v>216</v>
      </c>
      <c r="D5" s="8" t="s">
        <v>217</v>
      </c>
      <c r="E5" s="8" t="s">
        <v>218</v>
      </c>
    </row>
    <row r="6" customFormat="false" ht="31.5" hidden="false" customHeight="true" outlineLevel="0" collapsed="false">
      <c r="B6" s="30" t="s">
        <v>81</v>
      </c>
      <c r="C6" s="31" t="s">
        <v>219</v>
      </c>
      <c r="D6" s="31" t="s">
        <v>220</v>
      </c>
      <c r="E6" s="7" t="s">
        <v>221</v>
      </c>
    </row>
    <row r="7" customFormat="false" ht="31.5" hidden="false" customHeight="true" outlineLevel="0" collapsed="false">
      <c r="B7" s="30" t="s">
        <v>222</v>
      </c>
      <c r="C7" s="31" t="s">
        <v>223</v>
      </c>
      <c r="D7" s="31" t="s">
        <v>224</v>
      </c>
      <c r="E7" s="7" t="s">
        <v>225</v>
      </c>
    </row>
    <row r="9" customFormat="false" ht="21.75" hidden="false" customHeight="true" outlineLevel="0" collapsed="false">
      <c r="B9" s="11" t="s">
        <v>226</v>
      </c>
      <c r="C9" s="11"/>
      <c r="D9" s="11"/>
      <c r="E9" s="11"/>
    </row>
    <row r="10" customFormat="false" ht="21.75" hidden="false" customHeight="true" outlineLevel="0" collapsed="false">
      <c r="B10" s="8" t="s">
        <v>227</v>
      </c>
      <c r="C10" s="8" t="s">
        <v>228</v>
      </c>
      <c r="D10" s="8" t="s">
        <v>229</v>
      </c>
      <c r="E10" s="8" t="s">
        <v>230</v>
      </c>
    </row>
    <row r="11" customFormat="false" ht="31.5" hidden="false" customHeight="true" outlineLevel="0" collapsed="false">
      <c r="B11" s="30" t="s">
        <v>231</v>
      </c>
      <c r="C11" s="31" t="s">
        <v>232</v>
      </c>
      <c r="D11" s="31" t="s">
        <v>233</v>
      </c>
      <c r="E11" s="7" t="s">
        <v>234</v>
      </c>
    </row>
    <row r="12" customFormat="false" ht="31.5" hidden="false" customHeight="true" outlineLevel="0" collapsed="false">
      <c r="B12" s="30" t="s">
        <v>235</v>
      </c>
      <c r="C12" s="31" t="s">
        <v>236</v>
      </c>
      <c r="D12" s="31" t="s">
        <v>237</v>
      </c>
      <c r="E12" s="7" t="s">
        <v>238</v>
      </c>
    </row>
    <row r="13" customFormat="false" ht="31.5" hidden="false" customHeight="true" outlineLevel="0" collapsed="false">
      <c r="B13" s="30" t="s">
        <v>239</v>
      </c>
      <c r="C13" s="31" t="s">
        <v>240</v>
      </c>
      <c r="D13" s="31" t="s">
        <v>241</v>
      </c>
      <c r="E13" s="7" t="s">
        <v>242</v>
      </c>
    </row>
    <row r="15" customFormat="false" ht="21.75" hidden="false" customHeight="true" outlineLevel="0" collapsed="false">
      <c r="B15" s="11" t="s">
        <v>243</v>
      </c>
      <c r="C15" s="11"/>
      <c r="D15" s="11"/>
      <c r="E15" s="11"/>
    </row>
    <row r="16" customFormat="false" ht="21.75" hidden="false" customHeight="true" outlineLevel="0" collapsed="false">
      <c r="B16" s="8" t="s">
        <v>61</v>
      </c>
      <c r="C16" s="8" t="s">
        <v>244</v>
      </c>
      <c r="D16" s="8" t="s">
        <v>245</v>
      </c>
      <c r="E16" s="8" t="s">
        <v>246</v>
      </c>
    </row>
    <row r="17" customFormat="false" ht="31.5" hidden="false" customHeight="true" outlineLevel="0" collapsed="false">
      <c r="B17" s="30" t="s">
        <v>247</v>
      </c>
      <c r="C17" s="31" t="s">
        <v>248</v>
      </c>
      <c r="D17" s="31" t="s">
        <v>249</v>
      </c>
      <c r="E17" s="7" t="s">
        <v>250</v>
      </c>
    </row>
    <row r="18" customFormat="false" ht="31.5" hidden="false" customHeight="true" outlineLevel="0" collapsed="false">
      <c r="B18" s="30" t="s">
        <v>251</v>
      </c>
      <c r="C18" s="31" t="s">
        <v>252</v>
      </c>
      <c r="D18" s="31" t="s">
        <v>253</v>
      </c>
      <c r="E18" s="7" t="s">
        <v>254</v>
      </c>
    </row>
    <row r="19" customFormat="false" ht="31.5" hidden="false" customHeight="true" outlineLevel="0" collapsed="false">
      <c r="B19" s="30" t="s">
        <v>255</v>
      </c>
      <c r="C19" s="31" t="s">
        <v>256</v>
      </c>
      <c r="D19" s="31" t="s">
        <v>257</v>
      </c>
      <c r="E19" s="7" t="s">
        <v>258</v>
      </c>
    </row>
    <row r="20" customFormat="false" ht="31.5" hidden="false" customHeight="true" outlineLevel="0" collapsed="false">
      <c r="B20" s="30" t="s">
        <v>259</v>
      </c>
      <c r="C20" s="31" t="s">
        <v>260</v>
      </c>
      <c r="D20" s="31" t="s">
        <v>261</v>
      </c>
      <c r="E20" s="7" t="s">
        <v>262</v>
      </c>
    </row>
    <row r="22" customFormat="false" ht="21.75" hidden="false" customHeight="true" outlineLevel="0" collapsed="false">
      <c r="B22" s="11" t="s">
        <v>263</v>
      </c>
      <c r="C22" s="11"/>
      <c r="D22" s="11"/>
      <c r="E22" s="11"/>
    </row>
    <row r="23" customFormat="false" ht="21.75" hidden="false" customHeight="true" outlineLevel="0" collapsed="false">
      <c r="B23" s="8" t="s">
        <v>82</v>
      </c>
      <c r="C23" s="8" t="s">
        <v>264</v>
      </c>
      <c r="D23" s="8" t="s">
        <v>265</v>
      </c>
      <c r="E23" s="8" t="s">
        <v>83</v>
      </c>
    </row>
    <row r="24" customFormat="false" ht="31.5" hidden="false" customHeight="true" outlineLevel="0" collapsed="false">
      <c r="B24" s="30" t="s">
        <v>266</v>
      </c>
      <c r="C24" s="31" t="s">
        <v>267</v>
      </c>
      <c r="D24" s="31" t="s">
        <v>268</v>
      </c>
      <c r="E24" s="7" t="s">
        <v>269</v>
      </c>
    </row>
    <row r="25" customFormat="false" ht="31.5" hidden="false" customHeight="true" outlineLevel="0" collapsed="false">
      <c r="B25" s="30" t="s">
        <v>270</v>
      </c>
      <c r="C25" s="31" t="s">
        <v>271</v>
      </c>
      <c r="D25" s="31" t="s">
        <v>272</v>
      </c>
      <c r="E25" s="7" t="s">
        <v>273</v>
      </c>
    </row>
    <row r="26" customFormat="false" ht="31.5" hidden="false" customHeight="true" outlineLevel="0" collapsed="false">
      <c r="B26" s="30" t="s">
        <v>274</v>
      </c>
      <c r="C26" s="31" t="s">
        <v>275</v>
      </c>
      <c r="D26" s="31" t="s">
        <v>272</v>
      </c>
      <c r="E26" s="7" t="s">
        <v>276</v>
      </c>
    </row>
    <row r="27" customFormat="false" ht="31.5" hidden="false" customHeight="true" outlineLevel="0" collapsed="false">
      <c r="B27" s="30" t="s">
        <v>277</v>
      </c>
      <c r="C27" s="31" t="s">
        <v>278</v>
      </c>
      <c r="D27" s="31" t="s">
        <v>272</v>
      </c>
      <c r="E27" s="7" t="s">
        <v>279</v>
      </c>
    </row>
    <row r="28" customFormat="false" ht="31.5" hidden="false" customHeight="true" outlineLevel="0" collapsed="false">
      <c r="B28" s="30" t="s">
        <v>280</v>
      </c>
      <c r="C28" s="31" t="s">
        <v>281</v>
      </c>
      <c r="D28" s="31" t="s">
        <v>282</v>
      </c>
      <c r="E28" s="7" t="s">
        <v>283</v>
      </c>
    </row>
    <row r="30" customFormat="false" ht="21.75" hidden="false" customHeight="true" outlineLevel="0" collapsed="false">
      <c r="B30" s="11" t="s">
        <v>284</v>
      </c>
      <c r="C30" s="11"/>
      <c r="D30" s="11"/>
      <c r="E30" s="11"/>
    </row>
    <row r="31" customFormat="false" ht="21.75" hidden="false" customHeight="true" outlineLevel="0" collapsed="false">
      <c r="B31" s="8" t="s">
        <v>137</v>
      </c>
      <c r="C31" s="8" t="s">
        <v>138</v>
      </c>
      <c r="D31" s="8" t="s">
        <v>285</v>
      </c>
      <c r="E31" s="8" t="s">
        <v>83</v>
      </c>
    </row>
    <row r="32" customFormat="false" ht="31.5" hidden="false" customHeight="true" outlineLevel="0" collapsed="false">
      <c r="B32" s="30" t="s">
        <v>147</v>
      </c>
      <c r="C32" s="31" t="s">
        <v>286</v>
      </c>
      <c r="D32" s="31" t="s">
        <v>287</v>
      </c>
      <c r="E32" s="7" t="s">
        <v>288</v>
      </c>
    </row>
    <row r="33" customFormat="false" ht="31.5" hidden="false" customHeight="true" outlineLevel="0" collapsed="false">
      <c r="B33" s="30" t="s">
        <v>81</v>
      </c>
      <c r="C33" s="31" t="s">
        <v>289</v>
      </c>
      <c r="D33" s="31" t="s">
        <v>287</v>
      </c>
      <c r="E33" s="7" t="s">
        <v>290</v>
      </c>
    </row>
    <row r="34" customFormat="false" ht="31.5" hidden="false" customHeight="true" outlineLevel="0" collapsed="false">
      <c r="B34" s="30" t="s">
        <v>291</v>
      </c>
      <c r="C34" s="31" t="s">
        <v>292</v>
      </c>
      <c r="D34" s="31" t="s">
        <v>293</v>
      </c>
      <c r="E34" s="7" t="s">
        <v>294</v>
      </c>
    </row>
    <row r="35" customFormat="false" ht="31.5" hidden="false" customHeight="true" outlineLevel="0" collapsed="false">
      <c r="B35" s="30" t="s">
        <v>151</v>
      </c>
      <c r="C35" s="31" t="s">
        <v>289</v>
      </c>
      <c r="D35" s="31" t="s">
        <v>293</v>
      </c>
      <c r="E35" s="7" t="s">
        <v>295</v>
      </c>
    </row>
    <row r="36" customFormat="false" ht="31.5" hidden="false" customHeight="true" outlineLevel="0" collapsed="false">
      <c r="B36" s="30" t="s">
        <v>152</v>
      </c>
      <c r="C36" s="31" t="s">
        <v>289</v>
      </c>
      <c r="D36" s="31" t="s">
        <v>293</v>
      </c>
      <c r="E36" s="7" t="s">
        <v>296</v>
      </c>
    </row>
    <row r="37" customFormat="false" ht="31.5" hidden="false" customHeight="true" outlineLevel="0" collapsed="false">
      <c r="B37" s="30" t="s">
        <v>297</v>
      </c>
      <c r="C37" s="31" t="s">
        <v>298</v>
      </c>
      <c r="D37" s="31" t="s">
        <v>299</v>
      </c>
      <c r="E37" s="7" t="s">
        <v>300</v>
      </c>
    </row>
    <row r="38" customFormat="false" ht="31.5" hidden="false" customHeight="true" outlineLevel="0" collapsed="false">
      <c r="B38" s="30" t="s">
        <v>155</v>
      </c>
      <c r="C38" s="31" t="s">
        <v>301</v>
      </c>
      <c r="D38" s="31" t="s">
        <v>268</v>
      </c>
      <c r="E38" s="7" t="s">
        <v>302</v>
      </c>
    </row>
    <row r="40" customFormat="false" ht="21.75" hidden="false" customHeight="true" outlineLevel="0" collapsed="false">
      <c r="B40" s="11" t="s">
        <v>303</v>
      </c>
      <c r="C40" s="11"/>
      <c r="D40" s="11"/>
      <c r="E40" s="11"/>
    </row>
    <row r="41" customFormat="false" ht="21.75" hidden="false" customHeight="true" outlineLevel="0" collapsed="false">
      <c r="B41" s="8" t="s">
        <v>304</v>
      </c>
      <c r="C41" s="8" t="s">
        <v>305</v>
      </c>
      <c r="D41" s="8" t="s">
        <v>306</v>
      </c>
      <c r="E41" s="8" t="s">
        <v>307</v>
      </c>
    </row>
    <row r="42" customFormat="false" ht="31.5" hidden="false" customHeight="true" outlineLevel="0" collapsed="false">
      <c r="B42" s="30" t="s">
        <v>308</v>
      </c>
      <c r="C42" s="31" t="s">
        <v>309</v>
      </c>
      <c r="D42" s="31" t="s">
        <v>310</v>
      </c>
      <c r="E42" s="7" t="s">
        <v>311</v>
      </c>
    </row>
    <row r="43" customFormat="false" ht="31.5" hidden="false" customHeight="true" outlineLevel="0" collapsed="false">
      <c r="B43" s="30" t="s">
        <v>312</v>
      </c>
      <c r="C43" s="31" t="s">
        <v>313</v>
      </c>
      <c r="D43" s="31" t="s">
        <v>314</v>
      </c>
      <c r="E43" s="7" t="s">
        <v>315</v>
      </c>
    </row>
    <row r="44" customFormat="false" ht="31.5" hidden="false" customHeight="true" outlineLevel="0" collapsed="false">
      <c r="B44" s="30" t="s">
        <v>316</v>
      </c>
      <c r="C44" s="31" t="s">
        <v>317</v>
      </c>
      <c r="D44" s="31" t="s">
        <v>318</v>
      </c>
      <c r="E44" s="7" t="s">
        <v>319</v>
      </c>
    </row>
    <row r="45" customFormat="false" ht="31.5" hidden="false" customHeight="true" outlineLevel="0" collapsed="false">
      <c r="B45" s="30" t="s">
        <v>320</v>
      </c>
      <c r="C45" s="31" t="s">
        <v>321</v>
      </c>
      <c r="D45" s="31" t="s">
        <v>322</v>
      </c>
      <c r="E45" s="7" t="s">
        <v>323</v>
      </c>
    </row>
    <row r="46" customFormat="false" ht="15" hidden="false" customHeight="true" outlineLevel="0" collapsed="false">
      <c r="B46" s="9" t="s">
        <v>324</v>
      </c>
      <c r="C46" s="9"/>
      <c r="D46" s="9"/>
      <c r="E46" s="9"/>
    </row>
  </sheetData>
  <mergeCells count="9">
    <mergeCell ref="B1:E1"/>
    <mergeCell ref="B2:E2"/>
    <mergeCell ref="B4:E4"/>
    <mergeCell ref="B9:E9"/>
    <mergeCell ref="B15:E15"/>
    <mergeCell ref="B22:E22"/>
    <mergeCell ref="B30:E30"/>
    <mergeCell ref="B40:E40"/>
    <mergeCell ref="B46:E4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325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326</v>
      </c>
      <c r="C2" s="2"/>
      <c r="D2" s="2"/>
      <c r="E2" s="2"/>
      <c r="F2" s="2"/>
    </row>
    <row r="4" customFormat="false" ht="21.75" hidden="false" customHeight="true" outlineLevel="0" collapsed="false">
      <c r="B4" s="12" t="s">
        <v>136</v>
      </c>
      <c r="C4" s="12" t="s">
        <v>327</v>
      </c>
      <c r="D4" s="12" t="s">
        <v>328</v>
      </c>
      <c r="E4" s="12" t="s">
        <v>82</v>
      </c>
      <c r="F4" s="12" t="s">
        <v>83</v>
      </c>
    </row>
    <row r="5" customFormat="false" ht="31.5" hidden="false" customHeight="true" outlineLevel="0" collapsed="false">
      <c r="B5" s="17" t="n">
        <v>1</v>
      </c>
      <c r="C5" s="6" t="s">
        <v>329</v>
      </c>
      <c r="D5" s="7" t="s">
        <v>330</v>
      </c>
      <c r="E5" s="18"/>
      <c r="F5" s="5"/>
    </row>
    <row r="6" customFormat="false" ht="19.5" hidden="false" customHeight="true" outlineLevel="0" collapsed="false">
      <c r="B6" s="17" t="n">
        <v>2</v>
      </c>
      <c r="C6" s="6" t="s">
        <v>329</v>
      </c>
      <c r="D6" s="7" t="s">
        <v>331</v>
      </c>
      <c r="E6" s="18"/>
      <c r="F6" s="5"/>
    </row>
    <row r="7" customFormat="false" ht="31.5" hidden="false" customHeight="true" outlineLevel="0" collapsed="false">
      <c r="B7" s="17" t="n">
        <v>3</v>
      </c>
      <c r="C7" s="6" t="s">
        <v>329</v>
      </c>
      <c r="D7" s="7" t="s">
        <v>332</v>
      </c>
      <c r="E7" s="18"/>
      <c r="F7" s="5"/>
    </row>
    <row r="8" customFormat="false" ht="31.5" hidden="false" customHeight="true" outlineLevel="0" collapsed="false">
      <c r="B8" s="17" t="n">
        <v>4</v>
      </c>
      <c r="C8" s="6" t="s">
        <v>333</v>
      </c>
      <c r="D8" s="7" t="s">
        <v>334</v>
      </c>
      <c r="E8" s="18"/>
      <c r="F8" s="5"/>
    </row>
    <row r="9" customFormat="false" ht="31.5" hidden="false" customHeight="true" outlineLevel="0" collapsed="false">
      <c r="B9" s="17" t="n">
        <v>5</v>
      </c>
      <c r="C9" s="6" t="s">
        <v>333</v>
      </c>
      <c r="D9" s="7" t="s">
        <v>335</v>
      </c>
      <c r="E9" s="18"/>
      <c r="F9" s="5"/>
    </row>
    <row r="10" customFormat="false" ht="31.5" hidden="false" customHeight="true" outlineLevel="0" collapsed="false">
      <c r="B10" s="17" t="n">
        <v>6</v>
      </c>
      <c r="C10" s="6" t="s">
        <v>336</v>
      </c>
      <c r="D10" s="7" t="s">
        <v>337</v>
      </c>
      <c r="E10" s="18"/>
      <c r="F10" s="5"/>
    </row>
    <row r="11" customFormat="false" ht="31.5" hidden="false" customHeight="true" outlineLevel="0" collapsed="false">
      <c r="B11" s="17" t="n">
        <v>7</v>
      </c>
      <c r="C11" s="6" t="s">
        <v>336</v>
      </c>
      <c r="D11" s="7" t="s">
        <v>338</v>
      </c>
      <c r="E11" s="18"/>
      <c r="F11" s="5"/>
    </row>
    <row r="12" customFormat="false" ht="31.5" hidden="false" customHeight="true" outlineLevel="0" collapsed="false">
      <c r="B12" s="17" t="n">
        <v>8</v>
      </c>
      <c r="C12" s="6" t="s">
        <v>336</v>
      </c>
      <c r="D12" s="7" t="s">
        <v>339</v>
      </c>
      <c r="E12" s="18"/>
      <c r="F12" s="5"/>
    </row>
    <row r="13" customFormat="false" ht="31.5" hidden="false" customHeight="true" outlineLevel="0" collapsed="false">
      <c r="B13" s="17" t="n">
        <v>9</v>
      </c>
      <c r="C13" s="6" t="s">
        <v>336</v>
      </c>
      <c r="D13" s="7" t="s">
        <v>340</v>
      </c>
      <c r="E13" s="18"/>
      <c r="F13" s="5"/>
    </row>
    <row r="14" customFormat="false" ht="31.5" hidden="false" customHeight="true" outlineLevel="0" collapsed="false">
      <c r="B14" s="17" t="n">
        <v>10</v>
      </c>
      <c r="C14" s="6" t="s">
        <v>336</v>
      </c>
      <c r="D14" s="7" t="s">
        <v>341</v>
      </c>
      <c r="E14" s="18"/>
      <c r="F14" s="5"/>
    </row>
    <row r="15" customFormat="false" ht="31.5" hidden="false" customHeight="true" outlineLevel="0" collapsed="false">
      <c r="B15" s="17" t="n">
        <v>11</v>
      </c>
      <c r="C15" s="6" t="s">
        <v>342</v>
      </c>
      <c r="D15" s="7" t="s">
        <v>343</v>
      </c>
      <c r="E15" s="18"/>
      <c r="F15" s="5"/>
    </row>
    <row r="16" customFormat="false" ht="31.5" hidden="false" customHeight="true" outlineLevel="0" collapsed="false">
      <c r="B16" s="17" t="n">
        <v>12</v>
      </c>
      <c r="C16" s="6" t="s">
        <v>342</v>
      </c>
      <c r="D16" s="7" t="s">
        <v>344</v>
      </c>
      <c r="E16" s="18"/>
      <c r="F16" s="5"/>
    </row>
    <row r="18" customFormat="false" ht="19.5" hidden="false" customHeight="true" outlineLevel="0" collapsed="false">
      <c r="B18" s="20" t="s">
        <v>345</v>
      </c>
      <c r="C18" s="20"/>
      <c r="D18" s="20"/>
      <c r="E18" s="8" t="n">
        <f aca="false">COUNTA(E5:E16)</f>
        <v>0</v>
      </c>
    </row>
    <row r="19" customFormat="false" ht="19.5" hidden="false" customHeight="true" outlineLevel="0" collapsed="false">
      <c r="B19" s="20" t="s">
        <v>346</v>
      </c>
      <c r="C19" s="20"/>
      <c r="D19" s="20"/>
      <c r="E19" s="32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0" t="s">
        <v>82</v>
      </c>
      <c r="C20" s="20"/>
      <c r="D20" s="20"/>
      <c r="E20" s="19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3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34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347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61</v>
      </c>
      <c r="C4" s="4"/>
      <c r="D4" s="33" t="s">
        <v>348</v>
      </c>
      <c r="E4" s="33"/>
      <c r="F4" s="33"/>
      <c r="G4" s="33"/>
      <c r="H4" s="33"/>
      <c r="I4" s="9" t="s">
        <v>62</v>
      </c>
      <c r="J4" s="9"/>
      <c r="K4" s="9"/>
      <c r="L4" s="9"/>
      <c r="M4" s="9"/>
    </row>
    <row r="5" customFormat="false" ht="21.75" hidden="false" customHeight="true" outlineLevel="0" collapsed="false">
      <c r="B5" s="4" t="s">
        <v>63</v>
      </c>
      <c r="C5" s="4"/>
      <c r="D5" s="33" t="s">
        <v>349</v>
      </c>
      <c r="E5" s="33"/>
      <c r="F5" s="33"/>
      <c r="G5" s="33"/>
      <c r="H5" s="33"/>
      <c r="I5" s="9" t="s">
        <v>64</v>
      </c>
      <c r="J5" s="9"/>
      <c r="K5" s="9"/>
      <c r="L5" s="9"/>
      <c r="M5" s="9"/>
    </row>
    <row r="6" customFormat="false" ht="21.75" hidden="false" customHeight="true" outlineLevel="0" collapsed="false">
      <c r="B6" s="4" t="s">
        <v>65</v>
      </c>
      <c r="C6" s="4"/>
      <c r="D6" s="34" t="n">
        <v>46299</v>
      </c>
      <c r="E6" s="34"/>
      <c r="F6" s="34"/>
      <c r="G6" s="34"/>
      <c r="H6" s="34"/>
      <c r="I6" s="9" t="s">
        <v>66</v>
      </c>
      <c r="J6" s="9"/>
      <c r="K6" s="9"/>
      <c r="L6" s="9"/>
      <c r="M6" s="9"/>
    </row>
    <row r="7" customFormat="false" ht="21.75" hidden="false" customHeight="true" outlineLevel="0" collapsed="false">
      <c r="B7" s="4" t="s">
        <v>67</v>
      </c>
      <c r="C7" s="4"/>
      <c r="D7" s="33" t="s">
        <v>350</v>
      </c>
      <c r="E7" s="33"/>
      <c r="F7" s="33"/>
      <c r="G7" s="33"/>
      <c r="H7" s="33"/>
      <c r="I7" s="9" t="s">
        <v>68</v>
      </c>
      <c r="J7" s="9"/>
      <c r="K7" s="9"/>
      <c r="L7" s="9"/>
      <c r="M7" s="9"/>
    </row>
    <row r="8" customFormat="false" ht="21.75" hidden="false" customHeight="true" outlineLevel="0" collapsed="false">
      <c r="B8" s="4" t="s">
        <v>69</v>
      </c>
      <c r="C8" s="4"/>
      <c r="D8" s="33" t="s">
        <v>351</v>
      </c>
      <c r="E8" s="33"/>
      <c r="F8" s="33"/>
      <c r="G8" s="33"/>
      <c r="H8" s="33"/>
      <c r="I8" s="9" t="s">
        <v>70</v>
      </c>
      <c r="J8" s="9"/>
      <c r="K8" s="9"/>
      <c r="L8" s="9"/>
      <c r="M8" s="9"/>
    </row>
    <row r="10" customFormat="false" ht="21.75" hidden="false" customHeight="true" outlineLevel="0" collapsed="false">
      <c r="B10" s="11" t="s">
        <v>71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30" hidden="false" customHeight="true" outlineLevel="0" collapsed="false">
      <c r="B11" s="12" t="s">
        <v>72</v>
      </c>
      <c r="C11" s="12" t="s">
        <v>73</v>
      </c>
      <c r="D11" s="13" t="s">
        <v>74</v>
      </c>
      <c r="E11" s="13" t="s">
        <v>75</v>
      </c>
      <c r="F11" s="13" t="s">
        <v>76</v>
      </c>
      <c r="G11" s="13" t="s">
        <v>77</v>
      </c>
      <c r="H11" s="13" t="s">
        <v>78</v>
      </c>
      <c r="I11" s="13" t="s">
        <v>79</v>
      </c>
      <c r="J11" s="13" t="s">
        <v>80</v>
      </c>
      <c r="K11" s="14" t="s">
        <v>81</v>
      </c>
      <c r="L11" s="15" t="s">
        <v>82</v>
      </c>
      <c r="M11" s="12" t="s">
        <v>83</v>
      </c>
    </row>
    <row r="12" customFormat="false" ht="27" hidden="false" customHeight="true" outlineLevel="0" collapsed="false">
      <c r="B12" s="16" t="s">
        <v>84</v>
      </c>
      <c r="C12" s="16" t="s">
        <v>85</v>
      </c>
      <c r="D12" s="16" t="s">
        <v>86</v>
      </c>
      <c r="E12" s="16" t="s">
        <v>87</v>
      </c>
      <c r="F12" s="16" t="s">
        <v>88</v>
      </c>
      <c r="G12" s="16" t="s">
        <v>86</v>
      </c>
      <c r="H12" s="16" t="s">
        <v>89</v>
      </c>
      <c r="I12" s="16" t="s">
        <v>90</v>
      </c>
      <c r="J12" s="16" t="s">
        <v>91</v>
      </c>
      <c r="K12" s="16" t="s">
        <v>92</v>
      </c>
      <c r="L12" s="16"/>
      <c r="M12" s="16"/>
    </row>
    <row r="13" customFormat="false" ht="24" hidden="false" customHeight="true" outlineLevel="0" collapsed="false">
      <c r="B13" s="9" t="s">
        <v>352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21.75" hidden="false" customHeight="true" outlineLevel="0" collapsed="false">
      <c r="B14" s="17" t="n">
        <v>1</v>
      </c>
      <c r="C14" s="33" t="s">
        <v>353</v>
      </c>
      <c r="D14" s="35" t="s">
        <v>354</v>
      </c>
      <c r="E14" s="33" t="s">
        <v>355</v>
      </c>
      <c r="F14" s="35" t="s">
        <v>97</v>
      </c>
      <c r="G14" s="35" t="s">
        <v>356</v>
      </c>
      <c r="H14" s="35" t="n">
        <v>1</v>
      </c>
      <c r="I14" s="35" t="s">
        <v>357</v>
      </c>
      <c r="J14" s="35" t="s">
        <v>358</v>
      </c>
      <c r="K14" s="35" t="s">
        <v>101</v>
      </c>
      <c r="L14" s="19" t="str">
        <f aca="false">IF(C14="","",IF(D14="","Falta o tipo",IF(AND(D14&lt;&gt;"Linha",E14=""),"Falta microfone ou DI",IF(H14="","Falta a entrada",IF(COUNTIF($H$14:$H$37,H14)&gt;1,"Entrada repetida",IF(K14="Problema","Linha com problema",IF(K14="","Sem line check","OK")))))))</f>
        <v>OK</v>
      </c>
      <c r="M14" s="33" t="s">
        <v>359</v>
      </c>
    </row>
    <row r="15" customFormat="false" ht="21.75" hidden="false" customHeight="true" outlineLevel="0" collapsed="false">
      <c r="B15" s="17" t="n">
        <v>2</v>
      </c>
      <c r="C15" s="33" t="s">
        <v>360</v>
      </c>
      <c r="D15" s="35" t="s">
        <v>354</v>
      </c>
      <c r="E15" s="33" t="s">
        <v>361</v>
      </c>
      <c r="F15" s="35" t="s">
        <v>97</v>
      </c>
      <c r="G15" s="35" t="s">
        <v>356</v>
      </c>
      <c r="H15" s="35" t="n">
        <v>2</v>
      </c>
      <c r="I15" s="35" t="s">
        <v>357</v>
      </c>
      <c r="J15" s="35" t="s">
        <v>358</v>
      </c>
      <c r="K15" s="35" t="s">
        <v>101</v>
      </c>
      <c r="L15" s="19" t="str">
        <f aca="false">IF(C15="","",IF(D15="","Falta o tipo",IF(AND(D15&lt;&gt;"Linha",E15=""),"Falta microfone ou DI",IF(H15="","Falta a entrada",IF(COUNTIF($H$14:$H$37,H15)&gt;1,"Entrada repetida",IF(K15="Problema","Linha com problema",IF(K15="","Sem line check","OK")))))))</f>
        <v>OK</v>
      </c>
      <c r="M15" s="33"/>
    </row>
    <row r="16" customFormat="false" ht="21.75" hidden="false" customHeight="true" outlineLevel="0" collapsed="false">
      <c r="B16" s="17" t="n">
        <v>3</v>
      </c>
      <c r="C16" s="33" t="s">
        <v>362</v>
      </c>
      <c r="D16" s="35" t="s">
        <v>354</v>
      </c>
      <c r="E16" s="33" t="s">
        <v>363</v>
      </c>
      <c r="F16" s="35" t="s">
        <v>197</v>
      </c>
      <c r="G16" s="35" t="s">
        <v>364</v>
      </c>
      <c r="H16" s="35" t="n">
        <v>3</v>
      </c>
      <c r="I16" s="35" t="s">
        <v>357</v>
      </c>
      <c r="J16" s="35"/>
      <c r="K16" s="35" t="s">
        <v>101</v>
      </c>
      <c r="L16" s="19" t="str">
        <f aca="false">IF(C16="","",IF(D16="","Falta o tipo",IF(AND(D16&lt;&gt;"Linha",E16=""),"Falta microfone ou DI",IF(H16="","Falta a entrada",IF(COUNTIF($H$14:$H$37,H16)&gt;1,"Entrada repetida",IF(K16="Problema","Linha com problema",IF(K16="","Sem line check","OK")))))))</f>
        <v>OK</v>
      </c>
      <c r="M16" s="33" t="s">
        <v>365</v>
      </c>
    </row>
    <row r="17" customFormat="false" ht="21.75" hidden="false" customHeight="true" outlineLevel="0" collapsed="false">
      <c r="B17" s="17" t="n">
        <v>4</v>
      </c>
      <c r="C17" s="33" t="s">
        <v>366</v>
      </c>
      <c r="D17" s="35" t="s">
        <v>354</v>
      </c>
      <c r="E17" s="33" t="s">
        <v>363</v>
      </c>
      <c r="F17" s="35" t="s">
        <v>197</v>
      </c>
      <c r="G17" s="35" t="s">
        <v>364</v>
      </c>
      <c r="H17" s="35" t="n">
        <v>4</v>
      </c>
      <c r="I17" s="35" t="s">
        <v>357</v>
      </c>
      <c r="J17" s="35"/>
      <c r="K17" s="35" t="s">
        <v>101</v>
      </c>
      <c r="L17" s="19" t="str">
        <f aca="false">IF(C17="","",IF(D17="","Falta o tipo",IF(AND(D17&lt;&gt;"Linha",E17=""),"Falta microfone ou DI",IF(H17="","Falta a entrada",IF(COUNTIF($H$14:$H$37,H17)&gt;1,"Entrada repetida",IF(K17="Problema","Linha com problema",IF(K17="","Sem line check","OK")))))))</f>
        <v>OK</v>
      </c>
      <c r="M17" s="33" t="s">
        <v>365</v>
      </c>
    </row>
    <row r="18" customFormat="false" ht="21.75" hidden="false" customHeight="true" outlineLevel="0" collapsed="false">
      <c r="B18" s="17" t="n">
        <v>5</v>
      </c>
      <c r="C18" s="33" t="s">
        <v>356</v>
      </c>
      <c r="D18" s="35" t="s">
        <v>367</v>
      </c>
      <c r="E18" s="33" t="s">
        <v>368</v>
      </c>
      <c r="F18" s="35" t="s">
        <v>197</v>
      </c>
      <c r="G18" s="35" t="s">
        <v>97</v>
      </c>
      <c r="H18" s="35" t="n">
        <v>5</v>
      </c>
      <c r="I18" s="35" t="s">
        <v>369</v>
      </c>
      <c r="J18" s="35" t="s">
        <v>358</v>
      </c>
      <c r="K18" s="35" t="s">
        <v>101</v>
      </c>
      <c r="L18" s="19" t="str">
        <f aca="false">IF(C18="","",IF(D18="","Falta o tipo",IF(AND(D18&lt;&gt;"Linha",E18=""),"Falta microfone ou DI",IF(H18="","Falta a entrada",IF(COUNTIF($H$14:$H$37,H18)&gt;1,"Entrada repetida",IF(K18="Problema","Linha com problema",IF(K18="","Sem line check","OK")))))))</f>
        <v>OK</v>
      </c>
      <c r="M18" s="33" t="s">
        <v>370</v>
      </c>
    </row>
    <row r="19" customFormat="false" ht="21.75" hidden="false" customHeight="true" outlineLevel="0" collapsed="false">
      <c r="B19" s="17" t="n">
        <v>6</v>
      </c>
      <c r="C19" s="33" t="s">
        <v>371</v>
      </c>
      <c r="D19" s="35" t="s">
        <v>367</v>
      </c>
      <c r="E19" s="33" t="s">
        <v>372</v>
      </c>
      <c r="F19" s="35" t="s">
        <v>97</v>
      </c>
      <c r="G19" s="35" t="s">
        <v>97</v>
      </c>
      <c r="H19" s="35" t="n">
        <v>6</v>
      </c>
      <c r="I19" s="35" t="s">
        <v>373</v>
      </c>
      <c r="J19" s="35" t="s">
        <v>374</v>
      </c>
      <c r="K19" s="35" t="s">
        <v>375</v>
      </c>
      <c r="L19" s="19" t="str">
        <f aca="false">IF(C19="","",IF(D19="","Falta o tipo",IF(AND(D19&lt;&gt;"Linha",E19=""),"Falta microfone ou DI",IF(H19="","Falta a entrada",IF(COUNTIF($H$14:$H$37,H19)&gt;1,"Entrada repetida",IF(K19="Problema","Linha com problema",IF(K19="","Sem line check","OK")))))))</f>
        <v>Linha com problema</v>
      </c>
      <c r="M19" s="33" t="s">
        <v>376</v>
      </c>
    </row>
    <row r="20" customFormat="false" ht="21.75" hidden="false" customHeight="true" outlineLevel="0" collapsed="false">
      <c r="B20" s="17" t="n">
        <v>7</v>
      </c>
      <c r="C20" s="33" t="s">
        <v>377</v>
      </c>
      <c r="D20" s="35" t="s">
        <v>367</v>
      </c>
      <c r="E20" s="33" t="s">
        <v>372</v>
      </c>
      <c r="F20" s="35" t="s">
        <v>97</v>
      </c>
      <c r="G20" s="35" t="s">
        <v>97</v>
      </c>
      <c r="H20" s="35" t="n">
        <v>7</v>
      </c>
      <c r="I20" s="35" t="s">
        <v>378</v>
      </c>
      <c r="J20" s="35" t="s">
        <v>379</v>
      </c>
      <c r="K20" s="35" t="s">
        <v>101</v>
      </c>
      <c r="L20" s="19" t="str">
        <f aca="false">IF(C20="","",IF(D20="","Falta o tipo",IF(AND(D20&lt;&gt;"Linha",E20=""),"Falta microfone ou DI",IF(H20="","Falta a entrada",IF(COUNTIF($H$14:$H$37,H20)&gt;1,"Entrada repetida",IF(K20="Problema","Linha com problema",IF(K20="","Sem line check","OK")))))))</f>
        <v>Entrada repetida</v>
      </c>
      <c r="M20" s="33"/>
    </row>
    <row r="21" customFormat="false" ht="21.75" hidden="false" customHeight="true" outlineLevel="0" collapsed="false">
      <c r="B21" s="17" t="n">
        <v>8</v>
      </c>
      <c r="C21" s="33" t="s">
        <v>380</v>
      </c>
      <c r="D21" s="35" t="s">
        <v>367</v>
      </c>
      <c r="E21" s="33" t="s">
        <v>372</v>
      </c>
      <c r="F21" s="35" t="s">
        <v>97</v>
      </c>
      <c r="G21" s="35" t="s">
        <v>97</v>
      </c>
      <c r="H21" s="35" t="n">
        <v>7</v>
      </c>
      <c r="I21" s="35" t="s">
        <v>378</v>
      </c>
      <c r="J21" s="35" t="s">
        <v>379</v>
      </c>
      <c r="K21" s="35" t="s">
        <v>375</v>
      </c>
      <c r="L21" s="19" t="str">
        <f aca="false">IF(C21="","",IF(D21="","Falta o tipo",IF(AND(D21&lt;&gt;"Linha",E21=""),"Falta microfone ou DI",IF(H21="","Falta a entrada",IF(COUNTIF($H$14:$H$37,H21)&gt;1,"Entrada repetida",IF(K21="Problema","Linha com problema",IF(K21="","Sem line check","OK")))))))</f>
        <v>Entrada repetida</v>
      </c>
      <c r="M21" s="33" t="s">
        <v>381</v>
      </c>
    </row>
    <row r="22" customFormat="false" ht="21.75" hidden="false" customHeight="true" outlineLevel="0" collapsed="false">
      <c r="B22" s="17" t="n">
        <v>9</v>
      </c>
      <c r="C22" s="33" t="s">
        <v>94</v>
      </c>
      <c r="D22" s="35" t="s">
        <v>95</v>
      </c>
      <c r="E22" s="33" t="s">
        <v>96</v>
      </c>
      <c r="F22" s="35" t="s">
        <v>97</v>
      </c>
      <c r="G22" s="35" t="s">
        <v>98</v>
      </c>
      <c r="H22" s="35" t="n">
        <v>9</v>
      </c>
      <c r="I22" s="35" t="s">
        <v>99</v>
      </c>
      <c r="J22" s="35" t="s">
        <v>100</v>
      </c>
      <c r="K22" s="35" t="s">
        <v>101</v>
      </c>
      <c r="L22" s="19" t="str">
        <f aca="false">IF(C22="","",IF(D22="","Falta o tipo",IF(AND(D22&lt;&gt;"Linha",E22=""),"Falta microfone ou DI",IF(H22="","Falta a entrada",IF(COUNTIF($H$14:$H$37,H22)&gt;1,"Entrada repetida",IF(K22="Problema","Linha com problema",IF(K22="","Sem line check","OK")))))))</f>
        <v>OK</v>
      </c>
      <c r="M22" s="33" t="s">
        <v>382</v>
      </c>
    </row>
    <row r="23" customFormat="false" ht="21.75" hidden="false" customHeight="true" outlineLevel="0" collapsed="false">
      <c r="B23" s="17" t="n">
        <v>10</v>
      </c>
      <c r="C23" s="33" t="s">
        <v>383</v>
      </c>
      <c r="D23" s="35" t="s">
        <v>354</v>
      </c>
      <c r="E23" s="33" t="s">
        <v>96</v>
      </c>
      <c r="F23" s="35" t="s">
        <v>97</v>
      </c>
      <c r="G23" s="35" t="s">
        <v>364</v>
      </c>
      <c r="H23" s="35" t="n">
        <v>10</v>
      </c>
      <c r="I23" s="35" t="s">
        <v>384</v>
      </c>
      <c r="J23" s="35" t="s">
        <v>379</v>
      </c>
      <c r="K23" s="35" t="s">
        <v>101</v>
      </c>
      <c r="L23" s="19" t="str">
        <f aca="false">IF(C23="","",IF(D23="","Falta o tipo",IF(AND(D23&lt;&gt;"Linha",E23=""),"Falta microfone ou DI",IF(H23="","Falta a entrada",IF(COUNTIF($H$14:$H$37,H23)&gt;1,"Entrada repetida",IF(K23="Problema","Linha com problema",IF(K23="","Sem line check","OK")))))))</f>
        <v>OK</v>
      </c>
      <c r="M23" s="33"/>
    </row>
    <row r="24" customFormat="false" ht="21.75" hidden="false" customHeight="true" outlineLevel="0" collapsed="false">
      <c r="B24" s="17" t="n">
        <v>11</v>
      </c>
      <c r="C24" s="33" t="s">
        <v>385</v>
      </c>
      <c r="D24" s="35" t="s">
        <v>354</v>
      </c>
      <c r="E24" s="33" t="s">
        <v>96</v>
      </c>
      <c r="F24" s="35" t="s">
        <v>97</v>
      </c>
      <c r="G24" s="35" t="s">
        <v>364</v>
      </c>
      <c r="H24" s="35" t="n">
        <v>11</v>
      </c>
      <c r="I24" s="35" t="s">
        <v>386</v>
      </c>
      <c r="J24" s="35" t="s">
        <v>379</v>
      </c>
      <c r="K24" s="35" t="s">
        <v>101</v>
      </c>
      <c r="L24" s="19" t="str">
        <f aca="false">IF(C24="","",IF(D24="","Falta o tipo",IF(AND(D24&lt;&gt;"Linha",E24=""),"Falta microfone ou DI",IF(H24="","Falta a entrada",IF(COUNTIF($H$14:$H$37,H24)&gt;1,"Entrada repetida",IF(K24="Problema","Linha com problema",IF(K24="","Sem line check","OK")))))))</f>
        <v>OK</v>
      </c>
      <c r="M24" s="33"/>
    </row>
    <row r="25" customFormat="false" ht="21.75" hidden="false" customHeight="true" outlineLevel="0" collapsed="false">
      <c r="B25" s="17" t="n">
        <v>12</v>
      </c>
      <c r="C25" s="33" t="s">
        <v>387</v>
      </c>
      <c r="D25" s="35" t="s">
        <v>95</v>
      </c>
      <c r="E25" s="33" t="s">
        <v>388</v>
      </c>
      <c r="F25" s="35" t="s">
        <v>97</v>
      </c>
      <c r="G25" s="35" t="s">
        <v>97</v>
      </c>
      <c r="H25" s="35" t="n">
        <v>12</v>
      </c>
      <c r="I25" s="35" t="s">
        <v>99</v>
      </c>
      <c r="J25" s="35" t="s">
        <v>100</v>
      </c>
      <c r="K25" s="35" t="s">
        <v>101</v>
      </c>
      <c r="L25" s="19" t="str">
        <f aca="false">IF(C25="","",IF(D25="","Falta o tipo",IF(AND(D25&lt;&gt;"Linha",E25=""),"Falta microfone ou DI",IF(H25="","Falta a entrada",IF(COUNTIF($H$14:$H$37,H25)&gt;1,"Entrada repetida",IF(K25="Problema","Linha com problema",IF(K25="","Sem line check","OK")))))))</f>
        <v>OK</v>
      </c>
      <c r="M25" s="33" t="s">
        <v>102</v>
      </c>
    </row>
    <row r="26" customFormat="false" ht="21.75" hidden="false" customHeight="true" outlineLevel="0" collapsed="false">
      <c r="B26" s="17" t="n">
        <v>13</v>
      </c>
      <c r="C26" s="33" t="s">
        <v>389</v>
      </c>
      <c r="D26" s="35" t="s">
        <v>354</v>
      </c>
      <c r="E26" s="33" t="s">
        <v>390</v>
      </c>
      <c r="F26" s="35" t="s">
        <v>197</v>
      </c>
      <c r="G26" s="35" t="s">
        <v>97</v>
      </c>
      <c r="H26" s="35" t="n">
        <v>13</v>
      </c>
      <c r="I26" s="35" t="s">
        <v>391</v>
      </c>
      <c r="J26" s="35"/>
      <c r="K26" s="35" t="s">
        <v>101</v>
      </c>
      <c r="L26" s="19" t="str">
        <f aca="false">IF(C26="","",IF(D26="","Falta o tipo",IF(AND(D26&lt;&gt;"Linha",E26=""),"Falta microfone ou DI",IF(H26="","Falta a entrada",IF(COUNTIF($H$14:$H$37,H26)&gt;1,"Entrada repetida",IF(K26="Problema","Linha com problema",IF(K26="","Sem line check","OK")))))))</f>
        <v>OK</v>
      </c>
      <c r="M26" s="33"/>
    </row>
    <row r="27" customFormat="false" ht="21.75" hidden="false" customHeight="true" outlineLevel="0" collapsed="false">
      <c r="B27" s="17" t="n">
        <v>14</v>
      </c>
      <c r="C27" s="33" t="s">
        <v>392</v>
      </c>
      <c r="D27" s="35" t="s">
        <v>393</v>
      </c>
      <c r="E27" s="33"/>
      <c r="F27" s="35" t="s">
        <v>97</v>
      </c>
      <c r="G27" s="35" t="s">
        <v>97</v>
      </c>
      <c r="H27" s="35" t="s">
        <v>394</v>
      </c>
      <c r="I27" s="35"/>
      <c r="J27" s="35"/>
      <c r="K27" s="35" t="s">
        <v>101</v>
      </c>
      <c r="L27" s="19" t="str">
        <f aca="false">IF(C27="","",IF(D27="","Falta o tipo",IF(AND(D27&lt;&gt;"Linha",E27=""),"Falta microfone ou DI",IF(H27="","Falta a entrada",IF(COUNTIF($H$14:$H$37,H27)&gt;1,"Entrada repetida",IF(K27="Problema","Linha com problema",IF(K27="","Sem line check","OK")))))))</f>
        <v>OK</v>
      </c>
      <c r="M27" s="33" t="s">
        <v>395</v>
      </c>
    </row>
    <row r="28" customFormat="false" ht="21.75" hidden="false" customHeight="true" outlineLevel="0" collapsed="false">
      <c r="B28" s="17" t="n">
        <v>15</v>
      </c>
      <c r="C28" s="33" t="s">
        <v>396</v>
      </c>
      <c r="D28" s="35" t="s">
        <v>393</v>
      </c>
      <c r="E28" s="33"/>
      <c r="F28" s="35" t="s">
        <v>97</v>
      </c>
      <c r="G28" s="35" t="s">
        <v>97</v>
      </c>
      <c r="H28" s="35" t="s">
        <v>397</v>
      </c>
      <c r="I28" s="35"/>
      <c r="J28" s="35"/>
      <c r="K28" s="35" t="s">
        <v>101</v>
      </c>
      <c r="L28" s="19" t="str">
        <f aca="false">IF(C28="","",IF(D28="","Falta o tipo",IF(AND(D28&lt;&gt;"Linha",E28=""),"Falta microfone ou DI",IF(H28="","Falta a entrada",IF(COUNTIF($H$14:$H$37,H28)&gt;1,"Entrada repetida",IF(K28="Problema","Linha com problema",IF(K28="","Sem line check","OK")))))))</f>
        <v>OK</v>
      </c>
      <c r="M28" s="33" t="s">
        <v>398</v>
      </c>
    </row>
    <row r="29" customFormat="false" ht="21.75" hidden="false" customHeight="true" outlineLevel="0" collapsed="false">
      <c r="B29" s="17" t="n">
        <v>16</v>
      </c>
      <c r="C29" s="33" t="s">
        <v>399</v>
      </c>
      <c r="D29" s="35" t="s">
        <v>354</v>
      </c>
      <c r="E29" s="33" t="s">
        <v>96</v>
      </c>
      <c r="F29" s="35" t="s">
        <v>97</v>
      </c>
      <c r="G29" s="35" t="s">
        <v>98</v>
      </c>
      <c r="H29" s="35" t="n">
        <v>16</v>
      </c>
      <c r="I29" s="35" t="s">
        <v>391</v>
      </c>
      <c r="J29" s="35"/>
      <c r="K29" s="35"/>
      <c r="L29" s="19" t="str">
        <f aca="false">IF(C29="","",IF(D29="","Falta o tipo",IF(AND(D29&lt;&gt;"Linha",E29=""),"Falta microfone ou DI",IF(H29="","Falta a entrada",IF(COUNTIF($H$14:$H$37,H29)&gt;1,"Entrada repetida",IF(K29="Problema","Linha com problema",IF(K29="","Sem line check","OK")))))))</f>
        <v>Sem line check</v>
      </c>
      <c r="M29" s="33" t="s">
        <v>400</v>
      </c>
    </row>
    <row r="30" customFormat="false" ht="21.75" hidden="false" customHeight="true" outlineLevel="0" collapsed="false">
      <c r="B30" s="17" t="n">
        <v>17</v>
      </c>
      <c r="C30" s="33"/>
      <c r="D30" s="35"/>
      <c r="E30" s="33"/>
      <c r="F30" s="35"/>
      <c r="G30" s="35"/>
      <c r="H30" s="35"/>
      <c r="I30" s="35"/>
      <c r="J30" s="35"/>
      <c r="K30" s="35"/>
      <c r="L30" s="19" t="str">
        <f aca="false">IF(C30="","",IF(D30="","Falta o tipo",IF(AND(D30&lt;&gt;"Linha",E30=""),"Falta microfone ou DI",IF(H30="","Falta a entrada",IF(COUNTIF($H$14:$H$37,H30)&gt;1,"Entrada repetida",IF(K30="Problema","Linha com problema",IF(K30="","Sem line check","OK")))))))</f>
        <v/>
      </c>
      <c r="M30" s="33"/>
    </row>
    <row r="31" customFormat="false" ht="21.75" hidden="false" customHeight="true" outlineLevel="0" collapsed="false">
      <c r="B31" s="17" t="n">
        <v>18</v>
      </c>
      <c r="C31" s="33"/>
      <c r="D31" s="35"/>
      <c r="E31" s="33"/>
      <c r="F31" s="35"/>
      <c r="G31" s="35"/>
      <c r="H31" s="35"/>
      <c r="I31" s="35"/>
      <c r="J31" s="35"/>
      <c r="K31" s="35"/>
      <c r="L31" s="19" t="str">
        <f aca="false">IF(C31="","",IF(D31="","Falta o tipo",IF(AND(D31&lt;&gt;"Linha",E31=""),"Falta microfone ou DI",IF(H31="","Falta a entrada",IF(COUNTIF($H$14:$H$37,H31)&gt;1,"Entrada repetida",IF(K31="Problema","Linha com problema",IF(K31="","Sem line check","OK")))))))</f>
        <v/>
      </c>
      <c r="M31" s="33"/>
    </row>
    <row r="32" customFormat="false" ht="21.75" hidden="false" customHeight="true" outlineLevel="0" collapsed="false">
      <c r="B32" s="17" t="n">
        <v>19</v>
      </c>
      <c r="C32" s="33"/>
      <c r="D32" s="35"/>
      <c r="E32" s="33"/>
      <c r="F32" s="35"/>
      <c r="G32" s="35"/>
      <c r="H32" s="35"/>
      <c r="I32" s="35"/>
      <c r="J32" s="35"/>
      <c r="K32" s="35"/>
      <c r="L32" s="19" t="str">
        <f aca="false">IF(C32="","",IF(D32="","Falta o tipo",IF(AND(D32&lt;&gt;"Linha",E32=""),"Falta microfone ou DI",IF(H32="","Falta a entrada",IF(COUNTIF($H$14:$H$37,H32)&gt;1,"Entrada repetida",IF(K32="Problema","Linha com problema",IF(K32="","Sem line check","OK")))))))</f>
        <v/>
      </c>
      <c r="M32" s="33"/>
    </row>
    <row r="33" customFormat="false" ht="21.75" hidden="false" customHeight="true" outlineLevel="0" collapsed="false">
      <c r="B33" s="17" t="n">
        <v>20</v>
      </c>
      <c r="C33" s="33"/>
      <c r="D33" s="35"/>
      <c r="E33" s="33"/>
      <c r="F33" s="35"/>
      <c r="G33" s="35"/>
      <c r="H33" s="35"/>
      <c r="I33" s="35"/>
      <c r="J33" s="35"/>
      <c r="K33" s="35"/>
      <c r="L33" s="19" t="str">
        <f aca="false">IF(C33="","",IF(D33="","Falta o tipo",IF(AND(D33&lt;&gt;"Linha",E33=""),"Falta microfone ou DI",IF(H33="","Falta a entrada",IF(COUNTIF($H$14:$H$37,H33)&gt;1,"Entrada repetida",IF(K33="Problema","Linha com problema",IF(K33="","Sem line check","OK")))))))</f>
        <v/>
      </c>
      <c r="M33" s="33"/>
    </row>
    <row r="34" customFormat="false" ht="21.75" hidden="false" customHeight="true" outlineLevel="0" collapsed="false">
      <c r="B34" s="17" t="n">
        <v>21</v>
      </c>
      <c r="C34" s="33"/>
      <c r="D34" s="35"/>
      <c r="E34" s="33"/>
      <c r="F34" s="35"/>
      <c r="G34" s="35"/>
      <c r="H34" s="35"/>
      <c r="I34" s="35"/>
      <c r="J34" s="35"/>
      <c r="K34" s="35"/>
      <c r="L34" s="19" t="str">
        <f aca="false">IF(C34="","",IF(D34="","Falta o tipo",IF(AND(D34&lt;&gt;"Linha",E34=""),"Falta microfone ou DI",IF(H34="","Falta a entrada",IF(COUNTIF($H$14:$H$37,H34)&gt;1,"Entrada repetida",IF(K34="Problema","Linha com problema",IF(K34="","Sem line check","OK")))))))</f>
        <v/>
      </c>
      <c r="M34" s="33"/>
    </row>
    <row r="35" customFormat="false" ht="21.75" hidden="false" customHeight="true" outlineLevel="0" collapsed="false">
      <c r="B35" s="17" t="n">
        <v>22</v>
      </c>
      <c r="C35" s="33"/>
      <c r="D35" s="35"/>
      <c r="E35" s="33"/>
      <c r="F35" s="35"/>
      <c r="G35" s="35"/>
      <c r="H35" s="35"/>
      <c r="I35" s="35"/>
      <c r="J35" s="35"/>
      <c r="K35" s="35"/>
      <c r="L35" s="19" t="str">
        <f aca="false">IF(C35="","",IF(D35="","Falta o tipo",IF(AND(D35&lt;&gt;"Linha",E35=""),"Falta microfone ou DI",IF(H35="","Falta a entrada",IF(COUNTIF($H$14:$H$37,H35)&gt;1,"Entrada repetida",IF(K35="Problema","Linha com problema",IF(K35="","Sem line check","OK")))))))</f>
        <v/>
      </c>
      <c r="M35" s="33"/>
    </row>
    <row r="36" customFormat="false" ht="21.75" hidden="false" customHeight="true" outlineLevel="0" collapsed="false">
      <c r="B36" s="17" t="n">
        <v>23</v>
      </c>
      <c r="C36" s="33"/>
      <c r="D36" s="35"/>
      <c r="E36" s="33"/>
      <c r="F36" s="35"/>
      <c r="G36" s="35"/>
      <c r="H36" s="35"/>
      <c r="I36" s="35"/>
      <c r="J36" s="35"/>
      <c r="K36" s="35"/>
      <c r="L36" s="19" t="str">
        <f aca="false">IF(C36="","",IF(D36="","Falta o tipo",IF(AND(D36&lt;&gt;"Linha",E36=""),"Falta microfone ou DI",IF(H36="","Falta a entrada",IF(COUNTIF($H$14:$H$37,H36)&gt;1,"Entrada repetida",IF(K36="Problema","Linha com problema",IF(K36="","Sem line check","OK")))))))</f>
        <v/>
      </c>
      <c r="M36" s="33"/>
    </row>
    <row r="37" customFormat="false" ht="21.75" hidden="false" customHeight="true" outlineLevel="0" collapsed="false">
      <c r="B37" s="17" t="n">
        <v>24</v>
      </c>
      <c r="C37" s="33"/>
      <c r="D37" s="35"/>
      <c r="E37" s="33"/>
      <c r="F37" s="35"/>
      <c r="G37" s="35"/>
      <c r="H37" s="35"/>
      <c r="I37" s="35"/>
      <c r="J37" s="35"/>
      <c r="K37" s="35"/>
      <c r="L37" s="19" t="str">
        <f aca="false">IF(C37="","",IF(D37="","Falta o tipo",IF(AND(D37&lt;&gt;"Linha",E37=""),"Falta microfone ou DI",IF(H37="","Falta a entrada",IF(COUNTIF($H$14:$H$37,H37)&gt;1,"Entrada repetida",IF(K37="Problema","Linha com problema",IF(K37="","Sem line check","OK")))))))</f>
        <v/>
      </c>
      <c r="M37" s="33"/>
    </row>
    <row r="39" customFormat="false" ht="21.75" hidden="false" customHeight="true" outlineLevel="0" collapsed="false">
      <c r="B39" s="11" t="s">
        <v>103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9.5" hidden="false" customHeight="true" outlineLevel="0" collapsed="false">
      <c r="B40" s="20" t="s">
        <v>104</v>
      </c>
      <c r="C40" s="20"/>
      <c r="D40" s="20"/>
      <c r="E40" s="20"/>
      <c r="F40" s="19" t="n">
        <f aca="false">COUNTA(C14:C37)</f>
        <v>16</v>
      </c>
      <c r="G40" s="19"/>
      <c r="H40" s="19"/>
      <c r="I40" s="9" t="s">
        <v>105</v>
      </c>
      <c r="J40" s="9"/>
      <c r="K40" s="9"/>
      <c r="L40" s="9"/>
      <c r="M40" s="9"/>
    </row>
    <row r="41" customFormat="false" ht="19.5" hidden="false" customHeight="true" outlineLevel="0" collapsed="false">
      <c r="B41" s="20" t="s">
        <v>106</v>
      </c>
      <c r="C41" s="20"/>
      <c r="D41" s="20"/>
      <c r="E41" s="20"/>
      <c r="F41" s="19" t="n">
        <f aca="false">COUNTIF(D14:D37,"Microfone")</f>
        <v>8</v>
      </c>
      <c r="G41" s="19"/>
      <c r="H41" s="19"/>
      <c r="I41" s="9"/>
      <c r="J41" s="9"/>
      <c r="K41" s="9"/>
      <c r="L41" s="9"/>
      <c r="M41" s="9"/>
    </row>
    <row r="42" customFormat="false" ht="19.5" hidden="false" customHeight="true" outlineLevel="0" collapsed="false">
      <c r="B42" s="20" t="s">
        <v>107</v>
      </c>
      <c r="C42" s="20"/>
      <c r="D42" s="20"/>
      <c r="E42" s="20"/>
      <c r="F42" s="19" t="n">
        <f aca="false">COUNTIF(D14:D37,"Sem fio")</f>
        <v>2</v>
      </c>
      <c r="G42" s="19"/>
      <c r="H42" s="19"/>
    </row>
    <row r="43" customFormat="false" ht="19.5" hidden="false" customHeight="true" outlineLevel="0" collapsed="false">
      <c r="B43" s="20" t="s">
        <v>108</v>
      </c>
      <c r="C43" s="20"/>
      <c r="D43" s="20"/>
      <c r="E43" s="20"/>
      <c r="F43" s="19" t="n">
        <f aca="false">COUNTIF(D14:D37,"DI")</f>
        <v>4</v>
      </c>
      <c r="G43" s="19"/>
      <c r="H43" s="19"/>
    </row>
    <row r="44" customFormat="false" ht="19.5" hidden="false" customHeight="true" outlineLevel="0" collapsed="false">
      <c r="B44" s="20" t="s">
        <v>109</v>
      </c>
      <c r="C44" s="20"/>
      <c r="D44" s="20"/>
      <c r="E44" s="20"/>
      <c r="F44" s="19" t="n">
        <f aca="false">COUNTIF(D14:D37,"Linha")</f>
        <v>2</v>
      </c>
      <c r="G44" s="19"/>
      <c r="H44" s="19"/>
    </row>
    <row r="45" customFormat="false" ht="19.5" hidden="false" customHeight="true" outlineLevel="0" collapsed="false">
      <c r="B45" s="20" t="s">
        <v>110</v>
      </c>
      <c r="C45" s="20"/>
      <c r="D45" s="20"/>
      <c r="E45" s="20"/>
      <c r="F45" s="19" t="n">
        <f aca="false">COUNTIF(F14:F37,"Sim")</f>
        <v>4</v>
      </c>
      <c r="G45" s="19"/>
      <c r="H45" s="19"/>
    </row>
    <row r="46" customFormat="false" ht="19.5" hidden="false" customHeight="true" outlineLevel="0" collapsed="false">
      <c r="B46" s="20" t="s">
        <v>111</v>
      </c>
      <c r="C46" s="20"/>
      <c r="D46" s="20"/>
      <c r="E46" s="20"/>
      <c r="F46" s="19" t="n">
        <f aca="false">COUNTIF(G14:G37,"Girafa")+COUNTIF(G14:G37,"Reto")+COUNTIF(G14:G37,"Baixo")</f>
        <v>8</v>
      </c>
      <c r="G46" s="19"/>
      <c r="H46" s="19"/>
    </row>
    <row r="47" customFormat="false" ht="19.5" hidden="false" customHeight="true" outlineLevel="0" collapsed="false">
      <c r="B47" s="20" t="s">
        <v>112</v>
      </c>
      <c r="C47" s="20"/>
      <c r="D47" s="20"/>
      <c r="E47" s="20"/>
      <c r="F47" s="19" t="n">
        <f aca="false">COUNTIF(D14:D37,"Microfone")+COUNTIF(D14:D37,"DI")</f>
        <v>12</v>
      </c>
      <c r="G47" s="19"/>
      <c r="H47" s="19"/>
    </row>
    <row r="48" customFormat="false" ht="19.5" hidden="false" customHeight="true" outlineLevel="0" collapsed="false">
      <c r="B48" s="20" t="s">
        <v>113</v>
      </c>
      <c r="C48" s="20"/>
      <c r="D48" s="20"/>
      <c r="E48" s="20"/>
      <c r="F48" s="19" t="n">
        <f aca="false">COUNTIF(K14:K37,"OK")</f>
        <v>13</v>
      </c>
      <c r="G48" s="19"/>
      <c r="H48" s="19"/>
    </row>
    <row r="49" customFormat="false" ht="19.5" hidden="false" customHeight="true" outlineLevel="0" collapsed="false">
      <c r="B49" s="20" t="s">
        <v>114</v>
      </c>
      <c r="C49" s="20"/>
      <c r="D49" s="20"/>
      <c r="E49" s="20"/>
      <c r="F49" s="19" t="n">
        <f aca="false">F40-COUNTIF(L14:L37,"OK")</f>
        <v>4</v>
      </c>
      <c r="G49" s="19"/>
      <c r="H49" s="19"/>
    </row>
    <row r="50" customFormat="false" ht="21.75" hidden="false" customHeight="true" outlineLevel="0" collapsed="false">
      <c r="B50" s="20" t="s">
        <v>115</v>
      </c>
      <c r="C50" s="20"/>
      <c r="D50" s="20"/>
      <c r="E50" s="20"/>
      <c r="F50" s="21" t="str">
        <f aca="false">IF(F40=0,"Liste os canais",IF(F49&gt;0,"Há linhas a resolver antes de a banda subir ao palco","OK"))</f>
        <v>Há linhas a resolver antes de a banda subir ao palco</v>
      </c>
      <c r="G50" s="21"/>
      <c r="H50" s="21"/>
      <c r="I50" s="21"/>
      <c r="J50" s="21"/>
      <c r="K50" s="21"/>
      <c r="L50" s="21"/>
      <c r="M50" s="21"/>
    </row>
    <row r="52" customFormat="false" ht="21.75" hidden="false" customHeight="true" outlineLevel="0" collapsed="false">
      <c r="B52" s="11" t="s">
        <v>116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customFormat="false" ht="15" hidden="false" customHeight="true" outlineLevel="0" collapsed="false">
      <c r="B53" s="16" t="s">
        <v>117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customFormat="false" ht="21.75" hidden="false" customHeight="true" outlineLevel="0" collapsed="false">
      <c r="B54" s="6"/>
      <c r="C54" s="8" t="s">
        <v>118</v>
      </c>
      <c r="D54" s="8" t="s">
        <v>18</v>
      </c>
      <c r="E54" s="8"/>
      <c r="F54" s="8" t="s">
        <v>119</v>
      </c>
      <c r="G54" s="8"/>
      <c r="H54" s="8"/>
      <c r="I54" s="8"/>
      <c r="J54" s="19" t="s">
        <v>22</v>
      </c>
      <c r="K54" s="19"/>
      <c r="L54" s="19"/>
      <c r="M54" s="8" t="s">
        <v>120</v>
      </c>
    </row>
    <row r="55" customFormat="false" ht="54" hidden="false" customHeight="true" outlineLevel="0" collapsed="false">
      <c r="B55" s="8" t="s">
        <v>121</v>
      </c>
      <c r="C55" s="22" t="str">
        <f aca="false">IF($I$14="A1","• "&amp;$B$14&amp;" "&amp;$C$14&amp;"   ","")&amp;IF($I$15="A1","• "&amp;$B$15&amp;" "&amp;$C$15&amp;"   ","")&amp;IF($I$16="A1","• "&amp;$B$16&amp;" "&amp;$C$16&amp;"   ","")&amp;IF($I$17="A1","• "&amp;$B$17&amp;" "&amp;$C$17&amp;"   ","")&amp;IF($I$18="A1","• "&amp;$B$18&amp;" "&amp;$C$18&amp;"   ","")&amp;IF($I$19="A1","• "&amp;$B$19&amp;" "&amp;$C$19&amp;"   ","")&amp;IF($I$20="A1","• "&amp;$B$20&amp;" "&amp;$C$20&amp;"   ","")&amp;IF($I$21="A1","• "&amp;$B$21&amp;" "&amp;$C$21&amp;"   ","")&amp;IF($I$22="A1","• "&amp;$B$22&amp;" "&amp;$C$22&amp;"   ","")&amp;IF($I$23="A1","• "&amp;$B$23&amp;" "&amp;$C$23&amp;"   ","")&amp;IF($I$24="A1","• "&amp;$B$24&amp;" "&amp;$C$24&amp;"   ","")&amp;IF($I$25="A1","• "&amp;$B$25&amp;" "&amp;$C$25&amp;"   ","")&amp;IF($I$26="A1","• "&amp;$B$26&amp;" "&amp;$C$26&amp;"   ","")&amp;IF($I$27="A1","• "&amp;$B$27&amp;" "&amp;$C$27&amp;"   ","")&amp;IF($I$28="A1","• "&amp;$B$28&amp;" "&amp;$C$28&amp;"   ","")&amp;IF($I$29="A1","• "&amp;$B$29&amp;" "&amp;$C$29&amp;"   ","")&amp;IF($I$30="A1","• "&amp;$B$30&amp;" "&amp;$C$30&amp;"   ","")&amp;IF($I$31="A1","• "&amp;$B$31&amp;" "&amp;$C$31&amp;"   ","")&amp;IF($I$32="A1","• "&amp;$B$32&amp;" "&amp;$C$32&amp;"   ","")&amp;IF($I$33="A1","• "&amp;$B$33&amp;" "&amp;$C$33&amp;"   ","")&amp;IF($I$34="A1","• "&amp;$B$34&amp;" "&amp;$C$34&amp;"   ","")&amp;IF($I$35="A1","• "&amp;$B$35&amp;" "&amp;$C$35&amp;"   ","")&amp;IF($I$36="A1","• "&amp;$B$36&amp;" "&amp;$C$36&amp;"   ","")&amp;IF($I$37="A1","• "&amp;$B$37&amp;" "&amp;$C$37&amp;"   ","")</f>
        <v/>
      </c>
      <c r="D55" s="22" t="str">
        <f aca="false">IF($I$14="A2","• "&amp;$B$14&amp;" "&amp;$C$14&amp;"   ","")&amp;IF($I$15="A2","• "&amp;$B$15&amp;" "&amp;$C$15&amp;"   ","")&amp;IF($I$16="A2","• "&amp;$B$16&amp;" "&amp;$C$16&amp;"   ","")&amp;IF($I$17="A2","• "&amp;$B$17&amp;" "&amp;$C$17&amp;"   ","")&amp;IF($I$18="A2","• "&amp;$B$18&amp;" "&amp;$C$18&amp;"   ","")&amp;IF($I$19="A2","• "&amp;$B$19&amp;" "&amp;$C$19&amp;"   ","")&amp;IF($I$20="A2","• "&amp;$B$20&amp;" "&amp;$C$20&amp;"   ","")&amp;IF($I$21="A2","• "&amp;$B$21&amp;" "&amp;$C$21&amp;"   ","")&amp;IF($I$22="A2","• "&amp;$B$22&amp;" "&amp;$C$22&amp;"   ","")&amp;IF($I$23="A2","• "&amp;$B$23&amp;" "&amp;$C$23&amp;"   ","")&amp;IF($I$24="A2","• "&amp;$B$24&amp;" "&amp;$C$24&amp;"   ","")&amp;IF($I$25="A2","• "&amp;$B$25&amp;" "&amp;$C$25&amp;"   ","")&amp;IF($I$26="A2","• "&amp;$B$26&amp;" "&amp;$C$26&amp;"   ","")&amp;IF($I$27="A2","• "&amp;$B$27&amp;" "&amp;$C$27&amp;"   ","")&amp;IF($I$28="A2","• "&amp;$B$28&amp;" "&amp;$C$28&amp;"   ","")&amp;IF($I$29="A2","• "&amp;$B$29&amp;" "&amp;$C$29&amp;"   ","")&amp;IF($I$30="A2","• "&amp;$B$30&amp;" "&amp;$C$30&amp;"   ","")&amp;IF($I$31="A2","• "&amp;$B$31&amp;" "&amp;$C$31&amp;"   ","")&amp;IF($I$32="A2","• "&amp;$B$32&amp;" "&amp;$C$32&amp;"   ","")&amp;IF($I$33="A2","• "&amp;$B$33&amp;" "&amp;$C$33&amp;"   ","")&amp;IF($I$34="A2","• "&amp;$B$34&amp;" "&amp;$C$34&amp;"   ","")&amp;IF($I$35="A2","• "&amp;$B$35&amp;" "&amp;$C$35&amp;"   ","")&amp;IF($I$36="A2","• "&amp;$B$36&amp;" "&amp;$C$36&amp;"   ","")&amp;IF($I$37="A2","• "&amp;$B$37&amp;" "&amp;$C$37&amp;"   ","")</f>
        <v>• 5 Baixo   </v>
      </c>
      <c r="E55" s="22"/>
      <c r="F55" s="22" t="str">
        <f aca="false">IF($I$14="A3","• "&amp;$B$14&amp;" "&amp;$C$14&amp;"   ","")&amp;IF($I$15="A3","• "&amp;$B$15&amp;" "&amp;$C$15&amp;"   ","")&amp;IF($I$16="A3","• "&amp;$B$16&amp;" "&amp;$C$16&amp;"   ","")&amp;IF($I$17="A3","• "&amp;$B$17&amp;" "&amp;$C$17&amp;"   ","")&amp;IF($I$18="A3","• "&amp;$B$18&amp;" "&amp;$C$18&amp;"   ","")&amp;IF($I$19="A3","• "&amp;$B$19&amp;" "&amp;$C$19&amp;"   ","")&amp;IF($I$20="A3","• "&amp;$B$20&amp;" "&amp;$C$20&amp;"   ","")&amp;IF($I$21="A3","• "&amp;$B$21&amp;" "&amp;$C$21&amp;"   ","")&amp;IF($I$22="A3","• "&amp;$B$22&amp;" "&amp;$C$22&amp;"   ","")&amp;IF($I$23="A3","• "&amp;$B$23&amp;" "&amp;$C$23&amp;"   ","")&amp;IF($I$24="A3","• "&amp;$B$24&amp;" "&amp;$C$24&amp;"   ","")&amp;IF($I$25="A3","• "&amp;$B$25&amp;" "&amp;$C$25&amp;"   ","")&amp;IF($I$26="A3","• "&amp;$B$26&amp;" "&amp;$C$26&amp;"   ","")&amp;IF($I$27="A3","• "&amp;$B$27&amp;" "&amp;$C$27&amp;"   ","")&amp;IF($I$28="A3","• "&amp;$B$28&amp;" "&amp;$C$28&amp;"   ","")&amp;IF($I$29="A3","• "&amp;$B$29&amp;" "&amp;$C$29&amp;"   ","")&amp;IF($I$30="A3","• "&amp;$B$30&amp;" "&amp;$C$30&amp;"   ","")&amp;IF($I$31="A3","• "&amp;$B$31&amp;" "&amp;$C$31&amp;"   ","")&amp;IF($I$32="A3","• "&amp;$B$32&amp;" "&amp;$C$32&amp;"   ","")&amp;IF($I$33="A3","• "&amp;$B$33&amp;" "&amp;$C$33&amp;"   ","")&amp;IF($I$34="A3","• "&amp;$B$34&amp;" "&amp;$C$34&amp;"   ","")&amp;IF($I$35="A3","• "&amp;$B$35&amp;" "&amp;$C$35&amp;"   ","")&amp;IF($I$36="A3","• "&amp;$B$36&amp;" "&amp;$C$36&amp;"   ","")&amp;IF($I$37="A3","• "&amp;$B$37&amp;" "&amp;$C$37&amp;"   ","")</f>
        <v>• 1 Bumbo   • 2 Caixa da bateria   • 3 Over da bateria, lado E   • 4 Over da bateria, lado D   </v>
      </c>
      <c r="G55" s="22"/>
      <c r="H55" s="22"/>
      <c r="I55" s="22"/>
      <c r="J55" s="22" t="str">
        <f aca="false">IF($I$14="A4","• "&amp;$B$14&amp;" "&amp;$C$14&amp;"   ","")&amp;IF($I$15="A4","• "&amp;$B$15&amp;" "&amp;$C$15&amp;"   ","")&amp;IF($I$16="A4","• "&amp;$B$16&amp;" "&amp;$C$16&amp;"   ","")&amp;IF($I$17="A4","• "&amp;$B$17&amp;" "&amp;$C$17&amp;"   ","")&amp;IF($I$18="A4","• "&amp;$B$18&amp;" "&amp;$C$18&amp;"   ","")&amp;IF($I$19="A4","• "&amp;$B$19&amp;" "&amp;$C$19&amp;"   ","")&amp;IF($I$20="A4","• "&amp;$B$20&amp;" "&amp;$C$20&amp;"   ","")&amp;IF($I$21="A4","• "&amp;$B$21&amp;" "&amp;$C$21&amp;"   ","")&amp;IF($I$22="A4","• "&amp;$B$22&amp;" "&amp;$C$22&amp;"   ","")&amp;IF($I$23="A4","• "&amp;$B$23&amp;" "&amp;$C$23&amp;"   ","")&amp;IF($I$24="A4","• "&amp;$B$24&amp;" "&amp;$C$24&amp;"   ","")&amp;IF($I$25="A4","• "&amp;$B$25&amp;" "&amp;$C$25&amp;"   ","")&amp;IF($I$26="A4","• "&amp;$B$26&amp;" "&amp;$C$26&amp;"   ","")&amp;IF($I$27="A4","• "&amp;$B$27&amp;" "&amp;$C$27&amp;"   ","")&amp;IF($I$28="A4","• "&amp;$B$28&amp;" "&amp;$C$28&amp;"   ","")&amp;IF($I$29="A4","• "&amp;$B$29&amp;" "&amp;$C$29&amp;"   ","")&amp;IF($I$30="A4","• "&amp;$B$30&amp;" "&amp;$C$30&amp;"   ","")&amp;IF($I$31="A4","• "&amp;$B$31&amp;" "&amp;$C$31&amp;"   ","")&amp;IF($I$32="A4","• "&amp;$B$32&amp;" "&amp;$C$32&amp;"   ","")&amp;IF($I$33="A4","• "&amp;$B$33&amp;" "&amp;$C$33&amp;"   ","")&amp;IF($I$34="A4","• "&amp;$B$34&amp;" "&amp;$C$34&amp;"   ","")&amp;IF($I$35="A4","• "&amp;$B$35&amp;" "&amp;$C$35&amp;"   ","")&amp;IF($I$36="A4","• "&amp;$B$36&amp;" "&amp;$C$36&amp;"   ","")&amp;IF($I$37="A4","• "&amp;$B$37&amp;" "&amp;$C$37&amp;"   ","")</f>
        <v>• 7 Teclado, lado E   • 8 Teclado, lado D   </v>
      </c>
      <c r="K55" s="22"/>
      <c r="L55" s="22"/>
      <c r="M55" s="22" t="str">
        <f aca="false">IF($I$14="A5","• "&amp;$B$14&amp;" "&amp;$C$14&amp;"   ","")&amp;IF($I$15="A5","• "&amp;$B$15&amp;" "&amp;$C$15&amp;"   ","")&amp;IF($I$16="A5","• "&amp;$B$16&amp;" "&amp;$C$16&amp;"   ","")&amp;IF($I$17="A5","• "&amp;$B$17&amp;" "&amp;$C$17&amp;"   ","")&amp;IF($I$18="A5","• "&amp;$B$18&amp;" "&amp;$C$18&amp;"   ","")&amp;IF($I$19="A5","• "&amp;$B$19&amp;" "&amp;$C$19&amp;"   ","")&amp;IF($I$20="A5","• "&amp;$B$20&amp;" "&amp;$C$20&amp;"   ","")&amp;IF($I$21="A5","• "&amp;$B$21&amp;" "&amp;$C$21&amp;"   ","")&amp;IF($I$22="A5","• "&amp;$B$22&amp;" "&amp;$C$22&amp;"   ","")&amp;IF($I$23="A5","• "&amp;$B$23&amp;" "&amp;$C$23&amp;"   ","")&amp;IF($I$24="A5","• "&amp;$B$24&amp;" "&amp;$C$24&amp;"   ","")&amp;IF($I$25="A5","• "&amp;$B$25&amp;" "&amp;$C$25&amp;"   ","")&amp;IF($I$26="A5","• "&amp;$B$26&amp;" "&amp;$C$26&amp;"   ","")&amp;IF($I$27="A5","• "&amp;$B$27&amp;" "&amp;$C$27&amp;"   ","")&amp;IF($I$28="A5","• "&amp;$B$28&amp;" "&amp;$C$28&amp;"   ","")&amp;IF($I$29="A5","• "&amp;$B$29&amp;" "&amp;$C$29&amp;"   ","")&amp;IF($I$30="A5","• "&amp;$B$30&amp;" "&amp;$C$30&amp;"   ","")&amp;IF($I$31="A5","• "&amp;$B$31&amp;" "&amp;$C$31&amp;"   ","")&amp;IF($I$32="A5","• "&amp;$B$32&amp;" "&amp;$C$32&amp;"   ","")&amp;IF($I$33="A5","• "&amp;$B$33&amp;" "&amp;$C$33&amp;"   ","")&amp;IF($I$34="A5","• "&amp;$B$34&amp;" "&amp;$C$34&amp;"   ","")&amp;IF($I$35="A5","• "&amp;$B$35&amp;" "&amp;$C$35&amp;"   ","")&amp;IF($I$36="A5","• "&amp;$B$36&amp;" "&amp;$C$36&amp;"   ","")&amp;IF($I$37="A5","• "&amp;$B$37&amp;" "&amp;$C$37&amp;"   ","")</f>
        <v/>
      </c>
    </row>
    <row r="56" customFormat="false" ht="24" hidden="false" customHeight="true" outlineLevel="0" collapsed="false">
      <c r="B56" s="8"/>
      <c r="C56" s="35" t="s">
        <v>401</v>
      </c>
      <c r="D56" s="35" t="s">
        <v>402</v>
      </c>
      <c r="E56" s="35"/>
      <c r="F56" s="35" t="s">
        <v>403</v>
      </c>
      <c r="G56" s="35"/>
      <c r="H56" s="35"/>
      <c r="I56" s="35"/>
      <c r="J56" s="35" t="s">
        <v>404</v>
      </c>
      <c r="K56" s="35"/>
      <c r="L56" s="35"/>
      <c r="M56" s="35"/>
    </row>
    <row r="57" customFormat="false" ht="54" hidden="false" customHeight="true" outlineLevel="0" collapsed="false">
      <c r="B57" s="8" t="s">
        <v>122</v>
      </c>
      <c r="C57" s="22" t="str">
        <f aca="false">IF($I$14="B1","• "&amp;$B$14&amp;" "&amp;$C$14&amp;"   ","")&amp;IF($I$15="B1","• "&amp;$B$15&amp;" "&amp;$C$15&amp;"   ","")&amp;IF($I$16="B1","• "&amp;$B$16&amp;" "&amp;$C$16&amp;"   ","")&amp;IF($I$17="B1","• "&amp;$B$17&amp;" "&amp;$C$17&amp;"   ","")&amp;IF($I$18="B1","• "&amp;$B$18&amp;" "&amp;$C$18&amp;"   ","")&amp;IF($I$19="B1","• "&amp;$B$19&amp;" "&amp;$C$19&amp;"   ","")&amp;IF($I$20="B1","• "&amp;$B$20&amp;" "&amp;$C$20&amp;"   ","")&amp;IF($I$21="B1","• "&amp;$B$21&amp;" "&amp;$C$21&amp;"   ","")&amp;IF($I$22="B1","• "&amp;$B$22&amp;" "&amp;$C$22&amp;"   ","")&amp;IF($I$23="B1","• "&amp;$B$23&amp;" "&amp;$C$23&amp;"   ","")&amp;IF($I$24="B1","• "&amp;$B$24&amp;" "&amp;$C$24&amp;"   ","")&amp;IF($I$25="B1","• "&amp;$B$25&amp;" "&amp;$C$25&amp;"   ","")&amp;IF($I$26="B1","• "&amp;$B$26&amp;" "&amp;$C$26&amp;"   ","")&amp;IF($I$27="B1","• "&amp;$B$27&amp;" "&amp;$C$27&amp;"   ","")&amp;IF($I$28="B1","• "&amp;$B$28&amp;" "&amp;$C$28&amp;"   ","")&amp;IF($I$29="B1","• "&amp;$B$29&amp;" "&amp;$C$29&amp;"   ","")&amp;IF($I$30="B1","• "&amp;$B$30&amp;" "&amp;$C$30&amp;"   ","")&amp;IF($I$31="B1","• "&amp;$B$31&amp;" "&amp;$C$31&amp;"   ","")&amp;IF($I$32="B1","• "&amp;$B$32&amp;" "&amp;$C$32&amp;"   ","")&amp;IF($I$33="B1","• "&amp;$B$33&amp;" "&amp;$C$33&amp;"   ","")&amp;IF($I$34="B1","• "&amp;$B$34&amp;" "&amp;$C$34&amp;"   ","")&amp;IF($I$35="B1","• "&amp;$B$35&amp;" "&amp;$C$35&amp;"   ","")&amp;IF($I$36="B1","• "&amp;$B$36&amp;" "&amp;$C$36&amp;"   ","")&amp;IF($I$37="B1","• "&amp;$B$37&amp;" "&amp;$C$37&amp;"   ","")</f>
        <v/>
      </c>
      <c r="D57" s="22" t="str">
        <f aca="false">IF($I$14="B2","• "&amp;$B$14&amp;" "&amp;$C$14&amp;"   ","")&amp;IF($I$15="B2","• "&amp;$B$15&amp;" "&amp;$C$15&amp;"   ","")&amp;IF($I$16="B2","• "&amp;$B$16&amp;" "&amp;$C$16&amp;"   ","")&amp;IF($I$17="B2","• "&amp;$B$17&amp;" "&amp;$C$17&amp;"   ","")&amp;IF($I$18="B2","• "&amp;$B$18&amp;" "&amp;$C$18&amp;"   ","")&amp;IF($I$19="B2","• "&amp;$B$19&amp;" "&amp;$C$19&amp;"   ","")&amp;IF($I$20="B2","• "&amp;$B$20&amp;" "&amp;$C$20&amp;"   ","")&amp;IF($I$21="B2","• "&amp;$B$21&amp;" "&amp;$C$21&amp;"   ","")&amp;IF($I$22="B2","• "&amp;$B$22&amp;" "&amp;$C$22&amp;"   ","")&amp;IF($I$23="B2","• "&amp;$B$23&amp;" "&amp;$C$23&amp;"   ","")&amp;IF($I$24="B2","• "&amp;$B$24&amp;" "&amp;$C$24&amp;"   ","")&amp;IF($I$25="B2","• "&amp;$B$25&amp;" "&amp;$C$25&amp;"   ","")&amp;IF($I$26="B2","• "&amp;$B$26&amp;" "&amp;$C$26&amp;"   ","")&amp;IF($I$27="B2","• "&amp;$B$27&amp;" "&amp;$C$27&amp;"   ","")&amp;IF($I$28="B2","• "&amp;$B$28&amp;" "&amp;$C$28&amp;"   ","")&amp;IF($I$29="B2","• "&amp;$B$29&amp;" "&amp;$C$29&amp;"   ","")&amp;IF($I$30="B2","• "&amp;$B$30&amp;" "&amp;$C$30&amp;"   ","")&amp;IF($I$31="B2","• "&amp;$B$31&amp;" "&amp;$C$31&amp;"   ","")&amp;IF($I$32="B2","• "&amp;$B$32&amp;" "&amp;$C$32&amp;"   ","")&amp;IF($I$33="B2","• "&amp;$B$33&amp;" "&amp;$C$33&amp;"   ","")&amp;IF($I$34="B2","• "&amp;$B$34&amp;" "&amp;$C$34&amp;"   ","")&amp;IF($I$35="B2","• "&amp;$B$35&amp;" "&amp;$C$35&amp;"   ","")&amp;IF($I$36="B2","• "&amp;$B$36&amp;" "&amp;$C$36&amp;"   ","")&amp;IF($I$37="B2","• "&amp;$B$37&amp;" "&amp;$C$37&amp;"   ","")</f>
        <v>• 6 Violão   </v>
      </c>
      <c r="E57" s="22"/>
      <c r="F57" s="22" t="str">
        <f aca="false">IF($I$14="B3","• "&amp;$B$14&amp;" "&amp;$C$14&amp;"   ","")&amp;IF($I$15="B3","• "&amp;$B$15&amp;" "&amp;$C$15&amp;"   ","")&amp;IF($I$16="B3","• "&amp;$B$16&amp;" "&amp;$C$16&amp;"   ","")&amp;IF($I$17="B3","• "&amp;$B$17&amp;" "&amp;$C$17&amp;"   ","")&amp;IF($I$18="B3","• "&amp;$B$18&amp;" "&amp;$C$18&amp;"   ","")&amp;IF($I$19="B3","• "&amp;$B$19&amp;" "&amp;$C$19&amp;"   ","")&amp;IF($I$20="B3","• "&amp;$B$20&amp;" "&amp;$C$20&amp;"   ","")&amp;IF($I$21="B3","• "&amp;$B$21&amp;" "&amp;$C$21&amp;"   ","")&amp;IF($I$22="B3","• "&amp;$B$22&amp;" "&amp;$C$22&amp;"   ","")&amp;IF($I$23="B3","• "&amp;$B$23&amp;" "&amp;$C$23&amp;"   ","")&amp;IF($I$24="B3","• "&amp;$B$24&amp;" "&amp;$C$24&amp;"   ","")&amp;IF($I$25="B3","• "&amp;$B$25&amp;" "&amp;$C$25&amp;"   ","")&amp;IF($I$26="B3","• "&amp;$B$26&amp;" "&amp;$C$26&amp;"   ","")&amp;IF($I$27="B3","• "&amp;$B$27&amp;" "&amp;$C$27&amp;"   ","")&amp;IF($I$28="B3","• "&amp;$B$28&amp;" "&amp;$C$28&amp;"   ","")&amp;IF($I$29="B3","• "&amp;$B$29&amp;" "&amp;$C$29&amp;"   ","")&amp;IF($I$30="B3","• "&amp;$B$30&amp;" "&amp;$C$30&amp;"   ","")&amp;IF($I$31="B3","• "&amp;$B$31&amp;" "&amp;$C$31&amp;"   ","")&amp;IF($I$32="B3","• "&amp;$B$32&amp;" "&amp;$C$32&amp;"   ","")&amp;IF($I$33="B3","• "&amp;$B$33&amp;" "&amp;$C$33&amp;"   ","")&amp;IF($I$34="B3","• "&amp;$B$34&amp;" "&amp;$C$34&amp;"   ","")&amp;IF($I$35="B3","• "&amp;$B$35&amp;" "&amp;$C$35&amp;"   ","")&amp;IF($I$36="B3","• "&amp;$B$36&amp;" "&amp;$C$36&amp;"   ","")&amp;IF($I$37="B3","• "&amp;$B$37&amp;" "&amp;$C$37&amp;"   ","")</f>
        <v/>
      </c>
      <c r="G57" s="22"/>
      <c r="H57" s="22"/>
      <c r="I57" s="22"/>
      <c r="J57" s="22" t="str">
        <f aca="false">IF($I$14="B4","• "&amp;$B$14&amp;" "&amp;$C$14&amp;"   ","")&amp;IF($I$15="B4","• "&amp;$B$15&amp;" "&amp;$C$15&amp;"   ","")&amp;IF($I$16="B4","• "&amp;$B$16&amp;" "&amp;$C$16&amp;"   ","")&amp;IF($I$17="B4","• "&amp;$B$17&amp;" "&amp;$C$17&amp;"   ","")&amp;IF($I$18="B4","• "&amp;$B$18&amp;" "&amp;$C$18&amp;"   ","")&amp;IF($I$19="B4","• "&amp;$B$19&amp;" "&amp;$C$19&amp;"   ","")&amp;IF($I$20="B4","• "&amp;$B$20&amp;" "&amp;$C$20&amp;"   ","")&amp;IF($I$21="B4","• "&amp;$B$21&amp;" "&amp;$C$21&amp;"   ","")&amp;IF($I$22="B4","• "&amp;$B$22&amp;" "&amp;$C$22&amp;"   ","")&amp;IF($I$23="B4","• "&amp;$B$23&amp;" "&amp;$C$23&amp;"   ","")&amp;IF($I$24="B4","• "&amp;$B$24&amp;" "&amp;$C$24&amp;"   ","")&amp;IF($I$25="B4","• "&amp;$B$25&amp;" "&amp;$C$25&amp;"   ","")&amp;IF($I$26="B4","• "&amp;$B$26&amp;" "&amp;$C$26&amp;"   ","")&amp;IF($I$27="B4","• "&amp;$B$27&amp;" "&amp;$C$27&amp;"   ","")&amp;IF($I$28="B4","• "&amp;$B$28&amp;" "&amp;$C$28&amp;"   ","")&amp;IF($I$29="B4","• "&amp;$B$29&amp;" "&amp;$C$29&amp;"   ","")&amp;IF($I$30="B4","• "&amp;$B$30&amp;" "&amp;$C$30&amp;"   ","")&amp;IF($I$31="B4","• "&amp;$B$31&amp;" "&amp;$C$31&amp;"   ","")&amp;IF($I$32="B4","• "&amp;$B$32&amp;" "&amp;$C$32&amp;"   ","")&amp;IF($I$33="B4","• "&amp;$B$33&amp;" "&amp;$C$33&amp;"   ","")&amp;IF($I$34="B4","• "&amp;$B$34&amp;" "&amp;$C$34&amp;"   ","")&amp;IF($I$35="B4","• "&amp;$B$35&amp;" "&amp;$C$35&amp;"   ","")&amp;IF($I$36="B4","• "&amp;$B$36&amp;" "&amp;$C$36&amp;"   ","")&amp;IF($I$37="B4","• "&amp;$B$37&amp;" "&amp;$C$37&amp;"   ","")</f>
        <v/>
      </c>
      <c r="K57" s="22"/>
      <c r="L57" s="22"/>
      <c r="M57" s="22" t="str">
        <f aca="false">IF($I$14="B5","• "&amp;$B$14&amp;" "&amp;$C$14&amp;"   ","")&amp;IF($I$15="B5","• "&amp;$B$15&amp;" "&amp;$C$15&amp;"   ","")&amp;IF($I$16="B5","• "&amp;$B$16&amp;" "&amp;$C$16&amp;"   ","")&amp;IF($I$17="B5","• "&amp;$B$17&amp;" "&amp;$C$17&amp;"   ","")&amp;IF($I$18="B5","• "&amp;$B$18&amp;" "&amp;$C$18&amp;"   ","")&amp;IF($I$19="B5","• "&amp;$B$19&amp;" "&amp;$C$19&amp;"   ","")&amp;IF($I$20="B5","• "&amp;$B$20&amp;" "&amp;$C$20&amp;"   ","")&amp;IF($I$21="B5","• "&amp;$B$21&amp;" "&amp;$C$21&amp;"   ","")&amp;IF($I$22="B5","• "&amp;$B$22&amp;" "&amp;$C$22&amp;"   ","")&amp;IF($I$23="B5","• "&amp;$B$23&amp;" "&amp;$C$23&amp;"   ","")&amp;IF($I$24="B5","• "&amp;$B$24&amp;" "&amp;$C$24&amp;"   ","")&amp;IF($I$25="B5","• "&amp;$B$25&amp;" "&amp;$C$25&amp;"   ","")&amp;IF($I$26="B5","• "&amp;$B$26&amp;" "&amp;$C$26&amp;"   ","")&amp;IF($I$27="B5","• "&amp;$B$27&amp;" "&amp;$C$27&amp;"   ","")&amp;IF($I$28="B5","• "&amp;$B$28&amp;" "&amp;$C$28&amp;"   ","")&amp;IF($I$29="B5","• "&amp;$B$29&amp;" "&amp;$C$29&amp;"   ","")&amp;IF($I$30="B5","• "&amp;$B$30&amp;" "&amp;$C$30&amp;"   ","")&amp;IF($I$31="B5","• "&amp;$B$31&amp;" "&amp;$C$31&amp;"   ","")&amp;IF($I$32="B5","• "&amp;$B$32&amp;" "&amp;$C$32&amp;"   ","")&amp;IF($I$33="B5","• "&amp;$B$33&amp;" "&amp;$C$33&amp;"   ","")&amp;IF($I$34="B5","• "&amp;$B$34&amp;" "&amp;$C$34&amp;"   ","")&amp;IF($I$35="B5","• "&amp;$B$35&amp;" "&amp;$C$35&amp;"   ","")&amp;IF($I$36="B5","• "&amp;$B$36&amp;" "&amp;$C$36&amp;"   ","")&amp;IF($I$37="B5","• "&amp;$B$37&amp;" "&amp;$C$37&amp;"   ","")</f>
        <v/>
      </c>
    </row>
    <row r="58" customFormat="false" ht="24" hidden="false" customHeight="true" outlineLevel="0" collapsed="false">
      <c r="B58" s="8"/>
      <c r="C58" s="35"/>
      <c r="D58" s="35" t="s">
        <v>405</v>
      </c>
      <c r="E58" s="35"/>
      <c r="F58" s="35"/>
      <c r="G58" s="35"/>
      <c r="H58" s="35"/>
      <c r="I58" s="35"/>
      <c r="J58" s="35"/>
      <c r="K58" s="35"/>
      <c r="L58" s="35"/>
      <c r="M58" s="35"/>
    </row>
    <row r="59" customFormat="false" ht="54" hidden="false" customHeight="true" outlineLevel="0" collapsed="false">
      <c r="B59" s="8" t="s">
        <v>123</v>
      </c>
      <c r="C59" s="22" t="str">
        <f aca="false">IF($I$14="C1","• "&amp;$B$14&amp;" "&amp;$C$14&amp;"   ","")&amp;IF($I$15="C1","• "&amp;$B$15&amp;" "&amp;$C$15&amp;"   ","")&amp;IF($I$16="C1","• "&amp;$B$16&amp;" "&amp;$C$16&amp;"   ","")&amp;IF($I$17="C1","• "&amp;$B$17&amp;" "&amp;$C$17&amp;"   ","")&amp;IF($I$18="C1","• "&amp;$B$18&amp;" "&amp;$C$18&amp;"   ","")&amp;IF($I$19="C1","• "&amp;$B$19&amp;" "&amp;$C$19&amp;"   ","")&amp;IF($I$20="C1","• "&amp;$B$20&amp;" "&amp;$C$20&amp;"   ","")&amp;IF($I$21="C1","• "&amp;$B$21&amp;" "&amp;$C$21&amp;"   ","")&amp;IF($I$22="C1","• "&amp;$B$22&amp;" "&amp;$C$22&amp;"   ","")&amp;IF($I$23="C1","• "&amp;$B$23&amp;" "&amp;$C$23&amp;"   ","")&amp;IF($I$24="C1","• "&amp;$B$24&amp;" "&amp;$C$24&amp;"   ","")&amp;IF($I$25="C1","• "&amp;$B$25&amp;" "&amp;$C$25&amp;"   ","")&amp;IF($I$26="C1","• "&amp;$B$26&amp;" "&amp;$C$26&amp;"   ","")&amp;IF($I$27="C1","• "&amp;$B$27&amp;" "&amp;$C$27&amp;"   ","")&amp;IF($I$28="C1","• "&amp;$B$28&amp;" "&amp;$C$28&amp;"   ","")&amp;IF($I$29="C1","• "&amp;$B$29&amp;" "&amp;$C$29&amp;"   ","")&amp;IF($I$30="C1","• "&amp;$B$30&amp;" "&amp;$C$30&amp;"   ","")&amp;IF($I$31="C1","• "&amp;$B$31&amp;" "&amp;$C$31&amp;"   ","")&amp;IF($I$32="C1","• "&amp;$B$32&amp;" "&amp;$C$32&amp;"   ","")&amp;IF($I$33="C1","• "&amp;$B$33&amp;" "&amp;$C$33&amp;"   ","")&amp;IF($I$34="C1","• "&amp;$B$34&amp;" "&amp;$C$34&amp;"   ","")&amp;IF($I$35="C1","• "&amp;$B$35&amp;" "&amp;$C$35&amp;"   ","")&amp;IF($I$36="C1","• "&amp;$B$36&amp;" "&amp;$C$36&amp;"   ","")&amp;IF($I$37="C1","• "&amp;$B$37&amp;" "&amp;$C$37&amp;"   ","")</f>
        <v/>
      </c>
      <c r="D59" s="22" t="str">
        <f aca="false">IF($I$14="C2","• "&amp;$B$14&amp;" "&amp;$C$14&amp;"   ","")&amp;IF($I$15="C2","• "&amp;$B$15&amp;" "&amp;$C$15&amp;"   ","")&amp;IF($I$16="C2","• "&amp;$B$16&amp;" "&amp;$C$16&amp;"   ","")&amp;IF($I$17="C2","• "&amp;$B$17&amp;" "&amp;$C$17&amp;"   ","")&amp;IF($I$18="C2","• "&amp;$B$18&amp;" "&amp;$C$18&amp;"   ","")&amp;IF($I$19="C2","• "&amp;$B$19&amp;" "&amp;$C$19&amp;"   ","")&amp;IF($I$20="C2","• "&amp;$B$20&amp;" "&amp;$C$20&amp;"   ","")&amp;IF($I$21="C2","• "&amp;$B$21&amp;" "&amp;$C$21&amp;"   ","")&amp;IF($I$22="C2","• "&amp;$B$22&amp;" "&amp;$C$22&amp;"   ","")&amp;IF($I$23="C2","• "&amp;$B$23&amp;" "&amp;$C$23&amp;"   ","")&amp;IF($I$24="C2","• "&amp;$B$24&amp;" "&amp;$C$24&amp;"   ","")&amp;IF($I$25="C2","• "&amp;$B$25&amp;" "&amp;$C$25&amp;"   ","")&amp;IF($I$26="C2","• "&amp;$B$26&amp;" "&amp;$C$26&amp;"   ","")&amp;IF($I$27="C2","• "&amp;$B$27&amp;" "&amp;$C$27&amp;"   ","")&amp;IF($I$28="C2","• "&amp;$B$28&amp;" "&amp;$C$28&amp;"   ","")&amp;IF($I$29="C2","• "&amp;$B$29&amp;" "&amp;$C$29&amp;"   ","")&amp;IF($I$30="C2","• "&amp;$B$30&amp;" "&amp;$C$30&amp;"   ","")&amp;IF($I$31="C2","• "&amp;$B$31&amp;" "&amp;$C$31&amp;"   ","")&amp;IF($I$32="C2","• "&amp;$B$32&amp;" "&amp;$C$32&amp;"   ","")&amp;IF($I$33="C2","• "&amp;$B$33&amp;" "&amp;$C$33&amp;"   ","")&amp;IF($I$34="C2","• "&amp;$B$34&amp;" "&amp;$C$34&amp;"   ","")&amp;IF($I$35="C2","• "&amp;$B$35&amp;" "&amp;$C$35&amp;"   ","")&amp;IF($I$36="C2","• "&amp;$B$36&amp;" "&amp;$C$36&amp;"   ","")&amp;IF($I$37="C2","• "&amp;$B$37&amp;" "&amp;$C$37&amp;"   ","")</f>
        <v>• 13 Púlpito   • 16 Microfone reserva   </v>
      </c>
      <c r="E59" s="22"/>
      <c r="F59" s="22" t="str">
        <f aca="false">IF($I$14="C3","• "&amp;$B$14&amp;" "&amp;$C$14&amp;"   ","")&amp;IF($I$15="C3","• "&amp;$B$15&amp;" "&amp;$C$15&amp;"   ","")&amp;IF($I$16="C3","• "&amp;$B$16&amp;" "&amp;$C$16&amp;"   ","")&amp;IF($I$17="C3","• "&amp;$B$17&amp;" "&amp;$C$17&amp;"   ","")&amp;IF($I$18="C3","• "&amp;$B$18&amp;" "&amp;$C$18&amp;"   ","")&amp;IF($I$19="C3","• "&amp;$B$19&amp;" "&amp;$C$19&amp;"   ","")&amp;IF($I$20="C3","• "&amp;$B$20&amp;" "&amp;$C$20&amp;"   ","")&amp;IF($I$21="C3","• "&amp;$B$21&amp;" "&amp;$C$21&amp;"   ","")&amp;IF($I$22="C3","• "&amp;$B$22&amp;" "&amp;$C$22&amp;"   ","")&amp;IF($I$23="C3","• "&amp;$B$23&amp;" "&amp;$C$23&amp;"   ","")&amp;IF($I$24="C3","• "&amp;$B$24&amp;" "&amp;$C$24&amp;"   ","")&amp;IF($I$25="C3","• "&amp;$B$25&amp;" "&amp;$C$25&amp;"   ","")&amp;IF($I$26="C3","• "&amp;$B$26&amp;" "&amp;$C$26&amp;"   ","")&amp;IF($I$27="C3","• "&amp;$B$27&amp;" "&amp;$C$27&amp;"   ","")&amp;IF($I$28="C3","• "&amp;$B$28&amp;" "&amp;$C$28&amp;"   ","")&amp;IF($I$29="C3","• "&amp;$B$29&amp;" "&amp;$C$29&amp;"   ","")&amp;IF($I$30="C3","• "&amp;$B$30&amp;" "&amp;$C$30&amp;"   ","")&amp;IF($I$31="C3","• "&amp;$B$31&amp;" "&amp;$C$31&amp;"   ","")&amp;IF($I$32="C3","• "&amp;$B$32&amp;" "&amp;$C$32&amp;"   ","")&amp;IF($I$33="C3","• "&amp;$B$33&amp;" "&amp;$C$33&amp;"   ","")&amp;IF($I$34="C3","• "&amp;$B$34&amp;" "&amp;$C$34&amp;"   ","")&amp;IF($I$35="C3","• "&amp;$B$35&amp;" "&amp;$C$35&amp;"   ","")&amp;IF($I$36="C3","• "&amp;$B$36&amp;" "&amp;$C$36&amp;"   ","")&amp;IF($I$37="C3","• "&amp;$B$37&amp;" "&amp;$C$37&amp;"   ","")</f>
        <v>• 9 Voz principal   • 12 Pastor   </v>
      </c>
      <c r="G59" s="22"/>
      <c r="H59" s="22"/>
      <c r="I59" s="22"/>
      <c r="J59" s="22" t="str">
        <f aca="false">IF($I$14="C4","• "&amp;$B$14&amp;" "&amp;$C$14&amp;"   ","")&amp;IF($I$15="C4","• "&amp;$B$15&amp;" "&amp;$C$15&amp;"   ","")&amp;IF($I$16="C4","• "&amp;$B$16&amp;" "&amp;$C$16&amp;"   ","")&amp;IF($I$17="C4","• "&amp;$B$17&amp;" "&amp;$C$17&amp;"   ","")&amp;IF($I$18="C4","• "&amp;$B$18&amp;" "&amp;$C$18&amp;"   ","")&amp;IF($I$19="C4","• "&amp;$B$19&amp;" "&amp;$C$19&amp;"   ","")&amp;IF($I$20="C4","• "&amp;$B$20&amp;" "&amp;$C$20&amp;"   ","")&amp;IF($I$21="C4","• "&amp;$B$21&amp;" "&amp;$C$21&amp;"   ","")&amp;IF($I$22="C4","• "&amp;$B$22&amp;" "&amp;$C$22&amp;"   ","")&amp;IF($I$23="C4","• "&amp;$B$23&amp;" "&amp;$C$23&amp;"   ","")&amp;IF($I$24="C4","• "&amp;$B$24&amp;" "&amp;$C$24&amp;"   ","")&amp;IF($I$25="C4","• "&amp;$B$25&amp;" "&amp;$C$25&amp;"   ","")&amp;IF($I$26="C4","• "&amp;$B$26&amp;" "&amp;$C$26&amp;"   ","")&amp;IF($I$27="C4","• "&amp;$B$27&amp;" "&amp;$C$27&amp;"   ","")&amp;IF($I$28="C4","• "&amp;$B$28&amp;" "&amp;$C$28&amp;"   ","")&amp;IF($I$29="C4","• "&amp;$B$29&amp;" "&amp;$C$29&amp;"   ","")&amp;IF($I$30="C4","• "&amp;$B$30&amp;" "&amp;$C$30&amp;"   ","")&amp;IF($I$31="C4","• "&amp;$B$31&amp;" "&amp;$C$31&amp;"   ","")&amp;IF($I$32="C4","• "&amp;$B$32&amp;" "&amp;$C$32&amp;"   ","")&amp;IF($I$33="C4","• "&amp;$B$33&amp;" "&amp;$C$33&amp;"   ","")&amp;IF($I$34="C4","• "&amp;$B$34&amp;" "&amp;$C$34&amp;"   ","")&amp;IF($I$35="C4","• "&amp;$B$35&amp;" "&amp;$C$35&amp;"   ","")&amp;IF($I$36="C4","• "&amp;$B$36&amp;" "&amp;$C$36&amp;"   ","")&amp;IF($I$37="C4","• "&amp;$B$37&amp;" "&amp;$C$37&amp;"   ","")</f>
        <v>• 10 Voz de apoio 1   </v>
      </c>
      <c r="K59" s="22"/>
      <c r="L59" s="22"/>
      <c r="M59" s="22" t="str">
        <f aca="false">IF($I$14="C5","• "&amp;$B$14&amp;" "&amp;$C$14&amp;"   ","")&amp;IF($I$15="C5","• "&amp;$B$15&amp;" "&amp;$C$15&amp;"   ","")&amp;IF($I$16="C5","• "&amp;$B$16&amp;" "&amp;$C$16&amp;"   ","")&amp;IF($I$17="C5","• "&amp;$B$17&amp;" "&amp;$C$17&amp;"   ","")&amp;IF($I$18="C5","• "&amp;$B$18&amp;" "&amp;$C$18&amp;"   ","")&amp;IF($I$19="C5","• "&amp;$B$19&amp;" "&amp;$C$19&amp;"   ","")&amp;IF($I$20="C5","• "&amp;$B$20&amp;" "&amp;$C$20&amp;"   ","")&amp;IF($I$21="C5","• "&amp;$B$21&amp;" "&amp;$C$21&amp;"   ","")&amp;IF($I$22="C5","• "&amp;$B$22&amp;" "&amp;$C$22&amp;"   ","")&amp;IF($I$23="C5","• "&amp;$B$23&amp;" "&amp;$C$23&amp;"   ","")&amp;IF($I$24="C5","• "&amp;$B$24&amp;" "&amp;$C$24&amp;"   ","")&amp;IF($I$25="C5","• "&amp;$B$25&amp;" "&amp;$C$25&amp;"   ","")&amp;IF($I$26="C5","• "&amp;$B$26&amp;" "&amp;$C$26&amp;"   ","")&amp;IF($I$27="C5","• "&amp;$B$27&amp;" "&amp;$C$27&amp;"   ","")&amp;IF($I$28="C5","• "&amp;$B$28&amp;" "&amp;$C$28&amp;"   ","")&amp;IF($I$29="C5","• "&amp;$B$29&amp;" "&amp;$C$29&amp;"   ","")&amp;IF($I$30="C5","• "&amp;$B$30&amp;" "&amp;$C$30&amp;"   ","")&amp;IF($I$31="C5","• "&amp;$B$31&amp;" "&amp;$C$31&amp;"   ","")&amp;IF($I$32="C5","• "&amp;$B$32&amp;" "&amp;$C$32&amp;"   ","")&amp;IF($I$33="C5","• "&amp;$B$33&amp;" "&amp;$C$33&amp;"   ","")&amp;IF($I$34="C5","• "&amp;$B$34&amp;" "&amp;$C$34&amp;"   ","")&amp;IF($I$35="C5","• "&amp;$B$35&amp;" "&amp;$C$35&amp;"   ","")&amp;IF($I$36="C5","• "&amp;$B$36&amp;" "&amp;$C$36&amp;"   ","")&amp;IF($I$37="C5","• "&amp;$B$37&amp;" "&amp;$C$37&amp;"   ","")</f>
        <v>• 11 Voz de apoio 2   </v>
      </c>
    </row>
    <row r="60" customFormat="false" ht="24" hidden="false" customHeight="true" outlineLevel="0" collapsed="false">
      <c r="B60" s="8"/>
      <c r="C60" s="35"/>
      <c r="D60" s="35"/>
      <c r="E60" s="35"/>
      <c r="F60" s="35" t="s">
        <v>406</v>
      </c>
      <c r="G60" s="35"/>
      <c r="H60" s="35"/>
      <c r="I60" s="35"/>
      <c r="J60" s="35" t="s">
        <v>407</v>
      </c>
      <c r="K60" s="35"/>
      <c r="L60" s="35"/>
      <c r="M60" s="35"/>
    </row>
    <row r="61" customFormat="false" ht="15" hidden="false" customHeight="true" outlineLevel="0" collapsed="false">
      <c r="B61" s="16" t="s">
        <v>124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customFormat="false" ht="15" hidden="false" customHeight="true" outlineLevel="0" collapsed="false">
      <c r="B62" s="9" t="s">
        <v>125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4" customFormat="false" ht="21.75" hidden="false" customHeight="true" outlineLevel="0" collapsed="false">
      <c r="B64" s="11" t="s">
        <v>408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customFormat="false" ht="21.75" hidden="false" customHeight="true" outlineLevel="0" collapsed="false">
      <c r="B65" s="8" t="s">
        <v>72</v>
      </c>
      <c r="C65" s="8" t="s">
        <v>409</v>
      </c>
      <c r="D65" s="8"/>
      <c r="E65" s="8"/>
      <c r="F65" s="8"/>
      <c r="G65" s="8"/>
      <c r="H65" s="8"/>
      <c r="I65" s="8"/>
      <c r="J65" s="8"/>
      <c r="K65" s="8"/>
      <c r="L65" s="8" t="s">
        <v>410</v>
      </c>
      <c r="M65" s="8"/>
    </row>
    <row r="66" customFormat="false" ht="21.75" hidden="false" customHeight="true" outlineLevel="0" collapsed="false">
      <c r="B66" s="17" t="s">
        <v>26</v>
      </c>
      <c r="C66" s="7" t="s">
        <v>411</v>
      </c>
      <c r="D66" s="7"/>
      <c r="E66" s="7"/>
      <c r="F66" s="7"/>
      <c r="G66" s="7"/>
      <c r="H66" s="7"/>
      <c r="I66" s="7"/>
      <c r="J66" s="7"/>
      <c r="K66" s="7"/>
      <c r="L66" s="31" t="s">
        <v>101</v>
      </c>
      <c r="M66" s="31"/>
    </row>
    <row r="67" customFormat="false" ht="21.75" hidden="false" customHeight="true" outlineLevel="0" collapsed="false">
      <c r="B67" s="17" t="s">
        <v>412</v>
      </c>
      <c r="C67" s="7" t="s">
        <v>413</v>
      </c>
      <c r="D67" s="7"/>
      <c r="E67" s="7"/>
      <c r="F67" s="7"/>
      <c r="G67" s="7"/>
      <c r="H67" s="7"/>
      <c r="I67" s="7"/>
      <c r="J67" s="7"/>
      <c r="K67" s="7"/>
      <c r="L67" s="31" t="s">
        <v>101</v>
      </c>
      <c r="M67" s="31"/>
    </row>
    <row r="68" customFormat="false" ht="21.75" hidden="false" customHeight="true" outlineLevel="0" collapsed="false">
      <c r="B68" s="17" t="s">
        <v>414</v>
      </c>
      <c r="C68" s="7" t="s">
        <v>415</v>
      </c>
      <c r="D68" s="7"/>
      <c r="E68" s="7"/>
      <c r="F68" s="7"/>
      <c r="G68" s="7"/>
      <c r="H68" s="7"/>
      <c r="I68" s="7"/>
      <c r="J68" s="7"/>
      <c r="K68" s="7"/>
      <c r="L68" s="31" t="s">
        <v>101</v>
      </c>
      <c r="M68" s="31"/>
    </row>
    <row r="69" customFormat="false" ht="21.75" hidden="false" customHeight="true" outlineLevel="0" collapsed="false">
      <c r="B69" s="17" t="s">
        <v>416</v>
      </c>
      <c r="C69" s="7" t="s">
        <v>417</v>
      </c>
      <c r="D69" s="7"/>
      <c r="E69" s="7"/>
      <c r="F69" s="7"/>
      <c r="G69" s="7"/>
      <c r="H69" s="7"/>
      <c r="I69" s="7"/>
      <c r="J69" s="7"/>
      <c r="K69" s="7"/>
      <c r="L69" s="31"/>
      <c r="M69" s="31"/>
    </row>
  </sheetData>
  <mergeCells count="82">
    <mergeCell ref="B1:M1"/>
    <mergeCell ref="B2:M2"/>
    <mergeCell ref="B4:C4"/>
    <mergeCell ref="D4:H4"/>
    <mergeCell ref="I4:M4"/>
    <mergeCell ref="B5:C5"/>
    <mergeCell ref="D5:H5"/>
    <mergeCell ref="I5:M5"/>
    <mergeCell ref="B6:C6"/>
    <mergeCell ref="D6:H6"/>
    <mergeCell ref="I6:M6"/>
    <mergeCell ref="B7:C7"/>
    <mergeCell ref="D7:H7"/>
    <mergeCell ref="I7:M7"/>
    <mergeCell ref="B8:C8"/>
    <mergeCell ref="D8:H8"/>
    <mergeCell ref="I8:M8"/>
    <mergeCell ref="B10:M10"/>
    <mergeCell ref="B13:M13"/>
    <mergeCell ref="B39:M39"/>
    <mergeCell ref="B40:E40"/>
    <mergeCell ref="F40:H40"/>
    <mergeCell ref="I40:M41"/>
    <mergeCell ref="B41:E41"/>
    <mergeCell ref="F41:H41"/>
    <mergeCell ref="B42:E42"/>
    <mergeCell ref="F42:H42"/>
    <mergeCell ref="B43:E43"/>
    <mergeCell ref="F43:H43"/>
    <mergeCell ref="B44:E44"/>
    <mergeCell ref="F44:H44"/>
    <mergeCell ref="B45:E45"/>
    <mergeCell ref="F45:H45"/>
    <mergeCell ref="B46:E46"/>
    <mergeCell ref="F46:H46"/>
    <mergeCell ref="B47:E47"/>
    <mergeCell ref="F47:H47"/>
    <mergeCell ref="B48:E48"/>
    <mergeCell ref="F48:H48"/>
    <mergeCell ref="B49:E49"/>
    <mergeCell ref="F49:H49"/>
    <mergeCell ref="B50:E50"/>
    <mergeCell ref="F50:M50"/>
    <mergeCell ref="B52:M52"/>
    <mergeCell ref="B53:M53"/>
    <mergeCell ref="D54:E54"/>
    <mergeCell ref="F54:I54"/>
    <mergeCell ref="J54:L54"/>
    <mergeCell ref="B55:B56"/>
    <mergeCell ref="D55:E55"/>
    <mergeCell ref="F55:I55"/>
    <mergeCell ref="J55:L55"/>
    <mergeCell ref="D56:E56"/>
    <mergeCell ref="F56:I56"/>
    <mergeCell ref="J56:L56"/>
    <mergeCell ref="B57:B58"/>
    <mergeCell ref="D57:E57"/>
    <mergeCell ref="F57:I57"/>
    <mergeCell ref="J57:L57"/>
    <mergeCell ref="D58:E58"/>
    <mergeCell ref="F58:I58"/>
    <mergeCell ref="J58:L58"/>
    <mergeCell ref="B59:B60"/>
    <mergeCell ref="D59:E59"/>
    <mergeCell ref="F59:I59"/>
    <mergeCell ref="J59:L59"/>
    <mergeCell ref="D60:E60"/>
    <mergeCell ref="F60:I60"/>
    <mergeCell ref="J60:L60"/>
    <mergeCell ref="B61:M61"/>
    <mergeCell ref="B62:M62"/>
    <mergeCell ref="B64:M64"/>
    <mergeCell ref="C65:K65"/>
    <mergeCell ref="L65:M65"/>
    <mergeCell ref="C66:K66"/>
    <mergeCell ref="L66:M66"/>
    <mergeCell ref="C67:K67"/>
    <mergeCell ref="L67:M67"/>
    <mergeCell ref="C68:K68"/>
    <mergeCell ref="L68:M68"/>
    <mergeCell ref="C69:K69"/>
    <mergeCell ref="L69:M69"/>
  </mergeCells>
  <conditionalFormatting sqref="L14:L37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AND(LEN(L14)&gt;0,L14&lt;&gt;"OK")</formula>
    </cfRule>
  </conditionalFormatting>
  <conditionalFormatting sqref="F50:M50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1">
      <formula>"OK"</formula>
    </cfRule>
  </conditionalFormatting>
  <conditionalFormatting sqref="C55">
    <cfRule type="expression" priority="6" aboveAverage="0" equalAverage="0" bottom="0" percent="0" rank="0" text="" dxfId="2">
      <formula>LEN($C$55)&gt;0</formula>
    </cfRule>
  </conditionalFormatting>
  <conditionalFormatting sqref="D55:E55">
    <cfRule type="expression" priority="7" aboveAverage="0" equalAverage="0" bottom="0" percent="0" rank="0" text="" dxfId="2">
      <formula>LEN($D$55)&gt;0</formula>
    </cfRule>
  </conditionalFormatting>
  <conditionalFormatting sqref="F55:I55">
    <cfRule type="expression" priority="8" aboveAverage="0" equalAverage="0" bottom="0" percent="0" rank="0" text="" dxfId="2">
      <formula>LEN($F$55)&gt;0</formula>
    </cfRule>
  </conditionalFormatting>
  <conditionalFormatting sqref="J55:L55">
    <cfRule type="expression" priority="9" aboveAverage="0" equalAverage="0" bottom="0" percent="0" rank="0" text="" dxfId="2">
      <formula>LEN($J$55)&gt;0</formula>
    </cfRule>
  </conditionalFormatting>
  <conditionalFormatting sqref="M55">
    <cfRule type="expression" priority="10" aboveAverage="0" equalAverage="0" bottom="0" percent="0" rank="0" text="" dxfId="2">
      <formula>LEN($M$55)&gt;0</formula>
    </cfRule>
  </conditionalFormatting>
  <conditionalFormatting sqref="C57">
    <cfRule type="expression" priority="11" aboveAverage="0" equalAverage="0" bottom="0" percent="0" rank="0" text="" dxfId="2">
      <formula>LEN($C$57)&gt;0</formula>
    </cfRule>
  </conditionalFormatting>
  <conditionalFormatting sqref="D57:E57">
    <cfRule type="expression" priority="12" aboveAverage="0" equalAverage="0" bottom="0" percent="0" rank="0" text="" dxfId="2">
      <formula>LEN($D$57)&gt;0</formula>
    </cfRule>
  </conditionalFormatting>
  <conditionalFormatting sqref="F57:I57">
    <cfRule type="expression" priority="13" aboveAverage="0" equalAverage="0" bottom="0" percent="0" rank="0" text="" dxfId="2">
      <formula>LEN($F$57)&gt;0</formula>
    </cfRule>
  </conditionalFormatting>
  <conditionalFormatting sqref="J57:L57">
    <cfRule type="expression" priority="14" aboveAverage="0" equalAverage="0" bottom="0" percent="0" rank="0" text="" dxfId="2">
      <formula>LEN($J$57)&gt;0</formula>
    </cfRule>
  </conditionalFormatting>
  <conditionalFormatting sqref="M57">
    <cfRule type="expression" priority="15" aboveAverage="0" equalAverage="0" bottom="0" percent="0" rank="0" text="" dxfId="2">
      <formula>LEN($M$57)&gt;0</formula>
    </cfRule>
  </conditionalFormatting>
  <conditionalFormatting sqref="C59">
    <cfRule type="expression" priority="16" aboveAverage="0" equalAverage="0" bottom="0" percent="0" rank="0" text="" dxfId="2">
      <formula>LEN($C$59)&gt;0</formula>
    </cfRule>
  </conditionalFormatting>
  <conditionalFormatting sqref="D59:E59">
    <cfRule type="expression" priority="17" aboveAverage="0" equalAverage="0" bottom="0" percent="0" rank="0" text="" dxfId="2">
      <formula>LEN($D$59)&gt;0</formula>
    </cfRule>
  </conditionalFormatting>
  <conditionalFormatting sqref="F59:I59">
    <cfRule type="expression" priority="18" aboveAverage="0" equalAverage="0" bottom="0" percent="0" rank="0" text="" dxfId="2">
      <formula>LEN($F$59)&gt;0</formula>
    </cfRule>
  </conditionalFormatting>
  <conditionalFormatting sqref="J59:L59">
    <cfRule type="expression" priority="19" aboveAverage="0" equalAverage="0" bottom="0" percent="0" rank="0" text="" dxfId="2">
      <formula>LEN($J$59)&gt;0</formula>
    </cfRule>
  </conditionalFormatting>
  <conditionalFormatting sqref="M59">
    <cfRule type="expression" priority="20" aboveAverage="0" equalAverage="0" bottom="0" percent="0" rank="0" text="" dxfId="2">
      <formula>LEN($M$59)&gt;0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Microfone, Sem fio, DI ou Linha." promptTitle="Opções" showDropDown="false" showErrorMessage="true" showInputMessage="true" sqref="D14:D37" type="list">
      <formula1>"Microfone,Sem fio,DI,Linha"</formula1>
      <formula2>0</formula2>
    </dataValidation>
    <dataValidation allowBlank="true" error="Escolha uma das opções da lista." errorStyle="stop" errorTitle="Valor inválido" operator="between" prompt="O canal precisa de phantom (+48 V)?" promptTitle="Opções" showDropDown="false" showErrorMessage="true" showInputMessage="true" sqref="F14:F37" type="list">
      <formula1>"Sim,Não"</formula1>
      <formula2>0</formula2>
    </dataValidation>
    <dataValidation allowBlank="true" error="Escolha uma das opções da lista." errorStyle="stop" errorTitle="Valor inválido" operator="between" prompt="Girafa, Reto, Baixo, Clipe ou Não." promptTitle="Opções" showDropDown="false" showErrorMessage="true" showInputMessage="true" sqref="G14:G37" type="list">
      <formula1>"Girafa,Reto,Baixo,Clipe,Não"</formula1>
      <formula2>0</formula2>
    </dataValidation>
    <dataValidation allowBlank="true" error="Escolha uma das opções da lista." errorStyle="stop" errorTitle="Valor inválido" operator="between" prompt="De A1 a C5. A é o fundo do palco, C é a frente; 1 é a esquerda, vista da plateia." promptTitle="Opções" showDropDown="false" showErrorMessage="true" showInputMessage="true" sqref="I14:I37" type="list">
      <formula1>"A1,A2,A3,A4,A5,B1,B2,B3,B4,B5,C1,C2,C3,C4,C5"</formula1>
      <formula2>0</formula2>
    </dataValidation>
    <dataValidation allowBlank="true" error="Escolha uma das opções da lista." errorStyle="stop" errorTitle="Valor inválido" operator="between" prompt="Resultado do line check desta linha." promptTitle="Opções" showDropDown="false" showErrorMessage="true" showInputMessage="true" sqref="K14:K37" type="list">
      <formula1>"OK,Problema"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2026-10-01T12:59:17Z</dcterms:created>
  <dc:creator>Estudos: Técnico em áudio e vídeo</dc:creator>
  <dc:description/>
  <dc:language>pt-BR</dc:language>
  <cp:lastModifiedBy/>
  <dcterms:modified xsi:type="dcterms:W3CDTF">2026-10-01T12:59:17Z</dcterms:modified>
  <cp:revision>0</cp:revision>
  <dc:subject/>
  <dc:title>Passagem de som e mixagem ao vivo — modelo de input list, cronograma e registro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