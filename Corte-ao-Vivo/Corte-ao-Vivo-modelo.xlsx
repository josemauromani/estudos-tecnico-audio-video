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Roteiro de corte" sheetId="2" state="visible" r:id="rId4"/>
    <sheet name="Equipe" sheetId="3" state="visible" r:id="rId5"/>
    <sheet name="Registro de erros" sheetId="4" state="visible" r:id="rId6"/>
    <sheet name="Referência" sheetId="5" state="visible" r:id="rId7"/>
    <sheet name="Checklist" sheetId="6" state="visible" r:id="rId8"/>
    <sheet name="Exemplo - Roteiro" sheetId="7" state="visible" r:id="rId9"/>
  </sheets>
  <definedNames>
    <definedName function="false" hidden="false" localSheetId="5" name="_xlnm.Print_Area" vbProcedure="false">Checklist!$B$1:$F$20</definedName>
    <definedName function="false" hidden="false" localSheetId="2" name="_xlnm.Print_Area" vbProcedure="false">Equipe!$B$1:$J$46</definedName>
    <definedName function="false" hidden="false" localSheetId="6" name="_xlnm.Print_Area" vbProcedure="false">'Exemplo - Roteiro'!$B$1:$O$66</definedName>
    <definedName function="false" hidden="false" localSheetId="0" name="_xlnm.Print_Area" vbProcedure="false">Instruções!$B$1:$C$38</definedName>
    <definedName function="false" hidden="false" localSheetId="4" name="_xlnm.Print_Area" vbProcedure="false">Referência!$B$1:$E$47</definedName>
    <definedName function="false" hidden="false" localSheetId="3" name="_xlnm.Print_Area" vbProcedure="false">'Registro de erros'!$B$1:$M$58</definedName>
    <definedName function="false" hidden="false" localSheetId="1" name="_xlnm.Print_Area" vbProcedure="false">'Roteiro de corte'!$B$1:$O$57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11" authorId="0">
      <text>
        <r>
          <rPr>
            <sz val="10"/>
            <rFont val="Arial"/>
            <family val="2"/>
          </rPr>
          <t xml:space="preserve">Duração prevista do momento, em minutos.
Digite só o número.</t>
        </r>
      </text>
    </comment>
    <comment ref="G11" authorId="0">
      <text>
        <r>
          <rPr>
            <sz val="10"/>
            <rFont val="Arial"/>
            <family val="2"/>
          </rPr>
          <t xml:space="preserve">A fonte que fica no ar a maior parte do momento.
As alternativas são as fontes para onde sair.</t>
        </r>
      </text>
    </comment>
    <comment ref="I36" authorId="0">
      <text>
        <r>
          <rPr>
            <sz val="10"/>
            <rFont val="Arial"/>
            <family val="2"/>
          </rPr>
          <t xml:space="preserve">Taxa de dados da gravação, em megabits por segundo, como está no menu do gravador ou da câmera.
Veja a tabela de taxas na aba Referência.</t>
        </r>
      </text>
    </comment>
    <comment ref="L11" authorId="0">
      <text>
        <r>
          <rPr>
            <sz val="10"/>
            <rFont val="Arial"/>
            <family val="2"/>
          </rPr>
          <t xml:space="preserve">Só para fonte principal Mídia ou Vinheta: o vídeo tem som?
Combine com o operador de áudio.</t>
        </r>
      </text>
    </comment>
    <comment ref="M36" authorId="0">
      <text>
        <r>
          <rPr>
            <sz val="10"/>
            <rFont val="Arial"/>
            <family val="2"/>
          </rPr>
          <t xml:space="preserve">Taxa × (duração do roteiro + margem) × 60 ÷ 8 ÷ 1000.</t>
        </r>
      </text>
    </comment>
    <comment ref="N11" authorId="0">
      <text>
        <r>
          <rPr>
            <sz val="10"/>
            <rFont val="Arial"/>
            <family val="2"/>
          </rPr>
          <t xml:space="preserve">Pendências, na ordem em que aparecem:
duração, fonte principal, áudio da mídia, alternativa repetida, momento longo sem alternativa, câmera principal sem operador, alternativa sem operador.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10" authorId="0">
      <text>
        <r>
          <rPr>
            <sz val="10"/>
            <rFont val="Arial"/>
            <family val="2"/>
          </rPr>
          <t xml:space="preserve">Comando: faltou preparo ou o comando foi confuso.
Roteiro: o momento não estava previsto.
Operação: erro de quem operava.
Equipamento: falha de câmera, cabo, switcher.
Treinamento: a pessoa não sabia fazer.
Comunicação: intercom, ruído, aviso que não chegou.</t>
        </r>
      </text>
    </comment>
  </commentList>
</comments>
</file>

<file path=xl/sharedStrings.xml><?xml version="1.0" encoding="utf-8"?>
<sst xmlns="http://schemas.openxmlformats.org/spreadsheetml/2006/main" count="672" uniqueCount="408">
  <si>
    <t xml:space="preserve">Corte ao vivo — como usar esta planilha</t>
  </si>
  <si>
    <t xml:space="preserve">Roteiro de corte, câmeras e gravação, escala da equipe e registro de erros para a revisão.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</si>
  <si>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</si>
  <si>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</si>
  <si>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</si>
  <si>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</si>
  <si>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</si>
  <si>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</si>
  <si>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</si>
  <si>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</si>
  <si>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 de momento, fontes, transição, função, tipo e causa de erro aceitam só as opções da lista.</t>
  </si>
  <si>
    <t xml:space="preserve">Números e horas</t>
  </si>
  <si>
    <t xml:space="preserve">Duração em minutos, só o número. Horas no formato 19:00.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</si>
  <si>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</si>
  <si>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</si>
  <si>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</si>
  <si>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</si>
  <si>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Roteiro de corte: preencha o cabeçalho, a hora de início e confira os três parâmetros no alto.</t>
  </si>
  <si>
    <t xml:space="preserve">2</t>
  </si>
  <si>
    <t xml:space="preserve">Aba Roteiro de corte: liste os momentos do evento na ordem, com duração, fonte principal e alternativas.</t>
  </si>
  <si>
    <t xml:space="preserve">3</t>
  </si>
  <si>
    <t xml:space="preserve">Aba Roteiro de corte: preencha as câmeras (posição, plano de base, operador) e os gravadores.</t>
  </si>
  <si>
    <t xml:space="preserve">4</t>
  </si>
  <si>
    <t xml:space="preserve">Resolva cada pendência e cada aviso. A linha fica verde quando está OK.</t>
  </si>
  <si>
    <t xml:space="preserve">5</t>
  </si>
  <si>
    <t xml:space="preserve">Aba Equipe: monte a escala e confira as palavras de comando com a equipe.</t>
  </si>
  <si>
    <t xml:space="preserve">6</t>
  </si>
  <si>
    <t xml:space="preserve">Aba Checklist: confira os doze itens antes de o evento começar.</t>
  </si>
  <si>
    <t xml:space="preserve">7</t>
  </si>
  <si>
    <t xml:space="preserve">Depois do evento, aba Registro de erros: anote os erros vistos na gravação e a ação de cada um.</t>
  </si>
  <si>
    <t xml:space="preserve">Abas da planilha</t>
  </si>
  <si>
    <t xml:space="preserve">Roteiro de corte</t>
  </si>
  <si>
    <t xml:space="preserve">Até 20 momentos, seis câmeras e dois gravadores, com hora de cada momento, ritmo sugerido, pendências e espaço de gravação.</t>
  </si>
  <si>
    <t xml:space="preserve">Equipe</t>
  </si>
  <si>
    <t xml:space="preserve">Escala de até 14 funções, com situação de cada linha, e as palavras de comando combinadas.</t>
  </si>
  <si>
    <t xml:space="preserve">Registro de erros</t>
  </si>
  <si>
    <t xml:space="preserve">Até 30 erros, com contagem por tipo e por causa e ações em aberto.</t>
  </si>
  <si>
    <t xml:space="preserve">Referência</t>
  </si>
  <si>
    <t xml:space="preserve">Ritmo por tipo de momento, transições, linguagem de comando, tally e taxas de gravação.</t>
  </si>
  <si>
    <t xml:space="preserve">Checklist</t>
  </si>
  <si>
    <t xml:space="preserve">Os doze itens do treinamento, com percentual atendido.</t>
  </si>
  <si>
    <t xml:space="preserve">Exemplo - Roteiro</t>
  </si>
  <si>
    <t xml:space="preserve">O roteiro do culto do exemplo 1 do treinamento, antes das correções.</t>
  </si>
  <si>
    <t xml:space="preserve">Regras e premissas do modelo</t>
  </si>
  <si>
    <t xml:space="preserve">Hora de cada momento</t>
  </si>
  <si>
    <t xml:space="preserve">Hora de início do evento mais a soma das durações dos momentos anteriores.</t>
  </si>
  <si>
    <t xml:space="preserve">Ritmo sugerido</t>
  </si>
  <si>
    <t xml:space="preserve">Vem da tabela da aba Referência, pelo tipo de momento. É ponto de partida, e não norma.</t>
  </si>
  <si>
    <t xml:space="preserve">Pendência</t>
  </si>
  <si>
    <t xml:space="preserve">Uma por linha, na ordem: duração, fonte principal, áudio da mídia, alternativa repetida, momento longo sem alternativa, câmera sem operador.</t>
  </si>
  <si>
    <t xml:space="preserve">Sem alternativa</t>
  </si>
  <si>
    <t xml:space="preserve">Só recebe alerta o momento mais longo que o limite do alto da aba (5 minutos no início). Troque se quiser.</t>
  </si>
  <si>
    <t xml:space="preserve">Espaço de gravação</t>
  </si>
  <si>
    <t xml:space="preserve">Taxa (Mbps) × (duração do roteiro + margem) × 60 ÷ 8 ÷ 1000, em GB. A taxa real depende do formato: confira o manual.</t>
  </si>
  <si>
    <t xml:space="preserve">Concentração</t>
  </si>
  <si>
    <t xml:space="preserve">Câmera principal em mais que a parcela do alto da aba (60% no início) recebe aviso para combinar um plano B.</t>
  </si>
  <si>
    <t xml:space="preserve">Exemplos</t>
  </si>
  <si>
    <t xml:space="preserve">Os dados do exemplo e das linhas “Ex.” são ilustrativos, criados para este material.</t>
  </si>
  <si>
    <t xml:space="preserve">Roteiro de corte — momento a momento</t>
  </si>
  <si>
    <t xml:space="preserve">Preencha as células em amarelo-claro. As células cinza são calculadas e apontam o que falta resolver.</t>
  </si>
  <si>
    <t xml:space="preserve">Evento</t>
  </si>
  <si>
    <t xml:space="preserve">Momento sem alternativa: alerta acima de (min)</t>
  </si>
  <si>
    <t xml:space="preserve">Regra prática deste material. Momento curto pode ficar só na câmera geral.</t>
  </si>
  <si>
    <t xml:space="preserve">Local</t>
  </si>
  <si>
    <t xml:space="preserve">Margem de gravação (min)</t>
  </si>
  <si>
    <t xml:space="preserve">Tempo a mais que cada gravador deve suportar, além do roteiro.</t>
  </si>
  <si>
    <t xml:space="preserve">Data</t>
  </si>
  <si>
    <t xml:space="preserve">Concentração numa câmera: alerta acima de</t>
  </si>
  <si>
    <t xml:space="preserve">Parcela do tempo como principal. Acima dela, combine um plano B.</t>
  </si>
  <si>
    <t xml:space="preserve">Hora de início</t>
  </si>
  <si>
    <t xml:space="preserve">A hora de cada momento é calculada a partir da hora de início e das durações.</t>
  </si>
  <si>
    <t xml:space="preserve">Diretor de imagem</t>
  </si>
  <si>
    <t xml:space="preserve">Fontes: Câmera 1 a 6, Mídia, Slides, Letras ou Vinheta. A pendência some quando a linha está resolvida.</t>
  </si>
  <si>
    <t xml:space="preserve">Roteiro de corte, na ordem do evento</t>
  </si>
  <si>
    <t xml:space="preserve">#</t>
  </si>
  <si>
    <t xml:space="preserve">Momento</t>
  </si>
  <si>
    <t xml:space="preserve">Tipo</t>
  </si>
  <si>
    <t xml:space="preserve">Duração</t>
  </si>
  <si>
    <t xml:space="preserve">Início</t>
  </si>
  <si>
    <t xml:space="preserve">Fonte principal</t>
  </si>
  <si>
    <t xml:space="preserve">Alternativa 1</t>
  </si>
  <si>
    <t xml:space="preserve">Alternativa 2</t>
  </si>
  <si>
    <t xml:space="preserve">Gráfico</t>
  </si>
  <si>
    <t xml:space="preserve">Transição de entrada</t>
  </si>
  <si>
    <t xml:space="preserve">Áudio da mídia</t>
  </si>
  <si>
    <t xml:space="preserve">Observação</t>
  </si>
  <si>
    <t xml:space="preserve">o que acontece no palco</t>
  </si>
  <si>
    <t xml:space="preserve">da lista</t>
  </si>
  <si>
    <t xml:space="preserve">min</t>
  </si>
  <si>
    <t xml:space="preserve">calculado</t>
  </si>
  <si>
    <t xml:space="preserve">legenda, letra, texto</t>
  </si>
  <si>
    <t xml:space="preserve">Sim / Não</t>
  </si>
  <si>
    <t xml:space="preserve">da aba Referência</t>
  </si>
  <si>
    <t xml:space="preserve">calculada</t>
  </si>
  <si>
    <t xml:space="preserve">Ex.</t>
  </si>
  <si>
    <t xml:space="preserve">Pregação</t>
  </si>
  <si>
    <t xml:space="preserve">19:40</t>
  </si>
  <si>
    <t xml:space="preserve">Câmera 2</t>
  </si>
  <si>
    <t xml:space="preserve">Câmera 1</t>
  </si>
  <si>
    <t xml:space="preserve">Câmera 3</t>
  </si>
  <si>
    <t xml:space="preserve">Nome do pastor</t>
  </si>
  <si>
    <t xml:space="preserve">Corte seco</t>
  </si>
  <si>
    <t xml:space="preserve">20 a 60 s ou mais, Corte seco</t>
  </si>
  <si>
    <t xml:space="preserve">OK</t>
  </si>
  <si>
    <t xml:space="preserve">Câmeras e gravação</t>
  </si>
  <si>
    <t xml:space="preserve">Câmera ou gravador</t>
  </si>
  <si>
    <t xml:space="preserve">Posição</t>
  </si>
  <si>
    <t xml:space="preserve">Plano de base</t>
  </si>
  <si>
    <t xml:space="preserve">Operador</t>
  </si>
  <si>
    <t xml:space="preserve">Grava?</t>
  </si>
  <si>
    <t xml:space="preserve">Taxa</t>
  </si>
  <si>
    <t xml:space="preserve">Espaço livre</t>
  </si>
  <si>
    <t xml:space="preserve">Minutos como principal</t>
  </si>
  <si>
    <t xml:space="preserve">% do tempo</t>
  </si>
  <si>
    <t xml:space="preserve">Espaço necessário</t>
  </si>
  <si>
    <t xml:space="preserve">Gravação</t>
  </si>
  <si>
    <t xml:space="preserve">Uso no roteiro</t>
  </si>
  <si>
    <t xml:space="preserve">onde fica</t>
  </si>
  <si>
    <t xml:space="preserve">quadro quando livre</t>
  </si>
  <si>
    <t xml:space="preserve">nome</t>
  </si>
  <si>
    <t xml:space="preserve">Mbps</t>
  </si>
  <si>
    <t xml:space="preserve">GB</t>
  </si>
  <si>
    <t xml:space="preserve">GB, com a margem</t>
  </si>
  <si>
    <t xml:space="preserve">Câmera 4</t>
  </si>
  <si>
    <t xml:space="preserve">Câmera 5</t>
  </si>
  <si>
    <t xml:space="preserve">Câmera 6</t>
  </si>
  <si>
    <t xml:space="preserve">Programa (PGM)</t>
  </si>
  <si>
    <t xml:space="preserve">–</t>
  </si>
  <si>
    <t xml:space="preserve">Programa limpo</t>
  </si>
  <si>
    <t xml:space="preserve">Resumo automático</t>
  </si>
  <si>
    <t xml:space="preserve">Momentos registrados</t>
  </si>
  <si>
    <t xml:space="preserve">Duração total (min)</t>
  </si>
  <si>
    <t xml:space="preserve">Hora de término</t>
  </si>
  <si>
    <t xml:space="preserve">Momentos sem pendência (OK)</t>
  </si>
  <si>
    <t xml:space="preserve">Momentos com pendência</t>
  </si>
  <si>
    <t xml:space="preserve">Câmera mais usada como principal</t>
  </si>
  <si>
    <t xml:space="preserve">Parcela do tempo dessa câmera</t>
  </si>
  <si>
    <t xml:space="preserve">Gravações sem espaço suficiente</t>
  </si>
  <si>
    <t xml:space="preserve">Câmeras em uso sem operador</t>
  </si>
  <si>
    <t xml:space="preserve">Aviso</t>
  </si>
  <si>
    <t xml:space="preserve">Equipe — escala e linguagem de comando</t>
  </si>
  <si>
    <t xml:space="preserve">Preencha as células em amarelo-claro. A situação de cada linha e o aviso são calculados.</t>
  </si>
  <si>
    <t xml:space="preserve">Em equipe pequena, uma pessoa pode ter duas funções: registre as duas linhas com o mesmo nome.</t>
  </si>
  <si>
    <t xml:space="preserve">Diretor, corte e câmeras precisam de intercom. Sem intercom, combine sinais e planos de base fixos.</t>
  </si>
  <si>
    <t xml:space="preserve">Hora de chegada da equipe</t>
  </si>
  <si>
    <t xml:space="preserve">Escala da equipe</t>
  </si>
  <si>
    <t xml:space="preserve">Função</t>
  </si>
  <si>
    <t xml:space="preserve">Nome</t>
  </si>
  <si>
    <t xml:space="preserve">Posto</t>
  </si>
  <si>
    <t xml:space="preserve">Intercom</t>
  </si>
  <si>
    <t xml:space="preserve">Substituto</t>
  </si>
  <si>
    <t xml:space="preserve">Chegada</t>
  </si>
  <si>
    <t xml:space="preserve">Situação</t>
  </si>
  <si>
    <t xml:space="preserve">quem cobre</t>
  </si>
  <si>
    <t xml:space="preserve">hh:mm</t>
  </si>
  <si>
    <t xml:space="preserve">Voluntário B</t>
  </si>
  <si>
    <t xml:space="preserve">Fundo, à esquerda</t>
  </si>
  <si>
    <t xml:space="preserve">Sim</t>
  </si>
  <si>
    <t xml:space="preserve">Voluntário D</t>
  </si>
  <si>
    <t xml:space="preserve">17:30</t>
  </si>
  <si>
    <t xml:space="preserve">Plano de base: médio do púlpito</t>
  </si>
  <si>
    <t xml:space="preserve">Funções na escala</t>
  </si>
  <si>
    <t xml:space="preserve">Operador de corte</t>
  </si>
  <si>
    <t xml:space="preserve">Câmeras com operador</t>
  </si>
  <si>
    <t xml:space="preserve">Linhas sem nome ou sem intercom</t>
  </si>
  <si>
    <t xml:space="preserve">Linhas sem substituto</t>
  </si>
  <si>
    <t xml:space="preserve">Palavras de comando combinadas</t>
  </si>
  <si>
    <t xml:space="preserve">Ação</t>
  </si>
  <si>
    <t xml:space="preserve">Preparo</t>
  </si>
  <si>
    <t xml:space="preserve">Execução</t>
  </si>
  <si>
    <t xml:space="preserve">Prepara 2.</t>
  </si>
  <si>
    <t xml:space="preserve">Corta.</t>
  </si>
  <si>
    <t xml:space="preserve">Sempre o número da câmera, nunca o nome da pessoa.</t>
  </si>
  <si>
    <t xml:space="preserve">Fusão</t>
  </si>
  <si>
    <t xml:space="preserve">Prepara fusão para a 1.</t>
  </si>
  <si>
    <t xml:space="preserve">Funde.</t>
  </si>
  <si>
    <t xml:space="preserve">Avise que é fusão já no preparo.</t>
  </si>
  <si>
    <t xml:space="preserve">Legenda ou letra</t>
  </si>
  <si>
    <t xml:space="preserve">Prepara legenda do pastor.</t>
  </si>
  <si>
    <t xml:space="preserve">Entra legenda.</t>
  </si>
  <si>
    <t xml:space="preserve">Todo “entra” tem um “sai legenda”.</t>
  </si>
  <si>
    <t xml:space="preserve">Vídeo</t>
  </si>
  <si>
    <t xml:space="preserve">Prepara vídeo de avisos.</t>
  </si>
  <si>
    <t xml:space="preserve">Roda vídeo.</t>
  </si>
  <si>
    <t xml:space="preserve">A mídia responde “vídeo pronto” e avisa “dez segundos”.</t>
  </si>
  <si>
    <t xml:space="preserve">Pedido de plano</t>
  </si>
  <si>
    <t xml:space="preserve">3, congregação, plano aberto.</t>
  </si>
  <si>
    <t xml:space="preserve">A câmera só se move se estiver livre.</t>
  </si>
  <si>
    <t xml:space="preserve">Sem tally</t>
  </si>
  <si>
    <t xml:space="preserve">2 no ar. / 2, liberada.</t>
  </si>
  <si>
    <t xml:space="preserve">O diretor avisa quem entrou e quem saiu do ar.</t>
  </si>
  <si>
    <t xml:space="preserve">Abertura e fim</t>
  </si>
  <si>
    <t xml:space="preserve">Prepara abertura.</t>
  </si>
  <si>
    <t xml:space="preserve">Sai do preto. / Vai a preto.</t>
  </si>
  <si>
    <t xml:space="preserve">Combine se o FTB começa ativo.</t>
  </si>
  <si>
    <t xml:space="preserve">As palavras são sugestões. Troque pelas que a sua equipe usa, e use sempre as mesmas.</t>
  </si>
  <si>
    <t xml:space="preserve">Registro de erros — para a reunião de revisão</t>
  </si>
  <si>
    <t xml:space="preserve">Anote cada erro com a hora em que apareceu na gravação. A situação de cada linha e o resumo são calculados.</t>
  </si>
  <si>
    <t xml:space="preserve">Assista à gravação do programa com a equipe. Para cada erro, uma linha.</t>
  </si>
  <si>
    <t xml:space="preserve">Data do evento</t>
  </si>
  <si>
    <t xml:space="preserve">A causa diz onde agir: Comando e Roteiro são da direção; Operação e Treinamento, de quem opera; Equipamento, da manutenção.</t>
  </si>
  <si>
    <t xml:space="preserve">Revisão feita em</t>
  </si>
  <si>
    <t xml:space="preserve">O objetivo é corrigir o processo, e não achar culpados.</t>
  </si>
  <si>
    <t xml:space="preserve">Erros vistos na revisão</t>
  </si>
  <si>
    <t xml:space="preserve">Hora</t>
  </si>
  <si>
    <t xml:space="preserve">Fonte</t>
  </si>
  <si>
    <t xml:space="preserve">Causa</t>
  </si>
  <si>
    <t xml:space="preserve">Gravidade</t>
  </si>
  <si>
    <t xml:space="preserve">O que aconteceu</t>
  </si>
  <si>
    <t xml:space="preserve">Ação para o próximo evento</t>
  </si>
  <si>
    <t xml:space="preserve">Responsável</t>
  </si>
  <si>
    <t xml:space="preserve">Ação feita?</t>
  </si>
  <si>
    <t xml:space="preserve">do roteiro</t>
  </si>
  <si>
    <t xml:space="preserve">19:31</t>
  </si>
  <si>
    <t xml:space="preserve">Avisos em vídeo</t>
  </si>
  <si>
    <t xml:space="preserve">Tela preta ou buraco</t>
  </si>
  <si>
    <t xml:space="preserve">Mídia</t>
  </si>
  <si>
    <t xml:space="preserve">Roteiro</t>
  </si>
  <si>
    <t xml:space="preserve">Alta</t>
  </si>
  <si>
    <t xml:space="preserve">Tela preta por 6 s no fim do vídeo</t>
  </si>
  <si>
    <t xml:space="preserve">Câmera geral no preview durante todo vídeo</t>
  </si>
  <si>
    <t xml:space="preserve">Diretor</t>
  </si>
  <si>
    <t xml:space="preserve">Resumo por tipo e por causa</t>
  </si>
  <si>
    <t xml:space="preserve">Tipo de erro</t>
  </si>
  <si>
    <t xml:space="preserve">Vezes</t>
  </si>
  <si>
    <t xml:space="preserve">Corte atrasado</t>
  </si>
  <si>
    <t xml:space="preserve">Comando</t>
  </si>
  <si>
    <t xml:space="preserve">Corte sem motivo</t>
  </si>
  <si>
    <t xml:space="preserve">Câmera mexendo no ar</t>
  </si>
  <si>
    <t xml:space="preserve">Operação</t>
  </si>
  <si>
    <t xml:space="preserve">Salto</t>
  </si>
  <si>
    <t xml:space="preserve">Equipamento</t>
  </si>
  <si>
    <t xml:space="preserve">Eixo cruzado</t>
  </si>
  <si>
    <t xml:space="preserve">Treinamento</t>
  </si>
  <si>
    <t xml:space="preserve">Gráfico esquecido</t>
  </si>
  <si>
    <t xml:space="preserve">Comunicação</t>
  </si>
  <si>
    <t xml:space="preserve">Gráfico errado</t>
  </si>
  <si>
    <t xml:space="preserve">Mídia sem som</t>
  </si>
  <si>
    <t xml:space="preserve">Erros registrados</t>
  </si>
  <si>
    <t xml:space="preserve">Tipo mais frequente</t>
  </si>
  <si>
    <t xml:space="preserve">Fonte com defeito</t>
  </si>
  <si>
    <t xml:space="preserve">Causa mais frequente</t>
  </si>
  <si>
    <t xml:space="preserve">Erros de gravidade alta</t>
  </si>
  <si>
    <t xml:space="preserve">Ações em aberto ou sem definição</t>
  </si>
  <si>
    <t xml:space="preserve">Referência — corte ao vivo</t>
  </si>
  <si>
    <t xml:space="preserve">Valores de referência, para servir de ponto de partida. Confira o manual do seu equipamento.</t>
  </si>
  <si>
    <t xml:space="preserve">Ritmo por tipo de momento</t>
  </si>
  <si>
    <t xml:space="preserve">Tipo de momento</t>
  </si>
  <si>
    <t xml:space="preserve">Duração de cada plano</t>
  </si>
  <si>
    <t xml:space="preserve">Transição</t>
  </si>
  <si>
    <t xml:space="preserve">Abertura</t>
  </si>
  <si>
    <t xml:space="preserve">plano geral, 5 a 10 s</t>
  </si>
  <si>
    <t xml:space="preserve">Do preto ou fusão</t>
  </si>
  <si>
    <t xml:space="preserve">Logo ou vinheta, se houver. Situe quem chega à transmissão.</t>
  </si>
  <si>
    <t xml:space="preserve">Louvor rápido</t>
  </si>
  <si>
    <t xml:space="preserve">3 a 6 s por plano</t>
  </si>
  <si>
    <t xml:space="preserve">Corte no tempo forte, nas viradas das frases. Cortes fora do tempo cansam.</t>
  </si>
  <si>
    <t xml:space="preserve">Louvor lento</t>
  </si>
  <si>
    <t xml:space="preserve">6 a 12 s por plano</t>
  </si>
  <si>
    <t xml:space="preserve">Fusão de 0,5 a 1 s</t>
  </si>
  <si>
    <t xml:space="preserve">Movimentos lentos de câmera no ar, se combinados.</t>
  </si>
  <si>
    <t xml:space="preserve">Oração</t>
  </si>
  <si>
    <t xml:space="preserve">plano longo</t>
  </si>
  <si>
    <t xml:space="preserve">Plano aberto e estável. Sem gráfico. Evite closes de quem ora.</t>
  </si>
  <si>
    <t xml:space="preserve">Leitura</t>
  </si>
  <si>
    <t xml:space="preserve">10 a 30 s por plano</t>
  </si>
  <si>
    <t xml:space="preserve">Texto ou referência como gráfico, sem cobrir o rosto.</t>
  </si>
  <si>
    <t xml:space="preserve">20 a 60 s ou mais</t>
  </si>
  <si>
    <t xml:space="preserve">Saídas de 3 a 6 s para o geral e a reação. Não corte no meio da frase.</t>
  </si>
  <si>
    <t xml:space="preserve">Avisos</t>
  </si>
  <si>
    <t xml:space="preserve">Nome e função de quem fala na legenda.</t>
  </si>
  <si>
    <t xml:space="preserve">o vídeo inteiro</t>
  </si>
  <si>
    <t xml:space="preserve">Câmera geral no preview até o fim. Aviso de dez segundos.</t>
  </si>
  <si>
    <t xml:space="preserve">Oferta ou ceia</t>
  </si>
  <si>
    <t xml:space="preserve">Fusão lenta</t>
  </si>
  <si>
    <t xml:space="preserve">Detalhe das mãos e dos elementos. Combine até onde chegar perto.</t>
  </si>
  <si>
    <t xml:space="preserve">Entrevista</t>
  </si>
  <si>
    <t xml:space="preserve">5 a 15 s por plano</t>
  </si>
  <si>
    <t xml:space="preserve">Corte para quem vai falar, um instante antes. Câmeras do mesmo lado do eixo.</t>
  </si>
  <si>
    <t xml:space="preserve">Encerramento</t>
  </si>
  <si>
    <t xml:space="preserve">plano geral</t>
  </si>
  <si>
    <t xml:space="preserve">Para o preto, 1 a 2 s</t>
  </si>
  <si>
    <t xml:space="preserve">Tela final, se houver. Pare as gravações depois do preto.</t>
  </si>
  <si>
    <t xml:space="preserve">Transições</t>
  </si>
  <si>
    <t xml:space="preserve">O que faz</t>
  </si>
  <si>
    <t xml:space="preserve">Tempo para começar</t>
  </si>
  <si>
    <t xml:space="preserve">Quando usar</t>
  </si>
  <si>
    <t xml:space="preserve">Corte seco (cut)</t>
  </si>
  <si>
    <t xml:space="preserve">troca na hora</t>
  </si>
  <si>
    <t xml:space="preserve">instantâneo</t>
  </si>
  <si>
    <t xml:space="preserve">O padrão: fala, música com andamento, entrevista, reação.</t>
  </si>
  <si>
    <t xml:space="preserve">Fusão (mix)</t>
  </si>
  <si>
    <t xml:space="preserve">uma imagem some e a outra aparece</t>
  </si>
  <si>
    <t xml:space="preserve">0,5 a 1 s entre câmeras; até 2 s entre momentos</t>
  </si>
  <si>
    <t xml:space="preserve">Música lenta, oração, passagem de um momento para outro.</t>
  </si>
  <si>
    <t xml:space="preserve">Fade para preto (FTB)</t>
  </si>
  <si>
    <t xml:space="preserve">escurece tudo, inclusive os gráficos</t>
  </si>
  <si>
    <t xml:space="preserve">1 a 2 s</t>
  </si>
  <si>
    <t xml:space="preserve">Só no começo e no fim. O botão pisca enquanto está ativo.</t>
  </si>
  <si>
    <t xml:space="preserve">Cortina (wipe) e efeitos</t>
  </si>
  <si>
    <t xml:space="preserve">uma imagem empurra ou cobre a outra</t>
  </si>
  <si>
    <t xml:space="preserve">Quase nunca. Só em vinheta combinada.</t>
  </si>
  <si>
    <t xml:space="preserve">Linguagem de comando</t>
  </si>
  <si>
    <t xml:space="preserve">Cuidado</t>
  </si>
  <si>
    <t xml:space="preserve">Tally e janelas do multiview</t>
  </si>
  <si>
    <t xml:space="preserve">Cor</t>
  </si>
  <si>
    <t xml:space="preserve">Significa</t>
  </si>
  <si>
    <t xml:space="preserve">Operador de câmera</t>
  </si>
  <si>
    <t xml:space="preserve">Vermelho</t>
  </si>
  <si>
    <t xml:space="preserve">no ar (program)</t>
  </si>
  <si>
    <t xml:space="preserve">segura o quadro</t>
  </si>
  <si>
    <t xml:space="preserve">Só se move para acompanhar a pessoa, com suavidade, ou a pedido do diretor.</t>
  </si>
  <si>
    <t xml:space="preserve">Verde</t>
  </si>
  <si>
    <t xml:space="preserve">próxima (preview)</t>
  </si>
  <si>
    <t xml:space="preserve">termina o ajuste e segura</t>
  </si>
  <si>
    <t xml:space="preserve">O corte pode vir a qualquer instante.</t>
  </si>
  <si>
    <t xml:space="preserve">Apagado</t>
  </si>
  <si>
    <t xml:space="preserve">livre</t>
  </si>
  <si>
    <t xml:space="preserve">volta ao plano de base</t>
  </si>
  <si>
    <t xml:space="preserve">Hora de acertar foco e quadro, ou de buscar o plano pedido.</t>
  </si>
  <si>
    <t xml:space="preserve">Taxas de gravação e espaço</t>
  </si>
  <si>
    <t xml:space="preserve">Formato</t>
  </si>
  <si>
    <t xml:space="preserve">Taxa típica</t>
  </si>
  <si>
    <t xml:space="preserve">Espaço por hora</t>
  </si>
  <si>
    <t xml:space="preserve">1080p comprimido, qualidade padrão</t>
  </si>
  <si>
    <t xml:space="preserve">10 a 25 Mbps</t>
  </si>
  <si>
    <t xml:space="preserve">4,5 a 11 GB</t>
  </si>
  <si>
    <t xml:space="preserve">Comum em celulares e em gravadores de switcher.</t>
  </si>
  <si>
    <t xml:space="preserve">1080p comprimido, qualidade alta</t>
  </si>
  <si>
    <t xml:space="preserve">25 a 50 Mbps</t>
  </si>
  <si>
    <t xml:space="preserve">11 a 23 GB</t>
  </si>
  <si>
    <t xml:space="preserve">Comum em câmeras de vídeo e fotográficas.</t>
  </si>
  <si>
    <t xml:space="preserve">4K comprimido</t>
  </si>
  <si>
    <t xml:space="preserve">50 a 150 Mbps</t>
  </si>
  <si>
    <t xml:space="preserve">23 a 68 GB</t>
  </si>
  <si>
    <t xml:space="preserve">Arquivos grandes. Confira o tempo máximo de gravação da câmera.</t>
  </si>
  <si>
    <t xml:space="preserve">1080p em formato de edição</t>
  </si>
  <si>
    <t xml:space="preserve">100 a 220 Mbps</t>
  </si>
  <si>
    <t xml:space="preserve">45 a 100 GB</t>
  </si>
  <si>
    <t xml:space="preserve">Edição mais leve, arquivos muito maiores.</t>
  </si>
  <si>
    <t xml:space="preserve">Espaço (GB) = taxa (Mbps) × minutos × 60 ÷ 8 ÷ 1000. As taxas são faixas típicas e dependem do formato e da qualidade escolhidos: confira no menu e no manual.</t>
  </si>
  <si>
    <t xml:space="preserve">Checklist do corte ao vivo</t>
  </si>
  <si>
    <t xml:space="preserve">Confira antes de o evento começar; o último item fica para o fim. Escolha a situação de cada item na lista suspensa.</t>
  </si>
  <si>
    <t xml:space="preserve">Grupo</t>
  </si>
  <si>
    <t xml:space="preserve">Item</t>
  </si>
  <si>
    <t xml:space="preserve">Preparação</t>
  </si>
  <si>
    <t xml:space="preserve">O roteiro de corte está pronto, com fonte principal e alternativa em cada momento.</t>
  </si>
  <si>
    <t xml:space="preserve">Cada função da escala tem um nome, e todos conhecem as palavras de comando.</t>
  </si>
  <si>
    <t xml:space="preserve">Cada câmera tem um plano de base, e a câmera geral é o plano de segurança.</t>
  </si>
  <si>
    <t xml:space="preserve">Sistema</t>
  </si>
  <si>
    <t xml:space="preserve">Todas as fontes aparecem no multiview, no formato do sistema e com o nome certo.</t>
  </si>
  <si>
    <t xml:space="preserve">As câmeras foram igualadas em exposição e em cor, com a luz do evento.</t>
  </si>
  <si>
    <t xml:space="preserve">O tally e o intercom foram testados com cada operador de câmera.</t>
  </si>
  <si>
    <t xml:space="preserve">Gráficos e mídia</t>
  </si>
  <si>
    <t xml:space="preserve">As legendas, as letras e os vídeos foram testados no preview, com a grafia dos nomes conferida.</t>
  </si>
  <si>
    <t xml:space="preserve">O som de cada vídeo foi combinado com o operador de áudio.</t>
  </si>
  <si>
    <t xml:space="preserve">Switcher</t>
  </si>
  <si>
    <t xml:space="preserve">O tempo da fusão está ajustado, e o FTB e o key final começam como combinado.</t>
  </si>
  <si>
    <t xml:space="preserve">O telão da sala e a transmissão recebem, cada um, a saída certa.</t>
  </si>
  <si>
    <t xml:space="preserve">As gravações foram iniciadas, com espaço conferido, e os contadores estão andando.</t>
  </si>
  <si>
    <t xml:space="preserve">Revisão</t>
  </si>
  <si>
    <t xml:space="preserve">Os erros do evento foram anotados com a hora, para a reunião de revisão.</t>
  </si>
  <si>
    <t xml:space="preserve">Itens respondidos</t>
  </si>
  <si>
    <t xml:space="preserve">Percentual atendido (Parcial vale metade)</t>
  </si>
  <si>
    <t xml:space="preserve">Exemplo preenchido (exemplo 1 do treinamento), para consulta. Use a aba Roteiro de corte para o seu evento.</t>
  </si>
  <si>
    <t xml:space="preserve">Culto de domingo</t>
  </si>
  <si>
    <t xml:space="preserve">Igreja de 200 lugares</t>
  </si>
  <si>
    <t xml:space="preserve">Diretor de imagem da escala</t>
  </si>
  <si>
    <t xml:space="preserve">Roteiro como estava na quinta-feira, antes das correções. As colunas F, M e N são calculadas.</t>
  </si>
  <si>
    <t xml:space="preserve">Abertura e acolhida</t>
  </si>
  <si>
    <t xml:space="preserve">Logo da igreja</t>
  </si>
  <si>
    <t xml:space="preserve">Do preto</t>
  </si>
  <si>
    <t xml:space="preserve">Louvor</t>
  </si>
  <si>
    <t xml:space="preserve">Letra</t>
  </si>
  <si>
    <t xml:space="preserve">Leitura bíblica</t>
  </si>
  <si>
    <t xml:space="preserve">Texto do versículo</t>
  </si>
  <si>
    <t xml:space="preserve">Nome do pastor e versículos</t>
  </si>
  <si>
    <t xml:space="preserve">Oferta</t>
  </si>
  <si>
    <t xml:space="preserve">Louvor final</t>
  </si>
  <si>
    <t xml:space="preserve">Bênção e encerramento</t>
  </si>
  <si>
    <t xml:space="preserve">Tela de encerramento</t>
  </si>
  <si>
    <t xml:space="preserve">Para o preto</t>
  </si>
  <si>
    <t xml:space="preserve">Fundo, centro do corredor</t>
  </si>
  <si>
    <t xml:space="preserve">Geral do palco</t>
  </si>
  <si>
    <t xml:space="preserve">Voluntário A</t>
  </si>
  <si>
    <t xml:space="preserve">Médio do púlpito</t>
  </si>
  <si>
    <t xml:space="preserve">Frente, à esquerda do palco</t>
  </si>
  <si>
    <t xml:space="preserve">Banda e congregação</t>
  </si>
  <si>
    <t xml:space="preserve">Voluntário C</t>
  </si>
  <si>
    <t xml:space="preserve">Não</t>
  </si>
  <si>
    <t xml:space="preserve">Frente, à direita do palco</t>
  </si>
  <si>
    <t xml:space="preserve">Close de quem canta</t>
  </si>
  <si>
    <t xml:space="preserve">Gravador do switcher</t>
  </si>
  <si>
    <t xml:space="preserve">O que foi feito antes do culto</t>
  </si>
  <si>
    <t xml:space="preserve">Onde</t>
  </si>
  <si>
    <t xml:space="preserve">O que a planilha apontou</t>
  </si>
  <si>
    <t xml:space="preserve">O que foi feito</t>
  </si>
  <si>
    <t xml:space="preserve">Defina o áudio da mídia</t>
  </si>
  <si>
    <t xml:space="preserve">O vídeo tem som: marcado “Sim”, e o operador de áudio foi avisado.</t>
  </si>
  <si>
    <t xml:space="preserve">Alternativa repetida</t>
  </si>
  <si>
    <t xml:space="preserve">A alternativa também era a câmera 2. Trocada pela câmera 1, em plano geral.</t>
  </si>
  <si>
    <t xml:space="preserve">Alternativas definidas: câmera 1, geral, e câmera 3, congregação.</t>
  </si>
  <si>
    <t xml:space="preserve">Câmera sem operador</t>
  </si>
  <si>
    <t xml:space="preserve">A câmera 4 não tinha operador neste domingo. O momento passou para a câmera 3.</t>
  </si>
  <si>
    <t xml:space="preserve">Falta espaço (42,8 GB para 32 GB livres)</t>
  </si>
  <si>
    <t xml:space="preserve">Cartão trocado por um maior antes do culto.</t>
  </si>
  <si>
    <t xml:space="preserve">Concentrada: 77% do tempo como principal</t>
  </si>
  <si>
    <t xml:space="preserve">Combinado que a câmera 1 faz um plano médio do púlpito, como plano 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</si>
</sst>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hh:mm"/>
    <numFmt numFmtId="168" formatCode="General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B0413E"/>
        <bgColor rgb="FF993366"/>
      </patternFill>
    </fill>
    <fill>
      <patternFill patternType="solid">
        <fgColor rgb="FFA96A12"/>
        <bgColor rgb="FFB0413E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O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9"/>
    <col collapsed="false" customWidth="true" hidden="false" outlineLevel="0" max="9" min="7" style="0" width="13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24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B4" s="4" t="s">
        <v>60</v>
      </c>
      <c r="C4" s="4"/>
      <c r="D4" s="5"/>
      <c r="E4" s="5"/>
      <c r="F4" s="5"/>
      <c r="G4" s="5"/>
      <c r="H4" s="5"/>
      <c r="I4" s="4" t="s">
        <v>61</v>
      </c>
      <c r="J4" s="4"/>
      <c r="K4" s="4"/>
      <c r="L4" s="9" t="n">
        <v>5</v>
      </c>
      <c r="M4" s="10" t="s">
        <v>62</v>
      </c>
      <c r="N4" s="10"/>
      <c r="O4" s="10"/>
    </row>
    <row r="5" customFormat="false" ht="21.75" hidden="false" customHeight="true" outlineLevel="0" collapsed="false">
      <c r="B5" s="4" t="s">
        <v>63</v>
      </c>
      <c r="C5" s="4"/>
      <c r="D5" s="5"/>
      <c r="E5" s="5"/>
      <c r="F5" s="5"/>
      <c r="G5" s="5"/>
      <c r="H5" s="5"/>
      <c r="I5" s="4" t="s">
        <v>64</v>
      </c>
      <c r="J5" s="4"/>
      <c r="K5" s="4"/>
      <c r="L5" s="9" t="n">
        <v>30</v>
      </c>
      <c r="M5" s="10" t="s">
        <v>65</v>
      </c>
      <c r="N5" s="10"/>
      <c r="O5" s="10"/>
    </row>
    <row r="6" customFormat="false" ht="21.75" hidden="false" customHeight="true" outlineLevel="0" collapsed="false">
      <c r="B6" s="4" t="s">
        <v>66</v>
      </c>
      <c r="C6" s="4"/>
      <c r="D6" s="11"/>
      <c r="E6" s="11"/>
      <c r="F6" s="11"/>
      <c r="G6" s="11"/>
      <c r="H6" s="11"/>
      <c r="I6" s="4" t="s">
        <v>67</v>
      </c>
      <c r="J6" s="4"/>
      <c r="K6" s="4"/>
      <c r="L6" s="12" t="n">
        <v>0.6</v>
      </c>
      <c r="M6" s="10" t="s">
        <v>68</v>
      </c>
      <c r="N6" s="10"/>
      <c r="O6" s="10"/>
    </row>
    <row r="7" customFormat="false" ht="21.75" hidden="false" customHeight="true" outlineLevel="0" collapsed="false">
      <c r="B7" s="4" t="s">
        <v>69</v>
      </c>
      <c r="C7" s="4"/>
      <c r="D7" s="13"/>
      <c r="E7" s="13"/>
      <c r="F7" s="13"/>
      <c r="G7" s="13"/>
      <c r="H7" s="13"/>
      <c r="I7" s="10" t="s">
        <v>70</v>
      </c>
      <c r="J7" s="10"/>
      <c r="K7" s="10"/>
      <c r="L7" s="10"/>
      <c r="M7" s="10"/>
      <c r="N7" s="10"/>
      <c r="O7" s="10"/>
    </row>
    <row r="8" customFormat="false" ht="21.75" hidden="false" customHeight="true" outlineLevel="0" collapsed="false">
      <c r="B8" s="4" t="s">
        <v>71</v>
      </c>
      <c r="C8" s="4"/>
      <c r="D8" s="5"/>
      <c r="E8" s="5"/>
      <c r="F8" s="5"/>
      <c r="G8" s="5"/>
      <c r="H8" s="5"/>
      <c r="I8" s="10" t="s">
        <v>72</v>
      </c>
      <c r="J8" s="10"/>
      <c r="K8" s="10"/>
      <c r="L8" s="10"/>
      <c r="M8" s="10"/>
      <c r="N8" s="10"/>
      <c r="O8" s="10"/>
    </row>
    <row r="10" customFormat="false" ht="21.75" hidden="false" customHeight="true" outlineLevel="0" collapsed="false">
      <c r="B10" s="14" t="s">
        <v>73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customFormat="false" ht="30" hidden="false" customHeight="true" outlineLevel="0" collapsed="false">
      <c r="B11" s="15" t="s">
        <v>74</v>
      </c>
      <c r="C11" s="15" t="s">
        <v>75</v>
      </c>
      <c r="D11" s="15" t="s">
        <v>76</v>
      </c>
      <c r="E11" s="15" t="s">
        <v>77</v>
      </c>
      <c r="F11" s="16" t="s">
        <v>78</v>
      </c>
      <c r="G11" s="17" t="s">
        <v>79</v>
      </c>
      <c r="H11" s="17" t="s">
        <v>80</v>
      </c>
      <c r="I11" s="17" t="s">
        <v>81</v>
      </c>
      <c r="J11" s="15" t="s">
        <v>82</v>
      </c>
      <c r="K11" s="15" t="s">
        <v>83</v>
      </c>
      <c r="L11" s="15" t="s">
        <v>84</v>
      </c>
      <c r="M11" s="16" t="s">
        <v>46</v>
      </c>
      <c r="N11" s="16" t="s">
        <v>48</v>
      </c>
      <c r="O11" s="15" t="s">
        <v>85</v>
      </c>
    </row>
    <row r="12" customFormat="false" ht="21.75" hidden="false" customHeight="true" outlineLevel="0" collapsed="false">
      <c r="B12" s="18"/>
      <c r="C12" s="18" t="s">
        <v>86</v>
      </c>
      <c r="D12" s="18" t="s">
        <v>87</v>
      </c>
      <c r="E12" s="18" t="s">
        <v>88</v>
      </c>
      <c r="F12" s="18" t="s">
        <v>89</v>
      </c>
      <c r="G12" s="18" t="s">
        <v>87</v>
      </c>
      <c r="H12" s="18" t="s">
        <v>87</v>
      </c>
      <c r="I12" s="18" t="s">
        <v>87</v>
      </c>
      <c r="J12" s="18" t="s">
        <v>90</v>
      </c>
      <c r="K12" s="18" t="s">
        <v>87</v>
      </c>
      <c r="L12" s="18" t="s">
        <v>91</v>
      </c>
      <c r="M12" s="18" t="s">
        <v>92</v>
      </c>
      <c r="N12" s="18" t="s">
        <v>93</v>
      </c>
      <c r="O12" s="18"/>
    </row>
    <row r="13" customFormat="false" ht="21.75" hidden="false" customHeight="true" outlineLevel="0" collapsed="false">
      <c r="B13" s="18" t="s">
        <v>94</v>
      </c>
      <c r="C13" s="10" t="s">
        <v>95</v>
      </c>
      <c r="D13" s="18" t="s">
        <v>95</v>
      </c>
      <c r="E13" s="18" t="n">
        <v>40</v>
      </c>
      <c r="F13" s="18" t="s">
        <v>96</v>
      </c>
      <c r="G13" s="18" t="s">
        <v>97</v>
      </c>
      <c r="H13" s="18" t="s">
        <v>98</v>
      </c>
      <c r="I13" s="18" t="s">
        <v>99</v>
      </c>
      <c r="J13" s="10" t="s">
        <v>100</v>
      </c>
      <c r="K13" s="18" t="s">
        <v>101</v>
      </c>
      <c r="L13" s="18"/>
      <c r="M13" s="10" t="s">
        <v>102</v>
      </c>
      <c r="N13" s="18" t="s">
        <v>103</v>
      </c>
      <c r="O13" s="10"/>
    </row>
    <row r="14" customFormat="false" ht="21.75" hidden="false" customHeight="true" outlineLevel="0" collapsed="false">
      <c r="B14" s="19" t="n">
        <v>1</v>
      </c>
      <c r="C14" s="5"/>
      <c r="D14" s="9"/>
      <c r="E14" s="9"/>
      <c r="F14" s="20" t="str">
        <f aca="false">IF(OR(E14="",$D$7=""),"",$D$7)</f>
        <v/>
      </c>
      <c r="G14" s="9"/>
      <c r="H14" s="9"/>
      <c r="I14" s="9"/>
      <c r="J14" s="5"/>
      <c r="K14" s="9"/>
      <c r="L14" s="9"/>
      <c r="M14" s="21" t="str">
        <f aca="false">IF(D14="","",IFERROR(VLOOKUP(D14,Referência!$B$6:$D$16,2,FALSE())&amp;", "&amp;VLOOKUP(D14,Referência!$B$6:$D$16,3,FALSE()),""))</f>
        <v/>
      </c>
      <c r="N14" s="22" t="str">
        <f aca="false">IF(AND(C14="",G14=""),"",IF(E14="","Informe a duração",IF(G14="","Defina a fonte principal",IF(AND(OR(G14="Mídia",G14="Vinheta"),L14=""),"Defina o áudio da mídia",IF(OR(AND(H14&lt;&gt;"",H14=G14),AND(I14&lt;&gt;"",I14=G14),AND(H14&lt;&gt;"",H14=I14)),"Alternativa repetida",IF(AND(H14="",I14="",E14&gt;$L$4),"Sem alternativa",IF(IFERROR(INDEX($G$38:$G$43,MATCH(G14,$C$38:$C$43,0))="",FALSE()),"Câmera sem operador",IF(OR(IFERROR(INDEX($G$38:$G$43,MATCH(H14,$C$38:$C$43,0))="",FALSE()),IFERROR(INDEX($G$38:$G$43,MATCH(I14,$C$38:$C$43,0))="",FALSE())),"Alternativa sem operador","OK"))))))))</f>
        <v/>
      </c>
      <c r="O14" s="5"/>
    </row>
    <row r="15" customFormat="false" ht="21.75" hidden="false" customHeight="true" outlineLevel="0" collapsed="false">
      <c r="B15" s="19" t="n">
        <v>2</v>
      </c>
      <c r="C15" s="5"/>
      <c r="D15" s="9"/>
      <c r="E15" s="9"/>
      <c r="F15" s="20" t="str">
        <f aca="false">IF(OR(E15="",$D$7=""),"",$D$7+SUM($E$14:E14)/1440)</f>
        <v/>
      </c>
      <c r="G15" s="9"/>
      <c r="H15" s="9"/>
      <c r="I15" s="9"/>
      <c r="J15" s="5"/>
      <c r="K15" s="9"/>
      <c r="L15" s="9"/>
      <c r="M15" s="21" t="str">
        <f aca="false">IF(D15="","",IFERROR(VLOOKUP(D15,Referência!$B$6:$D$16,2,FALSE())&amp;", "&amp;VLOOKUP(D15,Referência!$B$6:$D$16,3,FALSE()),""))</f>
        <v/>
      </c>
      <c r="N15" s="22" t="str">
        <f aca="false">IF(AND(C15="",G15=""),"",IF(E15="","Informe a duração",IF(G15="","Defina a fonte principal",IF(AND(OR(G15="Mídia",G15="Vinheta"),L15=""),"Defina o áudio da mídia",IF(OR(AND(H15&lt;&gt;"",H15=G15),AND(I15&lt;&gt;"",I15=G15),AND(H15&lt;&gt;"",H15=I15)),"Alternativa repetida",IF(AND(H15="",I15="",E15&gt;$L$4),"Sem alternativa",IF(IFERROR(INDEX($G$38:$G$43,MATCH(G15,$C$38:$C$43,0))="",FALSE()),"Câmera sem operador",IF(OR(IFERROR(INDEX($G$38:$G$43,MATCH(H15,$C$38:$C$43,0))="",FALSE()),IFERROR(INDEX($G$38:$G$43,MATCH(I15,$C$38:$C$43,0))="",FALSE())),"Alternativa sem operador","OK"))))))))</f>
        <v/>
      </c>
      <c r="O15" s="5"/>
    </row>
    <row r="16" customFormat="false" ht="21.75" hidden="false" customHeight="true" outlineLevel="0" collapsed="false">
      <c r="B16" s="19" t="n">
        <v>3</v>
      </c>
      <c r="C16" s="5"/>
      <c r="D16" s="9"/>
      <c r="E16" s="9"/>
      <c r="F16" s="20" t="str">
        <f aca="false">IF(OR(E16="",$D$7=""),"",$D$7+SUM($E$14:E15)/1440)</f>
        <v/>
      </c>
      <c r="G16" s="9"/>
      <c r="H16" s="9"/>
      <c r="I16" s="9"/>
      <c r="J16" s="5"/>
      <c r="K16" s="9"/>
      <c r="L16" s="9"/>
      <c r="M16" s="21" t="str">
        <f aca="false">IF(D16="","",IFERROR(VLOOKUP(D16,Referência!$B$6:$D$16,2,FALSE())&amp;", "&amp;VLOOKUP(D16,Referência!$B$6:$D$16,3,FALSE()),""))</f>
        <v/>
      </c>
      <c r="N16" s="22" t="str">
        <f aca="false">IF(AND(C16="",G16=""),"",IF(E16="","Informe a duração",IF(G16="","Defina a fonte principal",IF(AND(OR(G16="Mídia",G16="Vinheta"),L16=""),"Defina o áudio da mídia",IF(OR(AND(H16&lt;&gt;"",H16=G16),AND(I16&lt;&gt;"",I16=G16),AND(H16&lt;&gt;"",H16=I16)),"Alternativa repetida",IF(AND(H16="",I16="",E16&gt;$L$4),"Sem alternativa",IF(IFERROR(INDEX($G$38:$G$43,MATCH(G16,$C$38:$C$43,0))="",FALSE()),"Câmera sem operador",IF(OR(IFERROR(INDEX($G$38:$G$43,MATCH(H16,$C$38:$C$43,0))="",FALSE()),IFERROR(INDEX($G$38:$G$43,MATCH(I16,$C$38:$C$43,0))="",FALSE())),"Alternativa sem operador","OK"))))))))</f>
        <v/>
      </c>
      <c r="O16" s="5"/>
    </row>
    <row r="17" customFormat="false" ht="21.75" hidden="false" customHeight="true" outlineLevel="0" collapsed="false">
      <c r="B17" s="19" t="n">
        <v>4</v>
      </c>
      <c r="C17" s="5"/>
      <c r="D17" s="9"/>
      <c r="E17" s="9"/>
      <c r="F17" s="20" t="str">
        <f aca="false">IF(OR(E17="",$D$7=""),"",$D$7+SUM($E$14:E16)/1440)</f>
        <v/>
      </c>
      <c r="G17" s="9"/>
      <c r="H17" s="9"/>
      <c r="I17" s="9"/>
      <c r="J17" s="5"/>
      <c r="K17" s="9"/>
      <c r="L17" s="9"/>
      <c r="M17" s="21" t="str">
        <f aca="false">IF(D17="","",IFERROR(VLOOKUP(D17,Referência!$B$6:$D$16,2,FALSE())&amp;", "&amp;VLOOKUP(D17,Referência!$B$6:$D$16,3,FALSE()),""))</f>
        <v/>
      </c>
      <c r="N17" s="22" t="str">
        <f aca="false">IF(AND(C17="",G17=""),"",IF(E17="","Informe a duração",IF(G17="","Defina a fonte principal",IF(AND(OR(G17="Mídia",G17="Vinheta"),L17=""),"Defina o áudio da mídia",IF(OR(AND(H17&lt;&gt;"",H17=G17),AND(I17&lt;&gt;"",I17=G17),AND(H17&lt;&gt;"",H17=I17)),"Alternativa repetida",IF(AND(H17="",I17="",E17&gt;$L$4),"Sem alternativa",IF(IFERROR(INDEX($G$38:$G$43,MATCH(G17,$C$38:$C$43,0))="",FALSE()),"Câmera sem operador",IF(OR(IFERROR(INDEX($G$38:$G$43,MATCH(H17,$C$38:$C$43,0))="",FALSE()),IFERROR(INDEX($G$38:$G$43,MATCH(I17,$C$38:$C$43,0))="",FALSE())),"Alternativa sem operador","OK"))))))))</f>
        <v/>
      </c>
      <c r="O17" s="5"/>
    </row>
    <row r="18" customFormat="false" ht="21.75" hidden="false" customHeight="true" outlineLevel="0" collapsed="false">
      <c r="B18" s="19" t="n">
        <v>5</v>
      </c>
      <c r="C18" s="5"/>
      <c r="D18" s="9"/>
      <c r="E18" s="9"/>
      <c r="F18" s="20" t="str">
        <f aca="false">IF(OR(E18="",$D$7=""),"",$D$7+SUM($E$14:E17)/1440)</f>
        <v/>
      </c>
      <c r="G18" s="9"/>
      <c r="H18" s="9"/>
      <c r="I18" s="9"/>
      <c r="J18" s="5"/>
      <c r="K18" s="9"/>
      <c r="L18" s="9"/>
      <c r="M18" s="21" t="str">
        <f aca="false">IF(D18="","",IFERROR(VLOOKUP(D18,Referência!$B$6:$D$16,2,FALSE())&amp;", "&amp;VLOOKUP(D18,Referência!$B$6:$D$16,3,FALSE()),""))</f>
        <v/>
      </c>
      <c r="N18" s="22" t="str">
        <f aca="false">IF(AND(C18="",G18=""),"",IF(E18="","Informe a duração",IF(G18="","Defina a fonte principal",IF(AND(OR(G18="Mídia",G18="Vinheta"),L18=""),"Defina o áudio da mídia",IF(OR(AND(H18&lt;&gt;"",H18=G18),AND(I18&lt;&gt;"",I18=G18),AND(H18&lt;&gt;"",H18=I18)),"Alternativa repetida",IF(AND(H18="",I18="",E18&gt;$L$4),"Sem alternativa",IF(IFERROR(INDEX($G$38:$G$43,MATCH(G18,$C$38:$C$43,0))="",FALSE()),"Câmera sem operador",IF(OR(IFERROR(INDEX($G$38:$G$43,MATCH(H18,$C$38:$C$43,0))="",FALSE()),IFERROR(INDEX($G$38:$G$43,MATCH(I18,$C$38:$C$43,0))="",FALSE())),"Alternativa sem operador","OK"))))))))</f>
        <v/>
      </c>
      <c r="O18" s="5"/>
    </row>
    <row r="19" customFormat="false" ht="21.75" hidden="false" customHeight="true" outlineLevel="0" collapsed="false">
      <c r="B19" s="19" t="n">
        <v>6</v>
      </c>
      <c r="C19" s="5"/>
      <c r="D19" s="9"/>
      <c r="E19" s="9"/>
      <c r="F19" s="20" t="str">
        <f aca="false">IF(OR(E19="",$D$7=""),"",$D$7+SUM($E$14:E18)/1440)</f>
        <v/>
      </c>
      <c r="G19" s="9"/>
      <c r="H19" s="9"/>
      <c r="I19" s="9"/>
      <c r="J19" s="5"/>
      <c r="K19" s="9"/>
      <c r="L19" s="9"/>
      <c r="M19" s="21" t="str">
        <f aca="false">IF(D19="","",IFERROR(VLOOKUP(D19,Referência!$B$6:$D$16,2,FALSE())&amp;", "&amp;VLOOKUP(D19,Referência!$B$6:$D$16,3,FALSE()),""))</f>
        <v/>
      </c>
      <c r="N19" s="22" t="str">
        <f aca="false">IF(AND(C19="",G19=""),"",IF(E19="","Informe a duração",IF(G19="","Defina a fonte principal",IF(AND(OR(G19="Mídia",G19="Vinheta"),L19=""),"Defina o áudio da mídia",IF(OR(AND(H19&lt;&gt;"",H19=G19),AND(I19&lt;&gt;"",I19=G19),AND(H19&lt;&gt;"",H19=I19)),"Alternativa repetida",IF(AND(H19="",I19="",E19&gt;$L$4),"Sem alternativa",IF(IFERROR(INDEX($G$38:$G$43,MATCH(G19,$C$38:$C$43,0))="",FALSE()),"Câmera sem operador",IF(OR(IFERROR(INDEX($G$38:$G$43,MATCH(H19,$C$38:$C$43,0))="",FALSE()),IFERROR(INDEX($G$38:$G$43,MATCH(I19,$C$38:$C$43,0))="",FALSE())),"Alternativa sem operador","OK"))))))))</f>
        <v/>
      </c>
      <c r="O19" s="5"/>
    </row>
    <row r="20" customFormat="false" ht="21.75" hidden="false" customHeight="true" outlineLevel="0" collapsed="false">
      <c r="B20" s="19" t="n">
        <v>7</v>
      </c>
      <c r="C20" s="5"/>
      <c r="D20" s="9"/>
      <c r="E20" s="9"/>
      <c r="F20" s="20" t="str">
        <f aca="false">IF(OR(E20="",$D$7=""),"",$D$7+SUM($E$14:E19)/1440)</f>
        <v/>
      </c>
      <c r="G20" s="9"/>
      <c r="H20" s="9"/>
      <c r="I20" s="9"/>
      <c r="J20" s="5"/>
      <c r="K20" s="9"/>
      <c r="L20" s="9"/>
      <c r="M20" s="21" t="str">
        <f aca="false">IF(D20="","",IFERROR(VLOOKUP(D20,Referência!$B$6:$D$16,2,FALSE())&amp;", "&amp;VLOOKUP(D20,Referência!$B$6:$D$16,3,FALSE()),""))</f>
        <v/>
      </c>
      <c r="N20" s="22" t="str">
        <f aca="false">IF(AND(C20="",G20=""),"",IF(E20="","Informe a duração",IF(G20="","Defina a fonte principal",IF(AND(OR(G20="Mídia",G20="Vinheta"),L20=""),"Defina o áudio da mídia",IF(OR(AND(H20&lt;&gt;"",H20=G20),AND(I20&lt;&gt;"",I20=G20),AND(H20&lt;&gt;"",H20=I20)),"Alternativa repetida",IF(AND(H20="",I20="",E20&gt;$L$4),"Sem alternativa",IF(IFERROR(INDEX($G$38:$G$43,MATCH(G20,$C$38:$C$43,0))="",FALSE()),"Câmera sem operador",IF(OR(IFERROR(INDEX($G$38:$G$43,MATCH(H20,$C$38:$C$43,0))="",FALSE()),IFERROR(INDEX($G$38:$G$43,MATCH(I20,$C$38:$C$43,0))="",FALSE())),"Alternativa sem operador","OK"))))))))</f>
        <v/>
      </c>
      <c r="O20" s="5"/>
    </row>
    <row r="21" customFormat="false" ht="21.75" hidden="false" customHeight="true" outlineLevel="0" collapsed="false">
      <c r="B21" s="19" t="n">
        <v>8</v>
      </c>
      <c r="C21" s="5"/>
      <c r="D21" s="9"/>
      <c r="E21" s="9"/>
      <c r="F21" s="20" t="str">
        <f aca="false">IF(OR(E21="",$D$7=""),"",$D$7+SUM($E$14:E20)/1440)</f>
        <v/>
      </c>
      <c r="G21" s="9"/>
      <c r="H21" s="9"/>
      <c r="I21" s="9"/>
      <c r="J21" s="5"/>
      <c r="K21" s="9"/>
      <c r="L21" s="9"/>
      <c r="M21" s="21" t="str">
        <f aca="false">IF(D21="","",IFERROR(VLOOKUP(D21,Referência!$B$6:$D$16,2,FALSE())&amp;", "&amp;VLOOKUP(D21,Referência!$B$6:$D$16,3,FALSE()),""))</f>
        <v/>
      </c>
      <c r="N21" s="22" t="str">
        <f aca="false">IF(AND(C21="",G21=""),"",IF(E21="","Informe a duração",IF(G21="","Defina a fonte principal",IF(AND(OR(G21="Mídia",G21="Vinheta"),L21=""),"Defina o áudio da mídia",IF(OR(AND(H21&lt;&gt;"",H21=G21),AND(I21&lt;&gt;"",I21=G21),AND(H21&lt;&gt;"",H21=I21)),"Alternativa repetida",IF(AND(H21="",I21="",E21&gt;$L$4),"Sem alternativa",IF(IFERROR(INDEX($G$38:$G$43,MATCH(G21,$C$38:$C$43,0))="",FALSE()),"Câmera sem operador",IF(OR(IFERROR(INDEX($G$38:$G$43,MATCH(H21,$C$38:$C$43,0))="",FALSE()),IFERROR(INDEX($G$38:$G$43,MATCH(I21,$C$38:$C$43,0))="",FALSE())),"Alternativa sem operador","OK"))))))))</f>
        <v/>
      </c>
      <c r="O21" s="5"/>
    </row>
    <row r="22" customFormat="false" ht="21.75" hidden="false" customHeight="true" outlineLevel="0" collapsed="false">
      <c r="B22" s="19" t="n">
        <v>9</v>
      </c>
      <c r="C22" s="5"/>
      <c r="D22" s="9"/>
      <c r="E22" s="9"/>
      <c r="F22" s="20" t="str">
        <f aca="false">IF(OR(E22="",$D$7=""),"",$D$7+SUM($E$14:E21)/1440)</f>
        <v/>
      </c>
      <c r="G22" s="9"/>
      <c r="H22" s="9"/>
      <c r="I22" s="9"/>
      <c r="J22" s="5"/>
      <c r="K22" s="9"/>
      <c r="L22" s="9"/>
      <c r="M22" s="21" t="str">
        <f aca="false">IF(D22="","",IFERROR(VLOOKUP(D22,Referência!$B$6:$D$16,2,FALSE())&amp;", "&amp;VLOOKUP(D22,Referência!$B$6:$D$16,3,FALSE()),""))</f>
        <v/>
      </c>
      <c r="N22" s="22" t="str">
        <f aca="false">IF(AND(C22="",G22=""),"",IF(E22="","Informe a duração",IF(G22="","Defina a fonte principal",IF(AND(OR(G22="Mídia",G22="Vinheta"),L22=""),"Defina o áudio da mídia",IF(OR(AND(H22&lt;&gt;"",H22=G22),AND(I22&lt;&gt;"",I22=G22),AND(H22&lt;&gt;"",H22=I22)),"Alternativa repetida",IF(AND(H22="",I22="",E22&gt;$L$4),"Sem alternativa",IF(IFERROR(INDEX($G$38:$G$43,MATCH(G22,$C$38:$C$43,0))="",FALSE()),"Câmera sem operador",IF(OR(IFERROR(INDEX($G$38:$G$43,MATCH(H22,$C$38:$C$43,0))="",FALSE()),IFERROR(INDEX($G$38:$G$43,MATCH(I22,$C$38:$C$43,0))="",FALSE())),"Alternativa sem operador","OK"))))))))</f>
        <v/>
      </c>
      <c r="O22" s="5"/>
    </row>
    <row r="23" customFormat="false" ht="21.75" hidden="false" customHeight="true" outlineLevel="0" collapsed="false">
      <c r="B23" s="19" t="n">
        <v>10</v>
      </c>
      <c r="C23" s="5"/>
      <c r="D23" s="9"/>
      <c r="E23" s="9"/>
      <c r="F23" s="20" t="str">
        <f aca="false">IF(OR(E23="",$D$7=""),"",$D$7+SUM($E$14:E22)/1440)</f>
        <v/>
      </c>
      <c r="G23" s="9"/>
      <c r="H23" s="9"/>
      <c r="I23" s="9"/>
      <c r="J23" s="5"/>
      <c r="K23" s="9"/>
      <c r="L23" s="9"/>
      <c r="M23" s="21" t="str">
        <f aca="false">IF(D23="","",IFERROR(VLOOKUP(D23,Referência!$B$6:$D$16,2,FALSE())&amp;", "&amp;VLOOKUP(D23,Referência!$B$6:$D$16,3,FALSE()),""))</f>
        <v/>
      </c>
      <c r="N23" s="22" t="str">
        <f aca="false">IF(AND(C23="",G23=""),"",IF(E23="","Informe a duração",IF(G23="","Defina a fonte principal",IF(AND(OR(G23="Mídia",G23="Vinheta"),L23=""),"Defina o áudio da mídia",IF(OR(AND(H23&lt;&gt;"",H23=G23),AND(I23&lt;&gt;"",I23=G23),AND(H23&lt;&gt;"",H23=I23)),"Alternativa repetida",IF(AND(H23="",I23="",E23&gt;$L$4),"Sem alternativa",IF(IFERROR(INDEX($G$38:$G$43,MATCH(G23,$C$38:$C$43,0))="",FALSE()),"Câmera sem operador",IF(OR(IFERROR(INDEX($G$38:$G$43,MATCH(H23,$C$38:$C$43,0))="",FALSE()),IFERROR(INDEX($G$38:$G$43,MATCH(I23,$C$38:$C$43,0))="",FALSE())),"Alternativa sem operador","OK"))))))))</f>
        <v/>
      </c>
      <c r="O23" s="5"/>
    </row>
    <row r="24" customFormat="false" ht="21.75" hidden="false" customHeight="true" outlineLevel="0" collapsed="false">
      <c r="B24" s="19" t="n">
        <v>11</v>
      </c>
      <c r="C24" s="5"/>
      <c r="D24" s="9"/>
      <c r="E24" s="9"/>
      <c r="F24" s="20" t="str">
        <f aca="false">IF(OR(E24="",$D$7=""),"",$D$7+SUM($E$14:E23)/1440)</f>
        <v/>
      </c>
      <c r="G24" s="9"/>
      <c r="H24" s="9"/>
      <c r="I24" s="9"/>
      <c r="J24" s="5"/>
      <c r="K24" s="9"/>
      <c r="L24" s="9"/>
      <c r="M24" s="21" t="str">
        <f aca="false">IF(D24="","",IFERROR(VLOOKUP(D24,Referência!$B$6:$D$16,2,FALSE())&amp;", "&amp;VLOOKUP(D24,Referência!$B$6:$D$16,3,FALSE()),""))</f>
        <v/>
      </c>
      <c r="N24" s="22" t="str">
        <f aca="false">IF(AND(C24="",G24=""),"",IF(E24="","Informe a duração",IF(G24="","Defina a fonte principal",IF(AND(OR(G24="Mídia",G24="Vinheta"),L24=""),"Defina o áudio da mídia",IF(OR(AND(H24&lt;&gt;"",H24=G24),AND(I24&lt;&gt;"",I24=G24),AND(H24&lt;&gt;"",H24=I24)),"Alternativa repetida",IF(AND(H24="",I24="",E24&gt;$L$4),"Sem alternativa",IF(IFERROR(INDEX($G$38:$G$43,MATCH(G24,$C$38:$C$43,0))="",FALSE()),"Câmera sem operador",IF(OR(IFERROR(INDEX($G$38:$G$43,MATCH(H24,$C$38:$C$43,0))="",FALSE()),IFERROR(INDEX($G$38:$G$43,MATCH(I24,$C$38:$C$43,0))="",FALSE())),"Alternativa sem operador","OK"))))))))</f>
        <v/>
      </c>
      <c r="O24" s="5"/>
    </row>
    <row r="25" customFormat="false" ht="21.75" hidden="false" customHeight="true" outlineLevel="0" collapsed="false">
      <c r="B25" s="19" t="n">
        <v>12</v>
      </c>
      <c r="C25" s="5"/>
      <c r="D25" s="9"/>
      <c r="E25" s="9"/>
      <c r="F25" s="20" t="str">
        <f aca="false">IF(OR(E25="",$D$7=""),"",$D$7+SUM($E$14:E24)/1440)</f>
        <v/>
      </c>
      <c r="G25" s="9"/>
      <c r="H25" s="9"/>
      <c r="I25" s="9"/>
      <c r="J25" s="5"/>
      <c r="K25" s="9"/>
      <c r="L25" s="9"/>
      <c r="M25" s="21" t="str">
        <f aca="false">IF(D25="","",IFERROR(VLOOKUP(D25,Referência!$B$6:$D$16,2,FALSE())&amp;", "&amp;VLOOKUP(D25,Referência!$B$6:$D$16,3,FALSE()),""))</f>
        <v/>
      </c>
      <c r="N25" s="22" t="str">
        <f aca="false">IF(AND(C25="",G25=""),"",IF(E25="","Informe a duração",IF(G25="","Defina a fonte principal",IF(AND(OR(G25="Mídia",G25="Vinheta"),L25=""),"Defina o áudio da mídia",IF(OR(AND(H25&lt;&gt;"",H25=G25),AND(I25&lt;&gt;"",I25=G25),AND(H25&lt;&gt;"",H25=I25)),"Alternativa repetida",IF(AND(H25="",I25="",E25&gt;$L$4),"Sem alternativa",IF(IFERROR(INDEX($G$38:$G$43,MATCH(G25,$C$38:$C$43,0))="",FALSE()),"Câmera sem operador",IF(OR(IFERROR(INDEX($G$38:$G$43,MATCH(H25,$C$38:$C$43,0))="",FALSE()),IFERROR(INDEX($G$38:$G$43,MATCH(I25,$C$38:$C$43,0))="",FALSE())),"Alternativa sem operador","OK"))))))))</f>
        <v/>
      </c>
      <c r="O25" s="5"/>
    </row>
    <row r="26" customFormat="false" ht="21.75" hidden="false" customHeight="true" outlineLevel="0" collapsed="false">
      <c r="B26" s="19" t="n">
        <v>13</v>
      </c>
      <c r="C26" s="5"/>
      <c r="D26" s="9"/>
      <c r="E26" s="9"/>
      <c r="F26" s="20" t="str">
        <f aca="false">IF(OR(E26="",$D$7=""),"",$D$7+SUM($E$14:E25)/1440)</f>
        <v/>
      </c>
      <c r="G26" s="9"/>
      <c r="H26" s="9"/>
      <c r="I26" s="9"/>
      <c r="J26" s="5"/>
      <c r="K26" s="9"/>
      <c r="L26" s="9"/>
      <c r="M26" s="21" t="str">
        <f aca="false">IF(D26="","",IFERROR(VLOOKUP(D26,Referência!$B$6:$D$16,2,FALSE())&amp;", "&amp;VLOOKUP(D26,Referência!$B$6:$D$16,3,FALSE()),""))</f>
        <v/>
      </c>
      <c r="N26" s="22" t="str">
        <f aca="false">IF(AND(C26="",G26=""),"",IF(E26="","Informe a duração",IF(G26="","Defina a fonte principal",IF(AND(OR(G26="Mídia",G26="Vinheta"),L26=""),"Defina o áudio da mídia",IF(OR(AND(H26&lt;&gt;"",H26=G26),AND(I26&lt;&gt;"",I26=G26),AND(H26&lt;&gt;"",H26=I26)),"Alternativa repetida",IF(AND(H26="",I26="",E26&gt;$L$4),"Sem alternativa",IF(IFERROR(INDEX($G$38:$G$43,MATCH(G26,$C$38:$C$43,0))="",FALSE()),"Câmera sem operador",IF(OR(IFERROR(INDEX($G$38:$G$43,MATCH(H26,$C$38:$C$43,0))="",FALSE()),IFERROR(INDEX($G$38:$G$43,MATCH(I26,$C$38:$C$43,0))="",FALSE())),"Alternativa sem operador","OK"))))))))</f>
        <v/>
      </c>
      <c r="O26" s="5"/>
    </row>
    <row r="27" customFormat="false" ht="21.75" hidden="false" customHeight="true" outlineLevel="0" collapsed="false">
      <c r="B27" s="19" t="n">
        <v>14</v>
      </c>
      <c r="C27" s="5"/>
      <c r="D27" s="9"/>
      <c r="E27" s="9"/>
      <c r="F27" s="20" t="str">
        <f aca="false">IF(OR(E27="",$D$7=""),"",$D$7+SUM($E$14:E26)/1440)</f>
        <v/>
      </c>
      <c r="G27" s="9"/>
      <c r="H27" s="9"/>
      <c r="I27" s="9"/>
      <c r="J27" s="5"/>
      <c r="K27" s="9"/>
      <c r="L27" s="9"/>
      <c r="M27" s="21" t="str">
        <f aca="false">IF(D27="","",IFERROR(VLOOKUP(D27,Referência!$B$6:$D$16,2,FALSE())&amp;", "&amp;VLOOKUP(D27,Referência!$B$6:$D$16,3,FALSE()),""))</f>
        <v/>
      </c>
      <c r="N27" s="22" t="str">
        <f aca="false">IF(AND(C27="",G27=""),"",IF(E27="","Informe a duração",IF(G27="","Defina a fonte principal",IF(AND(OR(G27="Mídia",G27="Vinheta"),L27=""),"Defina o áudio da mídia",IF(OR(AND(H27&lt;&gt;"",H27=G27),AND(I27&lt;&gt;"",I27=G27),AND(H27&lt;&gt;"",H27=I27)),"Alternativa repetida",IF(AND(H27="",I27="",E27&gt;$L$4),"Sem alternativa",IF(IFERROR(INDEX($G$38:$G$43,MATCH(G27,$C$38:$C$43,0))="",FALSE()),"Câmera sem operador",IF(OR(IFERROR(INDEX($G$38:$G$43,MATCH(H27,$C$38:$C$43,0))="",FALSE()),IFERROR(INDEX($G$38:$G$43,MATCH(I27,$C$38:$C$43,0))="",FALSE())),"Alternativa sem operador","OK"))))))))</f>
        <v/>
      </c>
      <c r="O27" s="5"/>
    </row>
    <row r="28" customFormat="false" ht="21.75" hidden="false" customHeight="true" outlineLevel="0" collapsed="false">
      <c r="B28" s="19" t="n">
        <v>15</v>
      </c>
      <c r="C28" s="5"/>
      <c r="D28" s="9"/>
      <c r="E28" s="9"/>
      <c r="F28" s="20" t="str">
        <f aca="false">IF(OR(E28="",$D$7=""),"",$D$7+SUM($E$14:E27)/1440)</f>
        <v/>
      </c>
      <c r="G28" s="9"/>
      <c r="H28" s="9"/>
      <c r="I28" s="9"/>
      <c r="J28" s="5"/>
      <c r="K28" s="9"/>
      <c r="L28" s="9"/>
      <c r="M28" s="21" t="str">
        <f aca="false">IF(D28="","",IFERROR(VLOOKUP(D28,Referência!$B$6:$D$16,2,FALSE())&amp;", "&amp;VLOOKUP(D28,Referência!$B$6:$D$16,3,FALSE()),""))</f>
        <v/>
      </c>
      <c r="N28" s="22" t="str">
        <f aca="false">IF(AND(C28="",G28=""),"",IF(E28="","Informe a duração",IF(G28="","Defina a fonte principal",IF(AND(OR(G28="Mídia",G28="Vinheta"),L28=""),"Defina o áudio da mídia",IF(OR(AND(H28&lt;&gt;"",H28=G28),AND(I28&lt;&gt;"",I28=G28),AND(H28&lt;&gt;"",H28=I28)),"Alternativa repetida",IF(AND(H28="",I28="",E28&gt;$L$4),"Sem alternativa",IF(IFERROR(INDEX($G$38:$G$43,MATCH(G28,$C$38:$C$43,0))="",FALSE()),"Câmera sem operador",IF(OR(IFERROR(INDEX($G$38:$G$43,MATCH(H28,$C$38:$C$43,0))="",FALSE()),IFERROR(INDEX($G$38:$G$43,MATCH(I28,$C$38:$C$43,0))="",FALSE())),"Alternativa sem operador","OK"))))))))</f>
        <v/>
      </c>
      <c r="O28" s="5"/>
    </row>
    <row r="29" customFormat="false" ht="21.75" hidden="false" customHeight="true" outlineLevel="0" collapsed="false">
      <c r="B29" s="19" t="n">
        <v>16</v>
      </c>
      <c r="C29" s="5"/>
      <c r="D29" s="9"/>
      <c r="E29" s="9"/>
      <c r="F29" s="20" t="str">
        <f aca="false">IF(OR(E29="",$D$7=""),"",$D$7+SUM($E$14:E28)/1440)</f>
        <v/>
      </c>
      <c r="G29" s="9"/>
      <c r="H29" s="9"/>
      <c r="I29" s="9"/>
      <c r="J29" s="5"/>
      <c r="K29" s="9"/>
      <c r="L29" s="9"/>
      <c r="M29" s="21" t="str">
        <f aca="false">IF(D29="","",IFERROR(VLOOKUP(D29,Referência!$B$6:$D$16,2,FALSE())&amp;", "&amp;VLOOKUP(D29,Referência!$B$6:$D$16,3,FALSE()),""))</f>
        <v/>
      </c>
      <c r="N29" s="22" t="str">
        <f aca="false">IF(AND(C29="",G29=""),"",IF(E29="","Informe a duração",IF(G29="","Defina a fonte principal",IF(AND(OR(G29="Mídia",G29="Vinheta"),L29=""),"Defina o áudio da mídia",IF(OR(AND(H29&lt;&gt;"",H29=G29),AND(I29&lt;&gt;"",I29=G29),AND(H29&lt;&gt;"",H29=I29)),"Alternativa repetida",IF(AND(H29="",I29="",E29&gt;$L$4),"Sem alternativa",IF(IFERROR(INDEX($G$38:$G$43,MATCH(G29,$C$38:$C$43,0))="",FALSE()),"Câmera sem operador",IF(OR(IFERROR(INDEX($G$38:$G$43,MATCH(H29,$C$38:$C$43,0))="",FALSE()),IFERROR(INDEX($G$38:$G$43,MATCH(I29,$C$38:$C$43,0))="",FALSE())),"Alternativa sem operador","OK"))))))))</f>
        <v/>
      </c>
      <c r="O29" s="5"/>
    </row>
    <row r="30" customFormat="false" ht="21.75" hidden="false" customHeight="true" outlineLevel="0" collapsed="false">
      <c r="B30" s="19" t="n">
        <v>17</v>
      </c>
      <c r="C30" s="5"/>
      <c r="D30" s="9"/>
      <c r="E30" s="9"/>
      <c r="F30" s="20" t="str">
        <f aca="false">IF(OR(E30="",$D$7=""),"",$D$7+SUM($E$14:E29)/1440)</f>
        <v/>
      </c>
      <c r="G30" s="9"/>
      <c r="H30" s="9"/>
      <c r="I30" s="9"/>
      <c r="J30" s="5"/>
      <c r="K30" s="9"/>
      <c r="L30" s="9"/>
      <c r="M30" s="21" t="str">
        <f aca="false">IF(D30="","",IFERROR(VLOOKUP(D30,Referência!$B$6:$D$16,2,FALSE())&amp;", "&amp;VLOOKUP(D30,Referência!$B$6:$D$16,3,FALSE()),""))</f>
        <v/>
      </c>
      <c r="N30" s="22" t="str">
        <f aca="false">IF(AND(C30="",G30=""),"",IF(E30="","Informe a duração",IF(G30="","Defina a fonte principal",IF(AND(OR(G30="Mídia",G30="Vinheta"),L30=""),"Defina o áudio da mídia",IF(OR(AND(H30&lt;&gt;"",H30=G30),AND(I30&lt;&gt;"",I30=G30),AND(H30&lt;&gt;"",H30=I30)),"Alternativa repetida",IF(AND(H30="",I30="",E30&gt;$L$4),"Sem alternativa",IF(IFERROR(INDEX($G$38:$G$43,MATCH(G30,$C$38:$C$43,0))="",FALSE()),"Câmera sem operador",IF(OR(IFERROR(INDEX($G$38:$G$43,MATCH(H30,$C$38:$C$43,0))="",FALSE()),IFERROR(INDEX($G$38:$G$43,MATCH(I30,$C$38:$C$43,0))="",FALSE())),"Alternativa sem operador","OK"))))))))</f>
        <v/>
      </c>
      <c r="O30" s="5"/>
    </row>
    <row r="31" customFormat="false" ht="21.75" hidden="false" customHeight="true" outlineLevel="0" collapsed="false">
      <c r="B31" s="19" t="n">
        <v>18</v>
      </c>
      <c r="C31" s="5"/>
      <c r="D31" s="9"/>
      <c r="E31" s="9"/>
      <c r="F31" s="20" t="str">
        <f aca="false">IF(OR(E31="",$D$7=""),"",$D$7+SUM($E$14:E30)/1440)</f>
        <v/>
      </c>
      <c r="G31" s="9"/>
      <c r="H31" s="9"/>
      <c r="I31" s="9"/>
      <c r="J31" s="5"/>
      <c r="K31" s="9"/>
      <c r="L31" s="9"/>
      <c r="M31" s="21" t="str">
        <f aca="false">IF(D31="","",IFERROR(VLOOKUP(D31,Referência!$B$6:$D$16,2,FALSE())&amp;", "&amp;VLOOKUP(D31,Referência!$B$6:$D$16,3,FALSE()),""))</f>
        <v/>
      </c>
      <c r="N31" s="22" t="str">
        <f aca="false">IF(AND(C31="",G31=""),"",IF(E31="","Informe a duração",IF(G31="","Defina a fonte principal",IF(AND(OR(G31="Mídia",G31="Vinheta"),L31=""),"Defina o áudio da mídia",IF(OR(AND(H31&lt;&gt;"",H31=G31),AND(I31&lt;&gt;"",I31=G31),AND(H31&lt;&gt;"",H31=I31)),"Alternativa repetida",IF(AND(H31="",I31="",E31&gt;$L$4),"Sem alternativa",IF(IFERROR(INDEX($G$38:$G$43,MATCH(G31,$C$38:$C$43,0))="",FALSE()),"Câmera sem operador",IF(OR(IFERROR(INDEX($G$38:$G$43,MATCH(H31,$C$38:$C$43,0))="",FALSE()),IFERROR(INDEX($G$38:$G$43,MATCH(I31,$C$38:$C$43,0))="",FALSE())),"Alternativa sem operador","OK"))))))))</f>
        <v/>
      </c>
      <c r="O31" s="5"/>
    </row>
    <row r="32" customFormat="false" ht="21.75" hidden="false" customHeight="true" outlineLevel="0" collapsed="false">
      <c r="B32" s="19" t="n">
        <v>19</v>
      </c>
      <c r="C32" s="5"/>
      <c r="D32" s="9"/>
      <c r="E32" s="9"/>
      <c r="F32" s="20" t="str">
        <f aca="false">IF(OR(E32="",$D$7=""),"",$D$7+SUM($E$14:E31)/1440)</f>
        <v/>
      </c>
      <c r="G32" s="9"/>
      <c r="H32" s="9"/>
      <c r="I32" s="9"/>
      <c r="J32" s="5"/>
      <c r="K32" s="9"/>
      <c r="L32" s="9"/>
      <c r="M32" s="21" t="str">
        <f aca="false">IF(D32="","",IFERROR(VLOOKUP(D32,Referência!$B$6:$D$16,2,FALSE())&amp;", "&amp;VLOOKUP(D32,Referência!$B$6:$D$16,3,FALSE()),""))</f>
        <v/>
      </c>
      <c r="N32" s="22" t="str">
        <f aca="false">IF(AND(C32="",G32=""),"",IF(E32="","Informe a duração",IF(G32="","Defina a fonte principal",IF(AND(OR(G32="Mídia",G32="Vinheta"),L32=""),"Defina o áudio da mídia",IF(OR(AND(H32&lt;&gt;"",H32=G32),AND(I32&lt;&gt;"",I32=G32),AND(H32&lt;&gt;"",H32=I32)),"Alternativa repetida",IF(AND(H32="",I32="",E32&gt;$L$4),"Sem alternativa",IF(IFERROR(INDEX($G$38:$G$43,MATCH(G32,$C$38:$C$43,0))="",FALSE()),"Câmera sem operador",IF(OR(IFERROR(INDEX($G$38:$G$43,MATCH(H32,$C$38:$C$43,0))="",FALSE()),IFERROR(INDEX($G$38:$G$43,MATCH(I32,$C$38:$C$43,0))="",FALSE())),"Alternativa sem operador","OK"))))))))</f>
        <v/>
      </c>
      <c r="O32" s="5"/>
    </row>
    <row r="33" customFormat="false" ht="21.75" hidden="false" customHeight="true" outlineLevel="0" collapsed="false">
      <c r="B33" s="19" t="n">
        <v>20</v>
      </c>
      <c r="C33" s="5"/>
      <c r="D33" s="9"/>
      <c r="E33" s="9"/>
      <c r="F33" s="20" t="str">
        <f aca="false">IF(OR(E33="",$D$7=""),"",$D$7+SUM($E$14:E32)/1440)</f>
        <v/>
      </c>
      <c r="G33" s="9"/>
      <c r="H33" s="9"/>
      <c r="I33" s="9"/>
      <c r="J33" s="5"/>
      <c r="K33" s="9"/>
      <c r="L33" s="9"/>
      <c r="M33" s="21" t="str">
        <f aca="false">IF(D33="","",IFERROR(VLOOKUP(D33,Referência!$B$6:$D$16,2,FALSE())&amp;", "&amp;VLOOKUP(D33,Referência!$B$6:$D$16,3,FALSE()),""))</f>
        <v/>
      </c>
      <c r="N33" s="22" t="str">
        <f aca="false">IF(AND(C33="",G33=""),"",IF(E33="","Informe a duração",IF(G33="","Defina a fonte principal",IF(AND(OR(G33="Mídia",G33="Vinheta"),L33=""),"Defina o áudio da mídia",IF(OR(AND(H33&lt;&gt;"",H33=G33),AND(I33&lt;&gt;"",I33=G33),AND(H33&lt;&gt;"",H33=I33)),"Alternativa repetida",IF(AND(H33="",I33="",E33&gt;$L$4),"Sem alternativa",IF(IFERROR(INDEX($G$38:$G$43,MATCH(G33,$C$38:$C$43,0))="",FALSE()),"Câmera sem operador",IF(OR(IFERROR(INDEX($G$38:$G$43,MATCH(H33,$C$38:$C$43,0))="",FALSE()),IFERROR(INDEX($G$38:$G$43,MATCH(I33,$C$38:$C$43,0))="",FALSE())),"Alternativa sem operador","OK"))))))))</f>
        <v/>
      </c>
      <c r="O33" s="5"/>
    </row>
    <row r="35" customFormat="false" ht="21.75" hidden="false" customHeight="true" outlineLevel="0" collapsed="false">
      <c r="B35" s="14" t="s">
        <v>104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customFormat="false" ht="30" hidden="false" customHeight="true" outlineLevel="0" collapsed="false">
      <c r="B36" s="15" t="s">
        <v>74</v>
      </c>
      <c r="C36" s="15" t="s">
        <v>105</v>
      </c>
      <c r="D36" s="15" t="s">
        <v>106</v>
      </c>
      <c r="E36" s="15" t="s">
        <v>107</v>
      </c>
      <c r="F36" s="15"/>
      <c r="G36" s="15" t="s">
        <v>108</v>
      </c>
      <c r="H36" s="23" t="s">
        <v>109</v>
      </c>
      <c r="I36" s="23" t="s">
        <v>110</v>
      </c>
      <c r="J36" s="23" t="s">
        <v>111</v>
      </c>
      <c r="K36" s="16" t="s">
        <v>112</v>
      </c>
      <c r="L36" s="16" t="s">
        <v>113</v>
      </c>
      <c r="M36" s="16" t="s">
        <v>114</v>
      </c>
      <c r="N36" s="16" t="s">
        <v>115</v>
      </c>
      <c r="O36" s="16" t="s">
        <v>116</v>
      </c>
    </row>
    <row r="37" customFormat="false" ht="21.75" hidden="false" customHeight="true" outlineLevel="0" collapsed="false">
      <c r="B37" s="18"/>
      <c r="C37" s="18"/>
      <c r="D37" s="18" t="s">
        <v>117</v>
      </c>
      <c r="E37" s="18" t="s">
        <v>118</v>
      </c>
      <c r="F37" s="18"/>
      <c r="G37" s="18" t="s">
        <v>119</v>
      </c>
      <c r="H37" s="18" t="s">
        <v>91</v>
      </c>
      <c r="I37" s="18" t="s">
        <v>120</v>
      </c>
      <c r="J37" s="18" t="s">
        <v>121</v>
      </c>
      <c r="K37" s="18" t="s">
        <v>88</v>
      </c>
      <c r="L37" s="18"/>
      <c r="M37" s="18" t="s">
        <v>122</v>
      </c>
      <c r="N37" s="18"/>
      <c r="O37" s="18"/>
    </row>
    <row r="38" customFormat="false" ht="21.75" hidden="false" customHeight="true" outlineLevel="0" collapsed="false">
      <c r="B38" s="19" t="n">
        <v>1</v>
      </c>
      <c r="C38" s="4" t="s">
        <v>98</v>
      </c>
      <c r="D38" s="5"/>
      <c r="E38" s="5"/>
      <c r="F38" s="5"/>
      <c r="G38" s="5"/>
      <c r="H38" s="9"/>
      <c r="I38" s="9"/>
      <c r="J38" s="9"/>
      <c r="K38" s="8" t="str">
        <f aca="false">IF(SUM($E$14:$E$33)=0,"",SUMIF($G$14:$G$33,C38,$E$14:$E$33))</f>
        <v/>
      </c>
      <c r="L38" s="24" t="str">
        <f aca="false">IF(K38="","",K38/SUM($E$14:$E$33))</f>
        <v/>
      </c>
      <c r="M38" s="25" t="str">
        <f aca="false">IF(OR(H38&lt;&gt;"Sim",I38="",SUM($E$14:$E$33)=0),"",ROUND(I38*(SUM($E$14:$E$33)+$L$5)*60/8/1000,1))</f>
        <v/>
      </c>
      <c r="N38" s="26" t="str">
        <f aca="false">IF(H38&lt;&gt;"Sim","",IF(OR(I38="",J38=""),"Informe taxa e espaço",IF(M38="","",IF(M38&gt;J38,"Falta espaço","OK"))))</f>
        <v/>
      </c>
      <c r="O38" s="22" t="str">
        <f aca="false">IF(COUNTIF($G$14:$I$33,C38)=0,"",IF(G38="","Em uso sem operador",IF(AND(L38&lt;&gt;"",L38&gt;$L$6),"Concentrada: combine plano B","OK")))</f>
        <v/>
      </c>
    </row>
    <row r="39" customFormat="false" ht="21.75" hidden="false" customHeight="true" outlineLevel="0" collapsed="false">
      <c r="B39" s="19" t="n">
        <v>2</v>
      </c>
      <c r="C39" s="4" t="s">
        <v>97</v>
      </c>
      <c r="D39" s="5"/>
      <c r="E39" s="5"/>
      <c r="F39" s="5"/>
      <c r="G39" s="5"/>
      <c r="H39" s="9"/>
      <c r="I39" s="9"/>
      <c r="J39" s="9"/>
      <c r="K39" s="8" t="str">
        <f aca="false">IF(SUM($E$14:$E$33)=0,"",SUMIF($G$14:$G$33,C39,$E$14:$E$33))</f>
        <v/>
      </c>
      <c r="L39" s="24" t="str">
        <f aca="false">IF(K39="","",K39/SUM($E$14:$E$33))</f>
        <v/>
      </c>
      <c r="M39" s="25" t="str">
        <f aca="false">IF(OR(H39&lt;&gt;"Sim",I39="",SUM($E$14:$E$33)=0),"",ROUND(I39*(SUM($E$14:$E$33)+$L$5)*60/8/1000,1))</f>
        <v/>
      </c>
      <c r="N39" s="26" t="str">
        <f aca="false">IF(H39&lt;&gt;"Sim","",IF(OR(I39="",J39=""),"Informe taxa e espaço",IF(M39="","",IF(M39&gt;J39,"Falta espaço","OK"))))</f>
        <v/>
      </c>
      <c r="O39" s="22" t="str">
        <f aca="false">IF(COUNTIF($G$14:$I$33,C39)=0,"",IF(G39="","Em uso sem operador",IF(AND(L39&lt;&gt;"",L39&gt;$L$6),"Concentrada: combine plano B","OK")))</f>
        <v/>
      </c>
    </row>
    <row r="40" customFormat="false" ht="21.75" hidden="false" customHeight="true" outlineLevel="0" collapsed="false">
      <c r="B40" s="19" t="n">
        <v>3</v>
      </c>
      <c r="C40" s="4" t="s">
        <v>99</v>
      </c>
      <c r="D40" s="5"/>
      <c r="E40" s="5"/>
      <c r="F40" s="5"/>
      <c r="G40" s="5"/>
      <c r="H40" s="9"/>
      <c r="I40" s="9"/>
      <c r="J40" s="9"/>
      <c r="K40" s="8" t="str">
        <f aca="false">IF(SUM($E$14:$E$33)=0,"",SUMIF($G$14:$G$33,C40,$E$14:$E$33))</f>
        <v/>
      </c>
      <c r="L40" s="24" t="str">
        <f aca="false">IF(K40="","",K40/SUM($E$14:$E$33))</f>
        <v/>
      </c>
      <c r="M40" s="25" t="str">
        <f aca="false">IF(OR(H40&lt;&gt;"Sim",I40="",SUM($E$14:$E$33)=0),"",ROUND(I40*(SUM($E$14:$E$33)+$L$5)*60/8/1000,1))</f>
        <v/>
      </c>
      <c r="N40" s="26" t="str">
        <f aca="false">IF(H40&lt;&gt;"Sim","",IF(OR(I40="",J40=""),"Informe taxa e espaço",IF(M40="","",IF(M40&gt;J40,"Falta espaço","OK"))))</f>
        <v/>
      </c>
      <c r="O40" s="22" t="str">
        <f aca="false">IF(COUNTIF($G$14:$I$33,C40)=0,"",IF(G40="","Em uso sem operador",IF(AND(L40&lt;&gt;"",L40&gt;$L$6),"Concentrada: combine plano B","OK")))</f>
        <v/>
      </c>
    </row>
    <row r="41" customFormat="false" ht="21.75" hidden="false" customHeight="true" outlineLevel="0" collapsed="false">
      <c r="B41" s="19" t="n">
        <v>4</v>
      </c>
      <c r="C41" s="4" t="s">
        <v>123</v>
      </c>
      <c r="D41" s="5"/>
      <c r="E41" s="5"/>
      <c r="F41" s="5"/>
      <c r="G41" s="5"/>
      <c r="H41" s="9"/>
      <c r="I41" s="9"/>
      <c r="J41" s="9"/>
      <c r="K41" s="8" t="str">
        <f aca="false">IF(SUM($E$14:$E$33)=0,"",SUMIF($G$14:$G$33,C41,$E$14:$E$33))</f>
        <v/>
      </c>
      <c r="L41" s="24" t="str">
        <f aca="false">IF(K41="","",K41/SUM($E$14:$E$33))</f>
        <v/>
      </c>
      <c r="M41" s="25" t="str">
        <f aca="false">IF(OR(H41&lt;&gt;"Sim",I41="",SUM($E$14:$E$33)=0),"",ROUND(I41*(SUM($E$14:$E$33)+$L$5)*60/8/1000,1))</f>
        <v/>
      </c>
      <c r="N41" s="26" t="str">
        <f aca="false">IF(H41&lt;&gt;"Sim","",IF(OR(I41="",J41=""),"Informe taxa e espaço",IF(M41="","",IF(M41&gt;J41,"Falta espaço","OK"))))</f>
        <v/>
      </c>
      <c r="O41" s="22" t="str">
        <f aca="false">IF(COUNTIF($G$14:$I$33,C41)=0,"",IF(G41="","Em uso sem operador",IF(AND(L41&lt;&gt;"",L41&gt;$L$6),"Concentrada: combine plano B","OK")))</f>
        <v/>
      </c>
    </row>
    <row r="42" customFormat="false" ht="21.75" hidden="false" customHeight="true" outlineLevel="0" collapsed="false">
      <c r="B42" s="19" t="n">
        <v>5</v>
      </c>
      <c r="C42" s="4" t="s">
        <v>124</v>
      </c>
      <c r="D42" s="5"/>
      <c r="E42" s="5"/>
      <c r="F42" s="5"/>
      <c r="G42" s="5"/>
      <c r="H42" s="9"/>
      <c r="I42" s="9"/>
      <c r="J42" s="9"/>
      <c r="K42" s="8" t="str">
        <f aca="false">IF(SUM($E$14:$E$33)=0,"",SUMIF($G$14:$G$33,C42,$E$14:$E$33))</f>
        <v/>
      </c>
      <c r="L42" s="24" t="str">
        <f aca="false">IF(K42="","",K42/SUM($E$14:$E$33))</f>
        <v/>
      </c>
      <c r="M42" s="25" t="str">
        <f aca="false">IF(OR(H42&lt;&gt;"Sim",I42="",SUM($E$14:$E$33)=0),"",ROUND(I42*(SUM($E$14:$E$33)+$L$5)*60/8/1000,1))</f>
        <v/>
      </c>
      <c r="N42" s="26" t="str">
        <f aca="false">IF(H42&lt;&gt;"Sim","",IF(OR(I42="",J42=""),"Informe taxa e espaço",IF(M42="","",IF(M42&gt;J42,"Falta espaço","OK"))))</f>
        <v/>
      </c>
      <c r="O42" s="22" t="str">
        <f aca="false">IF(COUNTIF($G$14:$I$33,C42)=0,"",IF(G42="","Em uso sem operador",IF(AND(L42&lt;&gt;"",L42&gt;$L$6),"Concentrada: combine plano B","OK")))</f>
        <v/>
      </c>
    </row>
    <row r="43" customFormat="false" ht="21.75" hidden="false" customHeight="true" outlineLevel="0" collapsed="false">
      <c r="B43" s="19" t="n">
        <v>6</v>
      </c>
      <c r="C43" s="4" t="s">
        <v>125</v>
      </c>
      <c r="D43" s="5"/>
      <c r="E43" s="5"/>
      <c r="F43" s="5"/>
      <c r="G43" s="5"/>
      <c r="H43" s="9"/>
      <c r="I43" s="9"/>
      <c r="J43" s="9"/>
      <c r="K43" s="8" t="str">
        <f aca="false">IF(SUM($E$14:$E$33)=0,"",SUMIF($G$14:$G$33,C43,$E$14:$E$33))</f>
        <v/>
      </c>
      <c r="L43" s="24" t="str">
        <f aca="false">IF(K43="","",K43/SUM($E$14:$E$33))</f>
        <v/>
      </c>
      <c r="M43" s="25" t="str">
        <f aca="false">IF(OR(H43&lt;&gt;"Sim",I43="",SUM($E$14:$E$33)=0),"",ROUND(I43*(SUM($E$14:$E$33)+$L$5)*60/8/1000,1))</f>
        <v/>
      </c>
      <c r="N43" s="26" t="str">
        <f aca="false">IF(H43&lt;&gt;"Sim","",IF(OR(I43="",J43=""),"Informe taxa e espaço",IF(M43="","",IF(M43&gt;J43,"Falta espaço","OK"))))</f>
        <v/>
      </c>
      <c r="O43" s="22" t="str">
        <f aca="false">IF(COUNTIF($G$14:$I$33,C43)=0,"",IF(G43="","Em uso sem operador",IF(AND(L43&lt;&gt;"",L43&gt;$L$6),"Concentrada: combine plano B","OK")))</f>
        <v/>
      </c>
    </row>
    <row r="44" customFormat="false" ht="21.75" hidden="false" customHeight="true" outlineLevel="0" collapsed="false">
      <c r="B44" s="19" t="n">
        <v>7</v>
      </c>
      <c r="C44" s="4" t="s">
        <v>126</v>
      </c>
      <c r="D44" s="5"/>
      <c r="E44" s="18" t="s">
        <v>127</v>
      </c>
      <c r="F44" s="18"/>
      <c r="G44" s="18" t="s">
        <v>127</v>
      </c>
      <c r="H44" s="9"/>
      <c r="I44" s="9"/>
      <c r="J44" s="9"/>
      <c r="K44" s="18" t="s">
        <v>127</v>
      </c>
      <c r="L44" s="18" t="s">
        <v>127</v>
      </c>
      <c r="M44" s="25" t="str">
        <f aca="false">IF(OR(H44&lt;&gt;"Sim",I44="",SUM($E$14:$E$33)=0),"",ROUND(I44*(SUM($E$14:$E$33)+$L$5)*60/8/1000,1))</f>
        <v/>
      </c>
      <c r="N44" s="26" t="str">
        <f aca="false">IF(H44&lt;&gt;"Sim","",IF(OR(I44="",J44=""),"Informe taxa e espaço",IF(M44="","",IF(M44&gt;J44,"Falta espaço","OK"))))</f>
        <v/>
      </c>
      <c r="O44" s="18" t="s">
        <v>127</v>
      </c>
    </row>
    <row r="45" customFormat="false" ht="21.75" hidden="false" customHeight="true" outlineLevel="0" collapsed="false">
      <c r="B45" s="19" t="n">
        <v>8</v>
      </c>
      <c r="C45" s="4" t="s">
        <v>128</v>
      </c>
      <c r="D45" s="5"/>
      <c r="E45" s="18" t="s">
        <v>127</v>
      </c>
      <c r="F45" s="18"/>
      <c r="G45" s="18" t="s">
        <v>127</v>
      </c>
      <c r="H45" s="9"/>
      <c r="I45" s="9"/>
      <c r="J45" s="9"/>
      <c r="K45" s="18" t="s">
        <v>127</v>
      </c>
      <c r="L45" s="18" t="s">
        <v>127</v>
      </c>
      <c r="M45" s="25" t="str">
        <f aca="false">IF(OR(H45&lt;&gt;"Sim",I45="",SUM($E$14:$E$33)=0),"",ROUND(I45*(SUM($E$14:$E$33)+$L$5)*60/8/1000,1))</f>
        <v/>
      </c>
      <c r="N45" s="26" t="str">
        <f aca="false">IF(H45&lt;&gt;"Sim","",IF(OR(I45="",J45=""),"Informe taxa e espaço",IF(M45="","",IF(M45&gt;J45,"Falta espaço","OK"))))</f>
        <v/>
      </c>
      <c r="O45" s="18" t="s">
        <v>127</v>
      </c>
    </row>
    <row r="47" customFormat="false" ht="21.75" hidden="false" customHeight="true" outlineLevel="0" collapsed="false">
      <c r="B47" s="14" t="s">
        <v>129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customFormat="false" ht="19.5" hidden="false" customHeight="true" outlineLevel="0" collapsed="false">
      <c r="B48" s="27" t="s">
        <v>130</v>
      </c>
      <c r="C48" s="27"/>
      <c r="D48" s="27"/>
      <c r="E48" s="27"/>
      <c r="F48" s="27"/>
      <c r="G48" s="26" t="n">
        <f aca="false">COUNTA(C14:C33)</f>
        <v>0</v>
      </c>
      <c r="H48" s="26"/>
    </row>
    <row r="49" customFormat="false" ht="19.5" hidden="false" customHeight="true" outlineLevel="0" collapsed="false">
      <c r="B49" s="27" t="s">
        <v>131</v>
      </c>
      <c r="C49" s="27"/>
      <c r="D49" s="27"/>
      <c r="E49" s="27"/>
      <c r="F49" s="27"/>
      <c r="G49" s="26" t="n">
        <f aca="false">SUM($E$14:$E$33)</f>
        <v>0</v>
      </c>
      <c r="H49" s="26"/>
    </row>
    <row r="50" customFormat="false" ht="19.5" hidden="false" customHeight="true" outlineLevel="0" collapsed="false">
      <c r="B50" s="27" t="s">
        <v>132</v>
      </c>
      <c r="C50" s="27"/>
      <c r="D50" s="27"/>
      <c r="E50" s="27"/>
      <c r="F50" s="27"/>
      <c r="G50" s="20" t="str">
        <f aca="false">IF(OR($D$7="",SUM($E$14:$E$33)=0),"",$D$7+SUM($E$14:$E$33)/1440)</f>
        <v/>
      </c>
      <c r="H50" s="20"/>
    </row>
    <row r="51" customFormat="false" ht="19.5" hidden="false" customHeight="true" outlineLevel="0" collapsed="false">
      <c r="B51" s="27" t="s">
        <v>133</v>
      </c>
      <c r="C51" s="27"/>
      <c r="D51" s="27"/>
      <c r="E51" s="27"/>
      <c r="F51" s="27"/>
      <c r="G51" s="26" t="n">
        <f aca="false">COUNTIF(N14:N33,"OK")</f>
        <v>0</v>
      </c>
      <c r="H51" s="26"/>
    </row>
    <row r="52" customFormat="false" ht="19.5" hidden="false" customHeight="true" outlineLevel="0" collapsed="false">
      <c r="B52" s="27" t="s">
        <v>134</v>
      </c>
      <c r="C52" s="27"/>
      <c r="D52" s="27"/>
      <c r="E52" s="27"/>
      <c r="F52" s="27"/>
      <c r="G52" s="26" t="n">
        <f aca="false">COUNTIF(N14:N33,"Informe a duração")+COUNTIF(N14:N33,"Defina a fonte principal")+COUNTIF(N14:N33,"Defina o áudio da mídia")+COUNTIF(N14:N33,"Alternativa repetida")+COUNTIF(N14:N33,"Sem alternativa")+COUNTIF(N14:N33,"Câmera sem operador")+COUNTIF(N14:N33,"Alternativa sem operador")</f>
        <v>0</v>
      </c>
      <c r="H52" s="26"/>
    </row>
    <row r="53" customFormat="false" ht="19.5" hidden="false" customHeight="true" outlineLevel="0" collapsed="false">
      <c r="B53" s="27" t="s">
        <v>135</v>
      </c>
      <c r="C53" s="27"/>
      <c r="D53" s="27"/>
      <c r="E53" s="27"/>
      <c r="F53" s="27"/>
      <c r="G53" s="26" t="str">
        <f aca="false">IF(COUNT(K38:K43)=0,"",IF(MAX(K38:K43)=0,"",INDEX(C38:C43,MATCH(MAX(K38:K43),K38:K43,0))))</f>
        <v/>
      </c>
      <c r="H53" s="26"/>
    </row>
    <row r="54" customFormat="false" ht="19.5" hidden="false" customHeight="true" outlineLevel="0" collapsed="false">
      <c r="B54" s="27" t="s">
        <v>136</v>
      </c>
      <c r="C54" s="27"/>
      <c r="D54" s="27"/>
      <c r="E54" s="27"/>
      <c r="F54" s="27"/>
      <c r="G54" s="24" t="str">
        <f aca="false">IF(COUNT(L38:L43)=0,"",MAX(L38:L43))</f>
        <v/>
      </c>
      <c r="H54" s="24"/>
    </row>
    <row r="55" customFormat="false" ht="19.5" hidden="false" customHeight="true" outlineLevel="0" collapsed="false">
      <c r="B55" s="27" t="s">
        <v>137</v>
      </c>
      <c r="C55" s="27"/>
      <c r="D55" s="27"/>
      <c r="E55" s="27"/>
      <c r="F55" s="27"/>
      <c r="G55" s="26" t="n">
        <f aca="false">COUNTIF(N38:N45,"Falta espaço")</f>
        <v>0</v>
      </c>
      <c r="H55" s="26"/>
    </row>
    <row r="56" customFormat="false" ht="19.5" hidden="false" customHeight="true" outlineLevel="0" collapsed="false">
      <c r="B56" s="27" t="s">
        <v>138</v>
      </c>
      <c r="C56" s="27"/>
      <c r="D56" s="27"/>
      <c r="E56" s="27"/>
      <c r="F56" s="27"/>
      <c r="G56" s="26" t="n">
        <f aca="false">COUNTIF(O38:O43,"Em uso sem operador")</f>
        <v>0</v>
      </c>
      <c r="H56" s="26"/>
    </row>
    <row r="57" customFormat="false" ht="21.75" hidden="false" customHeight="true" outlineLevel="0" collapsed="false">
      <c r="B57" s="27" t="s">
        <v>139</v>
      </c>
      <c r="C57" s="27"/>
      <c r="D57" s="27"/>
      <c r="E57" s="27"/>
      <c r="F57" s="27"/>
      <c r="G57" s="22" t="str">
        <f aca="false">IF(G48=0,"Liste os momentos do evento",IF($D$7="","Informe a hora de início",IF(G52&gt;0,"Há momentos com pendência: veja a coluna Pendência",IF(G55&gt;0,"Há gravação sem espaço suficiente: troque o cartão ou baixe a taxa",IF(G56&gt;0,"Há câmera no roteiro sem operador",IF(AND(G54&lt;&gt;"",G54&gt;$L$6),"OK, mas uma câmera concentra o programa: combine um plano B","OK"))))))</f>
        <v>Liste os momentos do evento</v>
      </c>
      <c r="H57" s="22"/>
      <c r="I57" s="22"/>
      <c r="J57" s="22"/>
      <c r="K57" s="22"/>
      <c r="L57" s="22"/>
      <c r="M57" s="22"/>
      <c r="N57" s="22"/>
      <c r="O57" s="22"/>
    </row>
  </sheetData>
  <mergeCells count="53">
    <mergeCell ref="B1:O1"/>
    <mergeCell ref="B2:O2"/>
    <mergeCell ref="B4:C4"/>
    <mergeCell ref="D4:H4"/>
    <mergeCell ref="I4:K4"/>
    <mergeCell ref="M4:O4"/>
    <mergeCell ref="B5:C5"/>
    <mergeCell ref="D5:H5"/>
    <mergeCell ref="I5:K5"/>
    <mergeCell ref="M5:O5"/>
    <mergeCell ref="B6:C6"/>
    <mergeCell ref="D6:H6"/>
    <mergeCell ref="I6:K6"/>
    <mergeCell ref="M6:O6"/>
    <mergeCell ref="B7:C7"/>
    <mergeCell ref="D7:H7"/>
    <mergeCell ref="I7:O7"/>
    <mergeCell ref="B8:C8"/>
    <mergeCell ref="D8:H8"/>
    <mergeCell ref="I8:O8"/>
    <mergeCell ref="B10:O10"/>
    <mergeCell ref="B35:O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B47:O47"/>
    <mergeCell ref="B48:F48"/>
    <mergeCell ref="G48:H48"/>
    <mergeCell ref="B49:F49"/>
    <mergeCell ref="G49:H49"/>
    <mergeCell ref="B50:F50"/>
    <mergeCell ref="G50:H50"/>
    <mergeCell ref="B51:F51"/>
    <mergeCell ref="G51:H51"/>
    <mergeCell ref="B52:F52"/>
    <mergeCell ref="G52:H52"/>
    <mergeCell ref="B53:F53"/>
    <mergeCell ref="G53:H53"/>
    <mergeCell ref="B54:F54"/>
    <mergeCell ref="G54:H54"/>
    <mergeCell ref="B55:F55"/>
    <mergeCell ref="G55:H55"/>
    <mergeCell ref="B56:F56"/>
    <mergeCell ref="G56:H56"/>
    <mergeCell ref="B57:F57"/>
    <mergeCell ref="G57:O57"/>
  </mergeCells>
  <conditionalFormatting sqref="N14:N33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AND(LEN(N14)&gt;0,N14&lt;&gt;"OK")</formula>
    </cfRule>
  </conditionalFormatting>
  <conditionalFormatting sqref="N38:N45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AND(LEN(N38)&gt;0,N38&lt;&gt;"OK")</formula>
    </cfRule>
  </conditionalFormatting>
  <conditionalFormatting sqref="O38:O43">
    <cfRule type="cellIs" priority="6" operator="equal" aboveAverage="0" equalAverage="0" bottom="0" percent="0" rank="0" text="" dxfId="0">
      <formula>"OK"</formula>
    </cfRule>
    <cfRule type="expression" priority="7" aboveAverage="0" equalAverage="0" bottom="0" percent="0" rank="0" text="" dxfId="1">
      <formula>AND(LEN(O38)&gt;0,O38&lt;&gt;"OK")</formula>
    </cfRule>
  </conditionalFormatting>
  <conditionalFormatting sqref="G57:O57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9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6" type="decimal">
      <formula1>-1000000000</formula1>
      <formula2>1000000000</formula2>
    </dataValidation>
    <dataValidation allowBlank="true" error="Escolha uma das opções da lista." errorStyle="stop" errorTitle="Valor inválido" operator="between" prompt="Tipo de momento: define o ritmo sugerido." promptTitle="Opções" showDropDown="false" showErrorMessage="true" showInputMessage="true" sqref="D14:D33" type="list">
      <formula1>"Abertura,Louvor rápido,Louvor lento,Oração,Leitura,Pregação,Avisos,Mídia,Oferta ou ceia,Entrevista,Encerramento"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E33" type="decimal">
      <formula1>-1000000000</formula1>
      <formula2>1000000000</formula2>
    </dataValidation>
    <dataValidation allowBlank="true" error="Escolha uma das opções da lista." errorStyle="stop" errorTitle="Valor inválido" operator="between" prompt="Câmera 1 a 6, Mídia, Slides, Letras ou Vinheta." promptTitle="Opções" showDropDown="false" showErrorMessage="true" showInputMessage="true" sqref="G14:I33" type="list">
      <formula1>"Câmera 1,Câmera 2,Câmera 3,Câmera 4,Câmera 5,Câmera 6,Mídia,Slides,Letras,Vinheta"</formula1>
      <formula2>0</formula2>
    </dataValidation>
    <dataValidation allowBlank="true" error="Escolha uma das opções da lista." errorStyle="stop" errorTitle="Valor inválido" operator="between" prompt="Corte seco, Fusão, Do preto ou Para o preto." promptTitle="Opções" showDropDown="false" showErrorMessage="true" showInputMessage="true" sqref="K14:K33" type="list">
      <formula1>"Corte seco,Fusão,Do preto,Para o preto"</formula1>
      <formula2>0</formula2>
    </dataValidation>
    <dataValidation allowBlank="true" error="Escolha uma das opções da lista." errorStyle="stop" errorTitle="Valor inválido" operator="between" prompt="O vídeo tem som?" promptTitle="Opções" showDropDown="false" showErrorMessage="true" showInputMessage="true" sqref="L14:L33" type="list">
      <formula1>"Sim,Não"</formula1>
      <formula2>0</formula2>
    </dataValidation>
    <dataValidation allowBlank="true" error="Escolha uma das opções da lista." errorStyle="stop" errorTitle="Valor inválido" operator="between" prompt="Esta câmera ou este gravador vai gravar?" promptTitle="Opções" showDropDown="false" showErrorMessage="true" showInputMessage="true" sqref="H38:H45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38:J45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1" t="s">
        <v>140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141</v>
      </c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B4" s="4" t="s">
        <v>60</v>
      </c>
      <c r="C4" s="4"/>
      <c r="D4" s="5"/>
      <c r="E4" s="5"/>
      <c r="G4" s="10" t="s">
        <v>142</v>
      </c>
      <c r="H4" s="10"/>
      <c r="I4" s="10"/>
      <c r="J4" s="10"/>
    </row>
    <row r="5" customFormat="false" ht="21.75" hidden="false" customHeight="true" outlineLevel="0" collapsed="false">
      <c r="B5" s="4" t="s">
        <v>66</v>
      </c>
      <c r="C5" s="4"/>
      <c r="D5" s="11"/>
      <c r="E5" s="11"/>
      <c r="G5" s="10"/>
      <c r="H5" s="10"/>
      <c r="I5" s="10"/>
      <c r="J5" s="10"/>
    </row>
    <row r="6" customFormat="false" ht="21.75" hidden="false" customHeight="true" outlineLevel="0" collapsed="false">
      <c r="B6" s="4" t="s">
        <v>71</v>
      </c>
      <c r="C6" s="4"/>
      <c r="D6" s="5"/>
      <c r="E6" s="5"/>
      <c r="G6" s="10" t="s">
        <v>143</v>
      </c>
      <c r="H6" s="10"/>
      <c r="I6" s="10"/>
      <c r="J6" s="10"/>
    </row>
    <row r="7" customFormat="false" ht="21.75" hidden="false" customHeight="true" outlineLevel="0" collapsed="false">
      <c r="B7" s="4" t="s">
        <v>144</v>
      </c>
      <c r="C7" s="4"/>
      <c r="D7" s="28"/>
      <c r="E7" s="28"/>
      <c r="G7" s="10"/>
      <c r="H7" s="10"/>
      <c r="I7" s="10"/>
      <c r="J7" s="10"/>
    </row>
    <row r="9" customFormat="false" ht="21.75" hidden="false" customHeight="true" outlineLevel="0" collapsed="false">
      <c r="B9" s="14" t="s">
        <v>145</v>
      </c>
      <c r="C9" s="14"/>
      <c r="D9" s="14"/>
      <c r="E9" s="14"/>
      <c r="F9" s="14"/>
      <c r="G9" s="14"/>
      <c r="H9" s="14"/>
      <c r="I9" s="14"/>
      <c r="J9" s="14"/>
    </row>
    <row r="10" customFormat="false" ht="21.75" hidden="false" customHeight="true" outlineLevel="0" collapsed="false">
      <c r="B10" s="15" t="s">
        <v>74</v>
      </c>
      <c r="C10" s="15" t="s">
        <v>146</v>
      </c>
      <c r="D10" s="15" t="s">
        <v>147</v>
      </c>
      <c r="E10" s="15" t="s">
        <v>148</v>
      </c>
      <c r="F10" s="15" t="s">
        <v>149</v>
      </c>
      <c r="G10" s="15" t="s">
        <v>150</v>
      </c>
      <c r="H10" s="15" t="s">
        <v>151</v>
      </c>
      <c r="I10" s="16" t="s">
        <v>152</v>
      </c>
      <c r="J10" s="15" t="s">
        <v>85</v>
      </c>
    </row>
    <row r="11" customFormat="false" ht="15" hidden="false" customHeight="false" outlineLevel="0" collapsed="false">
      <c r="B11" s="18"/>
      <c r="C11" s="18" t="s">
        <v>87</v>
      </c>
      <c r="D11" s="18"/>
      <c r="E11" s="18" t="s">
        <v>117</v>
      </c>
      <c r="F11" s="18" t="s">
        <v>91</v>
      </c>
      <c r="G11" s="18" t="s">
        <v>153</v>
      </c>
      <c r="H11" s="18" t="s">
        <v>154</v>
      </c>
      <c r="I11" s="18" t="s">
        <v>93</v>
      </c>
      <c r="J11" s="18"/>
    </row>
    <row r="12" customFormat="false" ht="21.75" hidden="false" customHeight="true" outlineLevel="0" collapsed="false">
      <c r="B12" s="18" t="s">
        <v>94</v>
      </c>
      <c r="C12" s="18" t="s">
        <v>97</v>
      </c>
      <c r="D12" s="10" t="s">
        <v>155</v>
      </c>
      <c r="E12" s="10" t="s">
        <v>156</v>
      </c>
      <c r="F12" s="18" t="s">
        <v>157</v>
      </c>
      <c r="G12" s="10" t="s">
        <v>158</v>
      </c>
      <c r="H12" s="18" t="s">
        <v>159</v>
      </c>
      <c r="I12" s="18" t="s">
        <v>103</v>
      </c>
      <c r="J12" s="10" t="s">
        <v>160</v>
      </c>
    </row>
    <row r="13" customFormat="false" ht="21.75" hidden="false" customHeight="true" outlineLevel="0" collapsed="false">
      <c r="B13" s="19" t="n">
        <v>1</v>
      </c>
      <c r="C13" s="9"/>
      <c r="D13" s="5"/>
      <c r="E13" s="5"/>
      <c r="F13" s="9"/>
      <c r="G13" s="5"/>
      <c r="H13" s="13"/>
      <c r="I13" s="29" t="str">
        <f aca="false">IF(C13="","",IF(D13="","Sem nome",IF(AND(OR(C13="Diretor de imagem",C13="Operador de corte",C13="Câmera 1",C13="Câmera 2",C13="Câmera 3",C13="Câmera 4",C13="Câmera 5",C13="Câmera 6"),F13&lt;&gt;"Sim"),"Sem intercom",IF(G13="","Sem substituto","OK"))))</f>
        <v/>
      </c>
      <c r="J13" s="5"/>
    </row>
    <row r="14" customFormat="false" ht="21.75" hidden="false" customHeight="true" outlineLevel="0" collapsed="false">
      <c r="B14" s="19" t="n">
        <v>2</v>
      </c>
      <c r="C14" s="9"/>
      <c r="D14" s="5"/>
      <c r="E14" s="5"/>
      <c r="F14" s="9"/>
      <c r="G14" s="5"/>
      <c r="H14" s="13"/>
      <c r="I14" s="29" t="str">
        <f aca="false">IF(C14="","",IF(D14="","Sem nome",IF(AND(OR(C14="Diretor de imagem",C14="Operador de corte",C14="Câmera 1",C14="Câmera 2",C14="Câmera 3",C14="Câmera 4",C14="Câmera 5",C14="Câmera 6"),F14&lt;&gt;"Sim"),"Sem intercom",IF(G14="","Sem substituto","OK"))))</f>
        <v/>
      </c>
      <c r="J14" s="5"/>
    </row>
    <row r="15" customFormat="false" ht="21.75" hidden="false" customHeight="true" outlineLevel="0" collapsed="false">
      <c r="B15" s="19" t="n">
        <v>3</v>
      </c>
      <c r="C15" s="9"/>
      <c r="D15" s="5"/>
      <c r="E15" s="5"/>
      <c r="F15" s="9"/>
      <c r="G15" s="5"/>
      <c r="H15" s="13"/>
      <c r="I15" s="29" t="str">
        <f aca="false">IF(C15="","",IF(D15="","Sem nome",IF(AND(OR(C15="Diretor de imagem",C15="Operador de corte",C15="Câmera 1",C15="Câmera 2",C15="Câmera 3",C15="Câmera 4",C15="Câmera 5",C15="Câmera 6"),F15&lt;&gt;"Sim"),"Sem intercom",IF(G15="","Sem substituto","OK"))))</f>
        <v/>
      </c>
      <c r="J15" s="5"/>
    </row>
    <row r="16" customFormat="false" ht="21.75" hidden="false" customHeight="true" outlineLevel="0" collapsed="false">
      <c r="B16" s="19" t="n">
        <v>4</v>
      </c>
      <c r="C16" s="9"/>
      <c r="D16" s="5"/>
      <c r="E16" s="5"/>
      <c r="F16" s="9"/>
      <c r="G16" s="5"/>
      <c r="H16" s="13"/>
      <c r="I16" s="29" t="str">
        <f aca="false">IF(C16="","",IF(D16="","Sem nome",IF(AND(OR(C16="Diretor de imagem",C16="Operador de corte",C16="Câmera 1",C16="Câmera 2",C16="Câmera 3",C16="Câmera 4",C16="Câmera 5",C16="Câmera 6"),F16&lt;&gt;"Sim"),"Sem intercom",IF(G16="","Sem substituto","OK"))))</f>
        <v/>
      </c>
      <c r="J16" s="5"/>
    </row>
    <row r="17" customFormat="false" ht="21.75" hidden="false" customHeight="true" outlineLevel="0" collapsed="false">
      <c r="B17" s="19" t="n">
        <v>5</v>
      </c>
      <c r="C17" s="9"/>
      <c r="D17" s="5"/>
      <c r="E17" s="5"/>
      <c r="F17" s="9"/>
      <c r="G17" s="5"/>
      <c r="H17" s="13"/>
      <c r="I17" s="29" t="str">
        <f aca="false">IF(C17="","",IF(D17="","Sem nome",IF(AND(OR(C17="Diretor de imagem",C17="Operador de corte",C17="Câmera 1",C17="Câmera 2",C17="Câmera 3",C17="Câmera 4",C17="Câmera 5",C17="Câmera 6"),F17&lt;&gt;"Sim"),"Sem intercom",IF(G17="","Sem substituto","OK"))))</f>
        <v/>
      </c>
      <c r="J17" s="5"/>
    </row>
    <row r="18" customFormat="false" ht="21.75" hidden="false" customHeight="true" outlineLevel="0" collapsed="false">
      <c r="B18" s="19" t="n">
        <v>6</v>
      </c>
      <c r="C18" s="9"/>
      <c r="D18" s="5"/>
      <c r="E18" s="5"/>
      <c r="F18" s="9"/>
      <c r="G18" s="5"/>
      <c r="H18" s="13"/>
      <c r="I18" s="29" t="str">
        <f aca="false">IF(C18="","",IF(D18="","Sem nome",IF(AND(OR(C18="Diretor de imagem",C18="Operador de corte",C18="Câmera 1",C18="Câmera 2",C18="Câmera 3",C18="Câmera 4",C18="Câmera 5",C18="Câmera 6"),F18&lt;&gt;"Sim"),"Sem intercom",IF(G18="","Sem substituto","OK"))))</f>
        <v/>
      </c>
      <c r="J18" s="5"/>
    </row>
    <row r="19" customFormat="false" ht="21.75" hidden="false" customHeight="true" outlineLevel="0" collapsed="false">
      <c r="B19" s="19" t="n">
        <v>7</v>
      </c>
      <c r="C19" s="9"/>
      <c r="D19" s="5"/>
      <c r="E19" s="5"/>
      <c r="F19" s="9"/>
      <c r="G19" s="5"/>
      <c r="H19" s="13"/>
      <c r="I19" s="29" t="str">
        <f aca="false">IF(C19="","",IF(D19="","Sem nome",IF(AND(OR(C19="Diretor de imagem",C19="Operador de corte",C19="Câmera 1",C19="Câmera 2",C19="Câmera 3",C19="Câmera 4",C19="Câmera 5",C19="Câmera 6"),F19&lt;&gt;"Sim"),"Sem intercom",IF(G19="","Sem substituto","OK"))))</f>
        <v/>
      </c>
      <c r="J19" s="5"/>
    </row>
    <row r="20" customFormat="false" ht="21.75" hidden="false" customHeight="true" outlineLevel="0" collapsed="false">
      <c r="B20" s="19" t="n">
        <v>8</v>
      </c>
      <c r="C20" s="9"/>
      <c r="D20" s="5"/>
      <c r="E20" s="5"/>
      <c r="F20" s="9"/>
      <c r="G20" s="5"/>
      <c r="H20" s="13"/>
      <c r="I20" s="29" t="str">
        <f aca="false">IF(C20="","",IF(D20="","Sem nome",IF(AND(OR(C20="Diretor de imagem",C20="Operador de corte",C20="Câmera 1",C20="Câmera 2",C20="Câmera 3",C20="Câmera 4",C20="Câmera 5",C20="Câmera 6"),F20&lt;&gt;"Sim"),"Sem intercom",IF(G20="","Sem substituto","OK"))))</f>
        <v/>
      </c>
      <c r="J20" s="5"/>
    </row>
    <row r="21" customFormat="false" ht="21.75" hidden="false" customHeight="true" outlineLevel="0" collapsed="false">
      <c r="B21" s="19" t="n">
        <v>9</v>
      </c>
      <c r="C21" s="9"/>
      <c r="D21" s="5"/>
      <c r="E21" s="5"/>
      <c r="F21" s="9"/>
      <c r="G21" s="5"/>
      <c r="H21" s="13"/>
      <c r="I21" s="29" t="str">
        <f aca="false">IF(C21="","",IF(D21="","Sem nome",IF(AND(OR(C21="Diretor de imagem",C21="Operador de corte",C21="Câmera 1",C21="Câmera 2",C21="Câmera 3",C21="Câmera 4",C21="Câmera 5",C21="Câmera 6"),F21&lt;&gt;"Sim"),"Sem intercom",IF(G21="","Sem substituto","OK"))))</f>
        <v/>
      </c>
      <c r="J21" s="5"/>
    </row>
    <row r="22" customFormat="false" ht="21.75" hidden="false" customHeight="true" outlineLevel="0" collapsed="false">
      <c r="B22" s="19" t="n">
        <v>10</v>
      </c>
      <c r="C22" s="9"/>
      <c r="D22" s="5"/>
      <c r="E22" s="5"/>
      <c r="F22" s="9"/>
      <c r="G22" s="5"/>
      <c r="H22" s="13"/>
      <c r="I22" s="29" t="str">
        <f aca="false">IF(C22="","",IF(D22="","Sem nome",IF(AND(OR(C22="Diretor de imagem",C22="Operador de corte",C22="Câmera 1",C22="Câmera 2",C22="Câmera 3",C22="Câmera 4",C22="Câmera 5",C22="Câmera 6"),F22&lt;&gt;"Sim"),"Sem intercom",IF(G22="","Sem substituto","OK"))))</f>
        <v/>
      </c>
      <c r="J22" s="5"/>
    </row>
    <row r="23" customFormat="false" ht="21.75" hidden="false" customHeight="true" outlineLevel="0" collapsed="false">
      <c r="B23" s="19" t="n">
        <v>11</v>
      </c>
      <c r="C23" s="9"/>
      <c r="D23" s="5"/>
      <c r="E23" s="5"/>
      <c r="F23" s="9"/>
      <c r="G23" s="5"/>
      <c r="H23" s="13"/>
      <c r="I23" s="29" t="str">
        <f aca="false">IF(C23="","",IF(D23="","Sem nome",IF(AND(OR(C23="Diretor de imagem",C23="Operador de corte",C23="Câmera 1",C23="Câmera 2",C23="Câmera 3",C23="Câmera 4",C23="Câmera 5",C23="Câmera 6"),F23&lt;&gt;"Sim"),"Sem intercom",IF(G23="","Sem substituto","OK"))))</f>
        <v/>
      </c>
      <c r="J23" s="5"/>
    </row>
    <row r="24" customFormat="false" ht="21.75" hidden="false" customHeight="true" outlineLevel="0" collapsed="false">
      <c r="B24" s="19" t="n">
        <v>12</v>
      </c>
      <c r="C24" s="9"/>
      <c r="D24" s="5"/>
      <c r="E24" s="5"/>
      <c r="F24" s="9"/>
      <c r="G24" s="5"/>
      <c r="H24" s="13"/>
      <c r="I24" s="29" t="str">
        <f aca="false">IF(C24="","",IF(D24="","Sem nome",IF(AND(OR(C24="Diretor de imagem",C24="Operador de corte",C24="Câmera 1",C24="Câmera 2",C24="Câmera 3",C24="Câmera 4",C24="Câmera 5",C24="Câmera 6"),F24&lt;&gt;"Sim"),"Sem intercom",IF(G24="","Sem substituto","OK"))))</f>
        <v/>
      </c>
      <c r="J24" s="5"/>
    </row>
    <row r="25" customFormat="false" ht="21.75" hidden="false" customHeight="true" outlineLevel="0" collapsed="false">
      <c r="B25" s="19" t="n">
        <v>13</v>
      </c>
      <c r="C25" s="9"/>
      <c r="D25" s="5"/>
      <c r="E25" s="5"/>
      <c r="F25" s="9"/>
      <c r="G25" s="5"/>
      <c r="H25" s="13"/>
      <c r="I25" s="29" t="str">
        <f aca="false">IF(C25="","",IF(D25="","Sem nome",IF(AND(OR(C25="Diretor de imagem",C25="Operador de corte",C25="Câmera 1",C25="Câmera 2",C25="Câmera 3",C25="Câmera 4",C25="Câmera 5",C25="Câmera 6"),F25&lt;&gt;"Sim"),"Sem intercom",IF(G25="","Sem substituto","OK"))))</f>
        <v/>
      </c>
      <c r="J25" s="5"/>
    </row>
    <row r="26" customFormat="false" ht="21.75" hidden="false" customHeight="true" outlineLevel="0" collapsed="false">
      <c r="B26" s="19" t="n">
        <v>14</v>
      </c>
      <c r="C26" s="9"/>
      <c r="D26" s="5"/>
      <c r="E26" s="5"/>
      <c r="F26" s="9"/>
      <c r="G26" s="5"/>
      <c r="H26" s="13"/>
      <c r="I26" s="29" t="str">
        <f aca="false">IF(C26="","",IF(D26="","Sem nome",IF(AND(OR(C26="Diretor de imagem",C26="Operador de corte",C26="Câmera 1",C26="Câmera 2",C26="Câmera 3",C26="Câmera 4",C26="Câmera 5",C26="Câmera 6"),F26&lt;&gt;"Sim"),"Sem intercom",IF(G26="","Sem substituto","OK"))))</f>
        <v/>
      </c>
      <c r="J26" s="5"/>
    </row>
    <row r="28" customFormat="false" ht="21.75" hidden="false" customHeight="true" outlineLevel="0" collapsed="false">
      <c r="B28" s="14" t="s">
        <v>129</v>
      </c>
      <c r="C28" s="14"/>
      <c r="D28" s="14"/>
      <c r="E28" s="14"/>
      <c r="F28" s="14"/>
      <c r="G28" s="14"/>
      <c r="H28" s="14"/>
      <c r="I28" s="14"/>
      <c r="J28" s="14"/>
    </row>
    <row r="29" customFormat="false" ht="19.5" hidden="false" customHeight="true" outlineLevel="0" collapsed="false">
      <c r="B29" s="27" t="s">
        <v>161</v>
      </c>
      <c r="C29" s="27"/>
      <c r="D29" s="27"/>
      <c r="E29" s="27"/>
      <c r="F29" s="8" t="n">
        <f aca="false">COUNTA(C13:C26)</f>
        <v>0</v>
      </c>
    </row>
    <row r="30" customFormat="false" ht="19.5" hidden="false" customHeight="true" outlineLevel="0" collapsed="false">
      <c r="B30" s="27" t="s">
        <v>71</v>
      </c>
      <c r="C30" s="27"/>
      <c r="D30" s="27"/>
      <c r="E30" s="27"/>
      <c r="F30" s="8" t="n">
        <f aca="false">COUNTIF(C13:C26,"Diretor de imagem")</f>
        <v>0</v>
      </c>
    </row>
    <row r="31" customFormat="false" ht="19.5" hidden="false" customHeight="true" outlineLevel="0" collapsed="false">
      <c r="B31" s="27" t="s">
        <v>162</v>
      </c>
      <c r="C31" s="27"/>
      <c r="D31" s="27"/>
      <c r="E31" s="27"/>
      <c r="F31" s="8" t="n">
        <f aca="false">COUNTIF(C13:C26,"Operador de corte")</f>
        <v>0</v>
      </c>
    </row>
    <row r="32" customFormat="false" ht="19.5" hidden="false" customHeight="true" outlineLevel="0" collapsed="false">
      <c r="B32" s="27" t="s">
        <v>163</v>
      </c>
      <c r="C32" s="27"/>
      <c r="D32" s="27"/>
      <c r="E32" s="27"/>
      <c r="F32" s="8" t="n">
        <f aca="false">COUNTIF(C13:C26,"Câmera 1")+COUNTIF(C13:C26,"Câmera 2")+COUNTIF(C13:C26,"Câmera 3")+COUNTIF(C13:C26,"Câmera 4")+COUNTIF(C13:C26,"Câmera 5")+COUNTIF(C13:C26,"Câmera 6")</f>
        <v>0</v>
      </c>
    </row>
    <row r="33" customFormat="false" ht="19.5" hidden="false" customHeight="true" outlineLevel="0" collapsed="false">
      <c r="B33" s="27" t="s">
        <v>164</v>
      </c>
      <c r="C33" s="27"/>
      <c r="D33" s="27"/>
      <c r="E33" s="27"/>
      <c r="F33" s="8" t="n">
        <f aca="false">COUNTIF(I13:I26,"Sem nome")+COUNTIF(I13:I26,"Sem intercom")</f>
        <v>0</v>
      </c>
    </row>
    <row r="34" customFormat="false" ht="19.5" hidden="false" customHeight="true" outlineLevel="0" collapsed="false">
      <c r="B34" s="27" t="s">
        <v>165</v>
      </c>
      <c r="C34" s="27"/>
      <c r="D34" s="27"/>
      <c r="E34" s="27"/>
      <c r="F34" s="8" t="n">
        <f aca="false">COUNTIF(I13:I26,"Sem substituto")</f>
        <v>0</v>
      </c>
    </row>
    <row r="35" customFormat="false" ht="21.75" hidden="false" customHeight="true" outlineLevel="0" collapsed="false">
      <c r="B35" s="27" t="s">
        <v>139</v>
      </c>
      <c r="C35" s="27"/>
      <c r="D35" s="27"/>
      <c r="E35" s="27"/>
      <c r="F35" s="22" t="str">
        <f aca="false">IF(F29=0,"Preencha a escala",IF(F30=0,"Falta o diretor de imagem",IF(F31=0,"Falta o operador de corte: se o diretor corta, registre as duas funções",IF(F32=0,"Nenhuma câmera com operador",IF(F33&gt;0,"Há linha sem nome ou sem intercom",IF(F34&gt;0,"OK, mas há funções sem substituto","OK"))))))</f>
        <v>Preencha a escala</v>
      </c>
      <c r="G35" s="22"/>
      <c r="H35" s="22"/>
      <c r="I35" s="22"/>
      <c r="J35" s="22"/>
    </row>
    <row r="37" customFormat="false" ht="21.75" hidden="false" customHeight="true" outlineLevel="0" collapsed="false">
      <c r="B37" s="14" t="s">
        <v>166</v>
      </c>
      <c r="C37" s="14"/>
      <c r="D37" s="14"/>
      <c r="E37" s="14"/>
      <c r="F37" s="14"/>
      <c r="G37" s="14"/>
      <c r="H37" s="14"/>
      <c r="I37" s="14"/>
      <c r="J37" s="14"/>
    </row>
    <row r="38" customFormat="false" ht="21.75" hidden="false" customHeight="true" outlineLevel="0" collapsed="false">
      <c r="B38" s="26" t="s">
        <v>167</v>
      </c>
      <c r="C38" s="26"/>
      <c r="D38" s="8" t="s">
        <v>168</v>
      </c>
      <c r="E38" s="26" t="s">
        <v>169</v>
      </c>
      <c r="F38" s="26"/>
      <c r="G38" s="8" t="s">
        <v>85</v>
      </c>
      <c r="H38" s="8"/>
      <c r="I38" s="8"/>
      <c r="J38" s="8"/>
    </row>
    <row r="39" customFormat="false" ht="21.75" hidden="false" customHeight="true" outlineLevel="0" collapsed="false">
      <c r="B39" s="4" t="s">
        <v>101</v>
      </c>
      <c r="C39" s="4"/>
      <c r="D39" s="5" t="s">
        <v>170</v>
      </c>
      <c r="E39" s="5" t="s">
        <v>171</v>
      </c>
      <c r="F39" s="5"/>
      <c r="G39" s="5" t="s">
        <v>172</v>
      </c>
      <c r="H39" s="5"/>
      <c r="I39" s="5"/>
      <c r="J39" s="5"/>
    </row>
    <row r="40" customFormat="false" ht="21.75" hidden="false" customHeight="true" outlineLevel="0" collapsed="false">
      <c r="B40" s="4" t="s">
        <v>173</v>
      </c>
      <c r="C40" s="4"/>
      <c r="D40" s="5" t="s">
        <v>174</v>
      </c>
      <c r="E40" s="5" t="s">
        <v>175</v>
      </c>
      <c r="F40" s="5"/>
      <c r="G40" s="5" t="s">
        <v>176</v>
      </c>
      <c r="H40" s="5"/>
      <c r="I40" s="5"/>
      <c r="J40" s="5"/>
    </row>
    <row r="41" customFormat="false" ht="21.75" hidden="false" customHeight="true" outlineLevel="0" collapsed="false">
      <c r="B41" s="4" t="s">
        <v>177</v>
      </c>
      <c r="C41" s="4"/>
      <c r="D41" s="5" t="s">
        <v>178</v>
      </c>
      <c r="E41" s="5" t="s">
        <v>179</v>
      </c>
      <c r="F41" s="5"/>
      <c r="G41" s="5" t="s">
        <v>180</v>
      </c>
      <c r="H41" s="5"/>
      <c r="I41" s="5"/>
      <c r="J41" s="5"/>
    </row>
    <row r="42" customFormat="false" ht="21.75" hidden="false" customHeight="true" outlineLevel="0" collapsed="false">
      <c r="B42" s="4" t="s">
        <v>181</v>
      </c>
      <c r="C42" s="4"/>
      <c r="D42" s="5" t="s">
        <v>182</v>
      </c>
      <c r="E42" s="5" t="s">
        <v>183</v>
      </c>
      <c r="F42" s="5"/>
      <c r="G42" s="5" t="s">
        <v>184</v>
      </c>
      <c r="H42" s="5"/>
      <c r="I42" s="5"/>
      <c r="J42" s="5"/>
    </row>
    <row r="43" customFormat="false" ht="21.75" hidden="false" customHeight="true" outlineLevel="0" collapsed="false">
      <c r="B43" s="4" t="s">
        <v>185</v>
      </c>
      <c r="C43" s="4"/>
      <c r="D43" s="5" t="s">
        <v>186</v>
      </c>
      <c r="E43" s="5" t="s">
        <v>127</v>
      </c>
      <c r="F43" s="5"/>
      <c r="G43" s="5" t="s">
        <v>187</v>
      </c>
      <c r="H43" s="5"/>
      <c r="I43" s="5"/>
      <c r="J43" s="5"/>
    </row>
    <row r="44" customFormat="false" ht="21.75" hidden="false" customHeight="true" outlineLevel="0" collapsed="false">
      <c r="B44" s="4" t="s">
        <v>188</v>
      </c>
      <c r="C44" s="4"/>
      <c r="D44" s="5" t="s">
        <v>127</v>
      </c>
      <c r="E44" s="5" t="s">
        <v>189</v>
      </c>
      <c r="F44" s="5"/>
      <c r="G44" s="5" t="s">
        <v>190</v>
      </c>
      <c r="H44" s="5"/>
      <c r="I44" s="5"/>
      <c r="J44" s="5"/>
    </row>
    <row r="45" customFormat="false" ht="21.75" hidden="false" customHeight="true" outlineLevel="0" collapsed="false">
      <c r="B45" s="4" t="s">
        <v>191</v>
      </c>
      <c r="C45" s="4"/>
      <c r="D45" s="5" t="s">
        <v>192</v>
      </c>
      <c r="E45" s="5" t="s">
        <v>193</v>
      </c>
      <c r="F45" s="5"/>
      <c r="G45" s="5" t="s">
        <v>194</v>
      </c>
      <c r="H45" s="5"/>
      <c r="I45" s="5"/>
      <c r="J45" s="5"/>
    </row>
    <row r="46" customFormat="false" ht="15" hidden="false" customHeight="true" outlineLevel="0" collapsed="false">
      <c r="B46" s="10" t="s">
        <v>195</v>
      </c>
      <c r="C46" s="10"/>
      <c r="D46" s="10"/>
      <c r="E46" s="10"/>
      <c r="F46" s="10"/>
      <c r="G46" s="10"/>
      <c r="H46" s="10"/>
      <c r="I46" s="10"/>
      <c r="J46" s="10"/>
    </row>
  </sheetData>
  <mergeCells count="48">
    <mergeCell ref="B1:J1"/>
    <mergeCell ref="B2:J2"/>
    <mergeCell ref="B4:C4"/>
    <mergeCell ref="D4:E4"/>
    <mergeCell ref="G4:J5"/>
    <mergeCell ref="B5:C5"/>
    <mergeCell ref="D5:E5"/>
    <mergeCell ref="B6:C6"/>
    <mergeCell ref="D6:E6"/>
    <mergeCell ref="G6:J7"/>
    <mergeCell ref="B7:C7"/>
    <mergeCell ref="D7:E7"/>
    <mergeCell ref="B9:J9"/>
    <mergeCell ref="B28:J28"/>
    <mergeCell ref="B29:E29"/>
    <mergeCell ref="B30:E30"/>
    <mergeCell ref="B31:E31"/>
    <mergeCell ref="B32:E32"/>
    <mergeCell ref="B33:E33"/>
    <mergeCell ref="B34:E34"/>
    <mergeCell ref="B35:E35"/>
    <mergeCell ref="F35:J35"/>
    <mergeCell ref="B37:J37"/>
    <mergeCell ref="B38:C38"/>
    <mergeCell ref="E38:F38"/>
    <mergeCell ref="G38:J38"/>
    <mergeCell ref="B39:C39"/>
    <mergeCell ref="E39:F39"/>
    <mergeCell ref="G39:J39"/>
    <mergeCell ref="B40:C40"/>
    <mergeCell ref="E40:F40"/>
    <mergeCell ref="G40:J40"/>
    <mergeCell ref="B41:C41"/>
    <mergeCell ref="E41:F41"/>
    <mergeCell ref="G41:J41"/>
    <mergeCell ref="B42:C42"/>
    <mergeCell ref="E42:F42"/>
    <mergeCell ref="G42:J42"/>
    <mergeCell ref="B43:C43"/>
    <mergeCell ref="E43:F43"/>
    <mergeCell ref="G43:J43"/>
    <mergeCell ref="B44:C44"/>
    <mergeCell ref="E44:F44"/>
    <mergeCell ref="G44:J44"/>
    <mergeCell ref="B45:C45"/>
    <mergeCell ref="E45:F45"/>
    <mergeCell ref="G45:J45"/>
    <mergeCell ref="B46:J46"/>
  </mergeCells>
  <conditionalFormatting sqref="I13:I26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AND(LEN(I13)&gt;0,I13&lt;&gt;"OK")</formula>
    </cfRule>
  </conditionalFormatting>
  <conditionalFormatting sqref="F35:J35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1">
      <formula>"OK"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Escolha a função." promptTitle="Opções" showDropDown="false" showErrorMessage="true" showInputMessage="true" sqref="C13:C26" type="list">
      <formula1>"Diretor de imagem,Operador de corte,Câmera 1,Câmera 2,Câmera 3,Câmera 4,Câmera 5,Câmera 6,Gráficos e mídia,Áudio da transmissão,Telão,Apoio"</formula1>
      <formula2>0</formula2>
    </dataValidation>
    <dataValidation allowBlank="true" error="Escolha uma das opções da lista." errorStyle="stop" errorTitle="Valor inválido" operator="between" prompt="Esta pessoa tem intercom?" promptTitle="Opções" showDropDown="false" showErrorMessage="true" showInputMessage="true" sqref="F13:F26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34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60</v>
      </c>
      <c r="C4" s="4"/>
      <c r="D4" s="4"/>
      <c r="E4" s="5"/>
      <c r="F4" s="5"/>
      <c r="G4" s="5"/>
      <c r="I4" s="10" t="s">
        <v>198</v>
      </c>
      <c r="J4" s="10"/>
      <c r="K4" s="10"/>
      <c r="L4" s="10"/>
      <c r="M4" s="10"/>
    </row>
    <row r="5" customFormat="false" ht="21.75" hidden="false" customHeight="true" outlineLevel="0" collapsed="false">
      <c r="B5" s="4" t="s">
        <v>199</v>
      </c>
      <c r="C5" s="4"/>
      <c r="D5" s="4"/>
      <c r="E5" s="11"/>
      <c r="F5" s="11"/>
      <c r="G5" s="11"/>
      <c r="I5" s="10" t="s">
        <v>200</v>
      </c>
      <c r="J5" s="10"/>
      <c r="K5" s="10"/>
      <c r="L5" s="10"/>
      <c r="M5" s="10"/>
    </row>
    <row r="6" customFormat="false" ht="21.75" hidden="false" customHeight="true" outlineLevel="0" collapsed="false">
      <c r="B6" s="4" t="s">
        <v>71</v>
      </c>
      <c r="C6" s="4"/>
      <c r="D6" s="4"/>
      <c r="E6" s="5"/>
      <c r="F6" s="5"/>
      <c r="G6" s="5"/>
      <c r="I6" s="10"/>
      <c r="J6" s="10"/>
      <c r="K6" s="10"/>
      <c r="L6" s="10"/>
      <c r="M6" s="10"/>
    </row>
    <row r="7" customFormat="false" ht="21.75" hidden="false" customHeight="true" outlineLevel="0" collapsed="false">
      <c r="B7" s="4" t="s">
        <v>201</v>
      </c>
      <c r="C7" s="4"/>
      <c r="D7" s="4"/>
      <c r="E7" s="11"/>
      <c r="F7" s="11"/>
      <c r="G7" s="11"/>
      <c r="I7" s="10" t="s">
        <v>202</v>
      </c>
      <c r="J7" s="10"/>
      <c r="K7" s="10"/>
      <c r="L7" s="10"/>
      <c r="M7" s="10"/>
    </row>
    <row r="9" customFormat="false" ht="21.75" hidden="false" customHeight="true" outlineLevel="0" collapsed="false">
      <c r="B9" s="14" t="s">
        <v>203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30" hidden="false" customHeight="true" outlineLevel="0" collapsed="false">
      <c r="B10" s="15" t="s">
        <v>74</v>
      </c>
      <c r="C10" s="15" t="s">
        <v>204</v>
      </c>
      <c r="D10" s="15" t="s">
        <v>75</v>
      </c>
      <c r="E10" s="17" t="s">
        <v>76</v>
      </c>
      <c r="F10" s="17" t="s">
        <v>205</v>
      </c>
      <c r="G10" s="17" t="s">
        <v>206</v>
      </c>
      <c r="H10" s="17" t="s">
        <v>207</v>
      </c>
      <c r="I10" s="15" t="s">
        <v>208</v>
      </c>
      <c r="J10" s="15" t="s">
        <v>209</v>
      </c>
      <c r="K10" s="15" t="s">
        <v>210</v>
      </c>
      <c r="L10" s="15" t="s">
        <v>211</v>
      </c>
      <c r="M10" s="16" t="s">
        <v>152</v>
      </c>
    </row>
    <row r="11" customFormat="false" ht="15" hidden="false" customHeight="false" outlineLevel="0" collapsed="false">
      <c r="B11" s="18"/>
      <c r="C11" s="18" t="s">
        <v>154</v>
      </c>
      <c r="D11" s="18" t="s">
        <v>212</v>
      </c>
      <c r="E11" s="18" t="s">
        <v>87</v>
      </c>
      <c r="F11" s="18" t="s">
        <v>87</v>
      </c>
      <c r="G11" s="18" t="s">
        <v>87</v>
      </c>
      <c r="H11" s="18" t="s">
        <v>87</v>
      </c>
      <c r="I11" s="18"/>
      <c r="J11" s="18"/>
      <c r="K11" s="18"/>
      <c r="L11" s="18" t="s">
        <v>91</v>
      </c>
      <c r="M11" s="18" t="s">
        <v>93</v>
      </c>
    </row>
    <row r="12" customFormat="false" ht="21.75" hidden="false" customHeight="true" outlineLevel="0" collapsed="false">
      <c r="B12" s="18" t="s">
        <v>94</v>
      </c>
      <c r="C12" s="18" t="s">
        <v>213</v>
      </c>
      <c r="D12" s="10" t="s">
        <v>214</v>
      </c>
      <c r="E12" s="10" t="s">
        <v>215</v>
      </c>
      <c r="F12" s="18" t="s">
        <v>216</v>
      </c>
      <c r="G12" s="18" t="s">
        <v>217</v>
      </c>
      <c r="H12" s="18" t="s">
        <v>218</v>
      </c>
      <c r="I12" s="10" t="s">
        <v>219</v>
      </c>
      <c r="J12" s="10" t="s">
        <v>220</v>
      </c>
      <c r="K12" s="10" t="s">
        <v>221</v>
      </c>
      <c r="L12" s="18" t="s">
        <v>157</v>
      </c>
      <c r="M12" s="18" t="s">
        <v>103</v>
      </c>
    </row>
    <row r="13" customFormat="false" ht="21.75" hidden="false" customHeight="true" outlineLevel="0" collapsed="false">
      <c r="B13" s="19" t="n">
        <v>1</v>
      </c>
      <c r="C13" s="13"/>
      <c r="D13" s="5"/>
      <c r="E13" s="5"/>
      <c r="F13" s="9"/>
      <c r="G13" s="9"/>
      <c r="H13" s="9"/>
      <c r="I13" s="5"/>
      <c r="J13" s="5"/>
      <c r="K13" s="5"/>
      <c r="L13" s="9"/>
      <c r="M13" s="29" t="str">
        <f aca="false">IF(E13="","",IF(J13="","Defina a ação",IF(L13="Sim","OK","Em aberto")))</f>
        <v/>
      </c>
    </row>
    <row r="14" customFormat="false" ht="21.75" hidden="false" customHeight="true" outlineLevel="0" collapsed="false">
      <c r="B14" s="19" t="n">
        <v>2</v>
      </c>
      <c r="C14" s="13"/>
      <c r="D14" s="5"/>
      <c r="E14" s="5"/>
      <c r="F14" s="9"/>
      <c r="G14" s="9"/>
      <c r="H14" s="9"/>
      <c r="I14" s="5"/>
      <c r="J14" s="5"/>
      <c r="K14" s="5"/>
      <c r="L14" s="9"/>
      <c r="M14" s="29" t="str">
        <f aca="false">IF(E14="","",IF(J14="","Defina a ação",IF(L14="Sim","OK","Em aberto")))</f>
        <v/>
      </c>
    </row>
    <row r="15" customFormat="false" ht="21.75" hidden="false" customHeight="true" outlineLevel="0" collapsed="false">
      <c r="B15" s="19" t="n">
        <v>3</v>
      </c>
      <c r="C15" s="13"/>
      <c r="D15" s="5"/>
      <c r="E15" s="5"/>
      <c r="F15" s="9"/>
      <c r="G15" s="9"/>
      <c r="H15" s="9"/>
      <c r="I15" s="5"/>
      <c r="J15" s="5"/>
      <c r="K15" s="5"/>
      <c r="L15" s="9"/>
      <c r="M15" s="29" t="str">
        <f aca="false">IF(E15="","",IF(J15="","Defina a ação",IF(L15="Sim","OK","Em aberto")))</f>
        <v/>
      </c>
    </row>
    <row r="16" customFormat="false" ht="21.75" hidden="false" customHeight="true" outlineLevel="0" collapsed="false">
      <c r="B16" s="19" t="n">
        <v>4</v>
      </c>
      <c r="C16" s="13"/>
      <c r="D16" s="5"/>
      <c r="E16" s="5"/>
      <c r="F16" s="9"/>
      <c r="G16" s="9"/>
      <c r="H16" s="9"/>
      <c r="I16" s="5"/>
      <c r="J16" s="5"/>
      <c r="K16" s="5"/>
      <c r="L16" s="9"/>
      <c r="M16" s="29" t="str">
        <f aca="false">IF(E16="","",IF(J16="","Defina a ação",IF(L16="Sim","OK","Em aberto")))</f>
        <v/>
      </c>
    </row>
    <row r="17" customFormat="false" ht="21.75" hidden="false" customHeight="true" outlineLevel="0" collapsed="false">
      <c r="B17" s="19" t="n">
        <v>5</v>
      </c>
      <c r="C17" s="13"/>
      <c r="D17" s="5"/>
      <c r="E17" s="5"/>
      <c r="F17" s="9"/>
      <c r="G17" s="9"/>
      <c r="H17" s="9"/>
      <c r="I17" s="5"/>
      <c r="J17" s="5"/>
      <c r="K17" s="5"/>
      <c r="L17" s="9"/>
      <c r="M17" s="29" t="str">
        <f aca="false">IF(E17="","",IF(J17="","Defina a ação",IF(L17="Sim","OK","Em aberto")))</f>
        <v/>
      </c>
    </row>
    <row r="18" customFormat="false" ht="21.75" hidden="false" customHeight="true" outlineLevel="0" collapsed="false">
      <c r="B18" s="19" t="n">
        <v>6</v>
      </c>
      <c r="C18" s="13"/>
      <c r="D18" s="5"/>
      <c r="E18" s="5"/>
      <c r="F18" s="9"/>
      <c r="G18" s="9"/>
      <c r="H18" s="9"/>
      <c r="I18" s="5"/>
      <c r="J18" s="5"/>
      <c r="K18" s="5"/>
      <c r="L18" s="9"/>
      <c r="M18" s="29" t="str">
        <f aca="false">IF(E18="","",IF(J18="","Defina a ação",IF(L18="Sim","OK","Em aberto")))</f>
        <v/>
      </c>
    </row>
    <row r="19" customFormat="false" ht="21.75" hidden="false" customHeight="true" outlineLevel="0" collapsed="false">
      <c r="B19" s="19" t="n">
        <v>7</v>
      </c>
      <c r="C19" s="13"/>
      <c r="D19" s="5"/>
      <c r="E19" s="5"/>
      <c r="F19" s="9"/>
      <c r="G19" s="9"/>
      <c r="H19" s="9"/>
      <c r="I19" s="5"/>
      <c r="J19" s="5"/>
      <c r="K19" s="5"/>
      <c r="L19" s="9"/>
      <c r="M19" s="29" t="str">
        <f aca="false">IF(E19="","",IF(J19="","Defina a ação",IF(L19="Sim","OK","Em aberto")))</f>
        <v/>
      </c>
    </row>
    <row r="20" customFormat="false" ht="21.75" hidden="false" customHeight="true" outlineLevel="0" collapsed="false">
      <c r="B20" s="19" t="n">
        <v>8</v>
      </c>
      <c r="C20" s="13"/>
      <c r="D20" s="5"/>
      <c r="E20" s="5"/>
      <c r="F20" s="9"/>
      <c r="G20" s="9"/>
      <c r="H20" s="9"/>
      <c r="I20" s="5"/>
      <c r="J20" s="5"/>
      <c r="K20" s="5"/>
      <c r="L20" s="9"/>
      <c r="M20" s="29" t="str">
        <f aca="false">IF(E20="","",IF(J20="","Defina a ação",IF(L20="Sim","OK","Em aberto")))</f>
        <v/>
      </c>
    </row>
    <row r="21" customFormat="false" ht="21.75" hidden="false" customHeight="true" outlineLevel="0" collapsed="false">
      <c r="B21" s="19" t="n">
        <v>9</v>
      </c>
      <c r="C21" s="13"/>
      <c r="D21" s="5"/>
      <c r="E21" s="5"/>
      <c r="F21" s="9"/>
      <c r="G21" s="9"/>
      <c r="H21" s="9"/>
      <c r="I21" s="5"/>
      <c r="J21" s="5"/>
      <c r="K21" s="5"/>
      <c r="L21" s="9"/>
      <c r="M21" s="29" t="str">
        <f aca="false">IF(E21="","",IF(J21="","Defina a ação",IF(L21="Sim","OK","Em aberto")))</f>
        <v/>
      </c>
    </row>
    <row r="22" customFormat="false" ht="21.75" hidden="false" customHeight="true" outlineLevel="0" collapsed="false">
      <c r="B22" s="19" t="n">
        <v>10</v>
      </c>
      <c r="C22" s="13"/>
      <c r="D22" s="5"/>
      <c r="E22" s="5"/>
      <c r="F22" s="9"/>
      <c r="G22" s="9"/>
      <c r="H22" s="9"/>
      <c r="I22" s="5"/>
      <c r="J22" s="5"/>
      <c r="K22" s="5"/>
      <c r="L22" s="9"/>
      <c r="M22" s="29" t="str">
        <f aca="false">IF(E22="","",IF(J22="","Defina a ação",IF(L22="Sim","OK","Em aberto")))</f>
        <v/>
      </c>
    </row>
    <row r="23" customFormat="false" ht="21.75" hidden="false" customHeight="true" outlineLevel="0" collapsed="false">
      <c r="B23" s="19" t="n">
        <v>11</v>
      </c>
      <c r="C23" s="13"/>
      <c r="D23" s="5"/>
      <c r="E23" s="5"/>
      <c r="F23" s="9"/>
      <c r="G23" s="9"/>
      <c r="H23" s="9"/>
      <c r="I23" s="5"/>
      <c r="J23" s="5"/>
      <c r="K23" s="5"/>
      <c r="L23" s="9"/>
      <c r="M23" s="29" t="str">
        <f aca="false">IF(E23="","",IF(J23="","Defina a ação",IF(L23="Sim","OK","Em aberto")))</f>
        <v/>
      </c>
    </row>
    <row r="24" customFormat="false" ht="21.75" hidden="false" customHeight="true" outlineLevel="0" collapsed="false">
      <c r="B24" s="19" t="n">
        <v>12</v>
      </c>
      <c r="C24" s="13"/>
      <c r="D24" s="5"/>
      <c r="E24" s="5"/>
      <c r="F24" s="9"/>
      <c r="G24" s="9"/>
      <c r="H24" s="9"/>
      <c r="I24" s="5"/>
      <c r="J24" s="5"/>
      <c r="K24" s="5"/>
      <c r="L24" s="9"/>
      <c r="M24" s="29" t="str">
        <f aca="false">IF(E24="","",IF(J24="","Defina a ação",IF(L24="Sim","OK","Em aberto")))</f>
        <v/>
      </c>
    </row>
    <row r="25" customFormat="false" ht="21.75" hidden="false" customHeight="true" outlineLevel="0" collapsed="false">
      <c r="B25" s="19" t="n">
        <v>13</v>
      </c>
      <c r="C25" s="13"/>
      <c r="D25" s="5"/>
      <c r="E25" s="5"/>
      <c r="F25" s="9"/>
      <c r="G25" s="9"/>
      <c r="H25" s="9"/>
      <c r="I25" s="5"/>
      <c r="J25" s="5"/>
      <c r="K25" s="5"/>
      <c r="L25" s="9"/>
      <c r="M25" s="29" t="str">
        <f aca="false">IF(E25="","",IF(J25="","Defina a ação",IF(L25="Sim","OK","Em aberto")))</f>
        <v/>
      </c>
    </row>
    <row r="26" customFormat="false" ht="21.75" hidden="false" customHeight="true" outlineLevel="0" collapsed="false">
      <c r="B26" s="19" t="n">
        <v>14</v>
      </c>
      <c r="C26" s="13"/>
      <c r="D26" s="5"/>
      <c r="E26" s="5"/>
      <c r="F26" s="9"/>
      <c r="G26" s="9"/>
      <c r="H26" s="9"/>
      <c r="I26" s="5"/>
      <c r="J26" s="5"/>
      <c r="K26" s="5"/>
      <c r="L26" s="9"/>
      <c r="M26" s="29" t="str">
        <f aca="false">IF(E26="","",IF(J26="","Defina a ação",IF(L26="Sim","OK","Em aberto")))</f>
        <v/>
      </c>
    </row>
    <row r="27" customFormat="false" ht="21.75" hidden="false" customHeight="true" outlineLevel="0" collapsed="false">
      <c r="B27" s="19" t="n">
        <v>15</v>
      </c>
      <c r="C27" s="13"/>
      <c r="D27" s="5"/>
      <c r="E27" s="5"/>
      <c r="F27" s="9"/>
      <c r="G27" s="9"/>
      <c r="H27" s="9"/>
      <c r="I27" s="5"/>
      <c r="J27" s="5"/>
      <c r="K27" s="5"/>
      <c r="L27" s="9"/>
      <c r="M27" s="29" t="str">
        <f aca="false">IF(E27="","",IF(J27="","Defina a ação",IF(L27="Sim","OK","Em aberto")))</f>
        <v/>
      </c>
    </row>
    <row r="28" customFormat="false" ht="21.75" hidden="false" customHeight="true" outlineLevel="0" collapsed="false">
      <c r="B28" s="19" t="n">
        <v>16</v>
      </c>
      <c r="C28" s="13"/>
      <c r="D28" s="5"/>
      <c r="E28" s="5"/>
      <c r="F28" s="9"/>
      <c r="G28" s="9"/>
      <c r="H28" s="9"/>
      <c r="I28" s="5"/>
      <c r="J28" s="5"/>
      <c r="K28" s="5"/>
      <c r="L28" s="9"/>
      <c r="M28" s="29" t="str">
        <f aca="false">IF(E28="","",IF(J28="","Defina a ação",IF(L28="Sim","OK","Em aberto")))</f>
        <v/>
      </c>
    </row>
    <row r="29" customFormat="false" ht="21.75" hidden="false" customHeight="true" outlineLevel="0" collapsed="false">
      <c r="B29" s="19" t="n">
        <v>17</v>
      </c>
      <c r="C29" s="13"/>
      <c r="D29" s="5"/>
      <c r="E29" s="5"/>
      <c r="F29" s="9"/>
      <c r="G29" s="9"/>
      <c r="H29" s="9"/>
      <c r="I29" s="5"/>
      <c r="J29" s="5"/>
      <c r="K29" s="5"/>
      <c r="L29" s="9"/>
      <c r="M29" s="29" t="str">
        <f aca="false">IF(E29="","",IF(J29="","Defina a ação",IF(L29="Sim","OK","Em aberto")))</f>
        <v/>
      </c>
    </row>
    <row r="30" customFormat="false" ht="21.75" hidden="false" customHeight="true" outlineLevel="0" collapsed="false">
      <c r="B30" s="19" t="n">
        <v>18</v>
      </c>
      <c r="C30" s="13"/>
      <c r="D30" s="5"/>
      <c r="E30" s="5"/>
      <c r="F30" s="9"/>
      <c r="G30" s="9"/>
      <c r="H30" s="9"/>
      <c r="I30" s="5"/>
      <c r="J30" s="5"/>
      <c r="K30" s="5"/>
      <c r="L30" s="9"/>
      <c r="M30" s="29" t="str">
        <f aca="false">IF(E30="","",IF(J30="","Defina a ação",IF(L30="Sim","OK","Em aberto")))</f>
        <v/>
      </c>
    </row>
    <row r="31" customFormat="false" ht="21.75" hidden="false" customHeight="true" outlineLevel="0" collapsed="false">
      <c r="B31" s="19" t="n">
        <v>19</v>
      </c>
      <c r="C31" s="13"/>
      <c r="D31" s="5"/>
      <c r="E31" s="5"/>
      <c r="F31" s="9"/>
      <c r="G31" s="9"/>
      <c r="H31" s="9"/>
      <c r="I31" s="5"/>
      <c r="J31" s="5"/>
      <c r="K31" s="5"/>
      <c r="L31" s="9"/>
      <c r="M31" s="29" t="str">
        <f aca="false">IF(E31="","",IF(J31="","Defina a ação",IF(L31="Sim","OK","Em aberto")))</f>
        <v/>
      </c>
    </row>
    <row r="32" customFormat="false" ht="21.75" hidden="false" customHeight="true" outlineLevel="0" collapsed="false">
      <c r="B32" s="19" t="n">
        <v>20</v>
      </c>
      <c r="C32" s="13"/>
      <c r="D32" s="5"/>
      <c r="E32" s="5"/>
      <c r="F32" s="9"/>
      <c r="G32" s="9"/>
      <c r="H32" s="9"/>
      <c r="I32" s="5"/>
      <c r="J32" s="5"/>
      <c r="K32" s="5"/>
      <c r="L32" s="9"/>
      <c r="M32" s="29" t="str">
        <f aca="false">IF(E32="","",IF(J32="","Defina a ação",IF(L32="Sim","OK","Em aberto")))</f>
        <v/>
      </c>
    </row>
    <row r="33" customFormat="false" ht="21.75" hidden="false" customHeight="true" outlineLevel="0" collapsed="false">
      <c r="B33" s="19" t="n">
        <v>21</v>
      </c>
      <c r="C33" s="13"/>
      <c r="D33" s="5"/>
      <c r="E33" s="5"/>
      <c r="F33" s="9"/>
      <c r="G33" s="9"/>
      <c r="H33" s="9"/>
      <c r="I33" s="5"/>
      <c r="J33" s="5"/>
      <c r="K33" s="5"/>
      <c r="L33" s="9"/>
      <c r="M33" s="29" t="str">
        <f aca="false">IF(E33="","",IF(J33="","Defina a ação",IF(L33="Sim","OK","Em aberto")))</f>
        <v/>
      </c>
    </row>
    <row r="34" customFormat="false" ht="21.75" hidden="false" customHeight="true" outlineLevel="0" collapsed="false">
      <c r="B34" s="19" t="n">
        <v>22</v>
      </c>
      <c r="C34" s="13"/>
      <c r="D34" s="5"/>
      <c r="E34" s="5"/>
      <c r="F34" s="9"/>
      <c r="G34" s="9"/>
      <c r="H34" s="9"/>
      <c r="I34" s="5"/>
      <c r="J34" s="5"/>
      <c r="K34" s="5"/>
      <c r="L34" s="9"/>
      <c r="M34" s="29" t="str">
        <f aca="false">IF(E34="","",IF(J34="","Defina a ação",IF(L34="Sim","OK","Em aberto")))</f>
        <v/>
      </c>
    </row>
    <row r="35" customFormat="false" ht="21.75" hidden="false" customHeight="true" outlineLevel="0" collapsed="false">
      <c r="B35" s="19" t="n">
        <v>23</v>
      </c>
      <c r="C35" s="13"/>
      <c r="D35" s="5"/>
      <c r="E35" s="5"/>
      <c r="F35" s="9"/>
      <c r="G35" s="9"/>
      <c r="H35" s="9"/>
      <c r="I35" s="5"/>
      <c r="J35" s="5"/>
      <c r="K35" s="5"/>
      <c r="L35" s="9"/>
      <c r="M35" s="29" t="str">
        <f aca="false">IF(E35="","",IF(J35="","Defina a ação",IF(L35="Sim","OK","Em aberto")))</f>
        <v/>
      </c>
    </row>
    <row r="36" customFormat="false" ht="21.75" hidden="false" customHeight="true" outlineLevel="0" collapsed="false">
      <c r="B36" s="19" t="n">
        <v>24</v>
      </c>
      <c r="C36" s="13"/>
      <c r="D36" s="5"/>
      <c r="E36" s="5"/>
      <c r="F36" s="9"/>
      <c r="G36" s="9"/>
      <c r="H36" s="9"/>
      <c r="I36" s="5"/>
      <c r="J36" s="5"/>
      <c r="K36" s="5"/>
      <c r="L36" s="9"/>
      <c r="M36" s="29" t="str">
        <f aca="false">IF(E36="","",IF(J36="","Defina a ação",IF(L36="Sim","OK","Em aberto")))</f>
        <v/>
      </c>
    </row>
    <row r="37" customFormat="false" ht="21.75" hidden="false" customHeight="true" outlineLevel="0" collapsed="false">
      <c r="B37" s="19" t="n">
        <v>25</v>
      </c>
      <c r="C37" s="13"/>
      <c r="D37" s="5"/>
      <c r="E37" s="5"/>
      <c r="F37" s="9"/>
      <c r="G37" s="9"/>
      <c r="H37" s="9"/>
      <c r="I37" s="5"/>
      <c r="J37" s="5"/>
      <c r="K37" s="5"/>
      <c r="L37" s="9"/>
      <c r="M37" s="29" t="str">
        <f aca="false">IF(E37="","",IF(J37="","Defina a ação",IF(L37="Sim","OK","Em aberto")))</f>
        <v/>
      </c>
    </row>
    <row r="38" customFormat="false" ht="21.75" hidden="false" customHeight="true" outlineLevel="0" collapsed="false">
      <c r="B38" s="19" t="n">
        <v>26</v>
      </c>
      <c r="C38" s="13"/>
      <c r="D38" s="5"/>
      <c r="E38" s="5"/>
      <c r="F38" s="9"/>
      <c r="G38" s="9"/>
      <c r="H38" s="9"/>
      <c r="I38" s="5"/>
      <c r="J38" s="5"/>
      <c r="K38" s="5"/>
      <c r="L38" s="9"/>
      <c r="M38" s="29" t="str">
        <f aca="false">IF(E38="","",IF(J38="","Defina a ação",IF(L38="Sim","OK","Em aberto")))</f>
        <v/>
      </c>
    </row>
    <row r="39" customFormat="false" ht="21.75" hidden="false" customHeight="true" outlineLevel="0" collapsed="false">
      <c r="B39" s="19" t="n">
        <v>27</v>
      </c>
      <c r="C39" s="13"/>
      <c r="D39" s="5"/>
      <c r="E39" s="5"/>
      <c r="F39" s="9"/>
      <c r="G39" s="9"/>
      <c r="H39" s="9"/>
      <c r="I39" s="5"/>
      <c r="J39" s="5"/>
      <c r="K39" s="5"/>
      <c r="L39" s="9"/>
      <c r="M39" s="29" t="str">
        <f aca="false">IF(E39="","",IF(J39="","Defina a ação",IF(L39="Sim","OK","Em aberto")))</f>
        <v/>
      </c>
    </row>
    <row r="40" customFormat="false" ht="21.75" hidden="false" customHeight="true" outlineLevel="0" collapsed="false">
      <c r="B40" s="19" t="n">
        <v>28</v>
      </c>
      <c r="C40" s="13"/>
      <c r="D40" s="5"/>
      <c r="E40" s="5"/>
      <c r="F40" s="9"/>
      <c r="G40" s="9"/>
      <c r="H40" s="9"/>
      <c r="I40" s="5"/>
      <c r="J40" s="5"/>
      <c r="K40" s="5"/>
      <c r="L40" s="9"/>
      <c r="M40" s="29" t="str">
        <f aca="false">IF(E40="","",IF(J40="","Defina a ação",IF(L40="Sim","OK","Em aberto")))</f>
        <v/>
      </c>
    </row>
    <row r="41" customFormat="false" ht="21.75" hidden="false" customHeight="true" outlineLevel="0" collapsed="false">
      <c r="B41" s="19" t="n">
        <v>29</v>
      </c>
      <c r="C41" s="13"/>
      <c r="D41" s="5"/>
      <c r="E41" s="5"/>
      <c r="F41" s="9"/>
      <c r="G41" s="9"/>
      <c r="H41" s="9"/>
      <c r="I41" s="5"/>
      <c r="J41" s="5"/>
      <c r="K41" s="5"/>
      <c r="L41" s="9"/>
      <c r="M41" s="29" t="str">
        <f aca="false">IF(E41="","",IF(J41="","Defina a ação",IF(L41="Sim","OK","Em aberto")))</f>
        <v/>
      </c>
    </row>
    <row r="42" customFormat="false" ht="21.75" hidden="false" customHeight="true" outlineLevel="0" collapsed="false">
      <c r="B42" s="19" t="n">
        <v>30</v>
      </c>
      <c r="C42" s="13"/>
      <c r="D42" s="5"/>
      <c r="E42" s="5"/>
      <c r="F42" s="9"/>
      <c r="G42" s="9"/>
      <c r="H42" s="9"/>
      <c r="I42" s="5"/>
      <c r="J42" s="5"/>
      <c r="K42" s="5"/>
      <c r="L42" s="9"/>
      <c r="M42" s="29" t="str">
        <f aca="false">IF(E42="","",IF(J42="","Defina a ação",IF(L42="Sim","OK","Em aberto")))</f>
        <v/>
      </c>
    </row>
    <row r="44" customFormat="false" ht="21.75" hidden="false" customHeight="true" outlineLevel="0" collapsed="false">
      <c r="B44" s="14" t="s">
        <v>222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customFormat="false" ht="21.75" hidden="false" customHeight="true" outlineLevel="0" collapsed="false">
      <c r="B45" s="8" t="s">
        <v>223</v>
      </c>
      <c r="C45" s="8"/>
      <c r="D45" s="8"/>
      <c r="E45" s="8"/>
      <c r="F45" s="8" t="s">
        <v>224</v>
      </c>
      <c r="H45" s="26" t="s">
        <v>206</v>
      </c>
      <c r="I45" s="26"/>
      <c r="J45" s="8" t="s">
        <v>224</v>
      </c>
    </row>
    <row r="46" customFormat="false" ht="19.5" hidden="false" customHeight="true" outlineLevel="0" collapsed="false">
      <c r="B46" s="6" t="s">
        <v>225</v>
      </c>
      <c r="C46" s="6"/>
      <c r="D46" s="6"/>
      <c r="E46" s="6"/>
      <c r="F46" s="8" t="n">
        <f aca="false">COUNTIF($E$13:$E$42,B46)</f>
        <v>0</v>
      </c>
      <c r="H46" s="6" t="s">
        <v>226</v>
      </c>
      <c r="I46" s="6"/>
      <c r="J46" s="8" t="n">
        <f aca="false">COUNTIF($G$13:$G$42,H46)</f>
        <v>0</v>
      </c>
    </row>
    <row r="47" customFormat="false" ht="19.5" hidden="false" customHeight="true" outlineLevel="0" collapsed="false">
      <c r="B47" s="6" t="s">
        <v>227</v>
      </c>
      <c r="C47" s="6"/>
      <c r="D47" s="6"/>
      <c r="E47" s="6"/>
      <c r="F47" s="8" t="n">
        <f aca="false">COUNTIF($E$13:$E$42,B47)</f>
        <v>0</v>
      </c>
      <c r="H47" s="6" t="s">
        <v>217</v>
      </c>
      <c r="I47" s="6"/>
      <c r="J47" s="8" t="n">
        <f aca="false">COUNTIF($G$13:$G$42,H47)</f>
        <v>0</v>
      </c>
    </row>
    <row r="48" customFormat="false" ht="19.5" hidden="false" customHeight="true" outlineLevel="0" collapsed="false">
      <c r="B48" s="6" t="s">
        <v>228</v>
      </c>
      <c r="C48" s="6"/>
      <c r="D48" s="6"/>
      <c r="E48" s="6"/>
      <c r="F48" s="8" t="n">
        <f aca="false">COUNTIF($E$13:$E$42,B48)</f>
        <v>0</v>
      </c>
      <c r="H48" s="6" t="s">
        <v>229</v>
      </c>
      <c r="I48" s="6"/>
      <c r="J48" s="8" t="n">
        <f aca="false">COUNTIF($G$13:$G$42,H48)</f>
        <v>0</v>
      </c>
    </row>
    <row r="49" customFormat="false" ht="19.5" hidden="false" customHeight="true" outlineLevel="0" collapsed="false">
      <c r="B49" s="6" t="s">
        <v>230</v>
      </c>
      <c r="C49" s="6"/>
      <c r="D49" s="6"/>
      <c r="E49" s="6"/>
      <c r="F49" s="8" t="n">
        <f aca="false">COUNTIF($E$13:$E$42,B49)</f>
        <v>0</v>
      </c>
      <c r="H49" s="6" t="s">
        <v>231</v>
      </c>
      <c r="I49" s="6"/>
      <c r="J49" s="8" t="n">
        <f aca="false">COUNTIF($G$13:$G$42,H49)</f>
        <v>0</v>
      </c>
    </row>
    <row r="50" customFormat="false" ht="19.5" hidden="false" customHeight="true" outlineLevel="0" collapsed="false">
      <c r="B50" s="6" t="s">
        <v>232</v>
      </c>
      <c r="C50" s="6"/>
      <c r="D50" s="6"/>
      <c r="E50" s="6"/>
      <c r="F50" s="8" t="n">
        <f aca="false">COUNTIF($E$13:$E$42,B50)</f>
        <v>0</v>
      </c>
      <c r="H50" s="6" t="s">
        <v>233</v>
      </c>
      <c r="I50" s="6"/>
      <c r="J50" s="8" t="n">
        <f aca="false">COUNTIF($G$13:$G$42,H50)</f>
        <v>0</v>
      </c>
    </row>
    <row r="51" customFormat="false" ht="19.5" hidden="false" customHeight="true" outlineLevel="0" collapsed="false">
      <c r="B51" s="6" t="s">
        <v>234</v>
      </c>
      <c r="C51" s="6"/>
      <c r="D51" s="6"/>
      <c r="E51" s="6"/>
      <c r="F51" s="8" t="n">
        <f aca="false">COUNTIF($E$13:$E$42,B51)</f>
        <v>0</v>
      </c>
      <c r="H51" s="6" t="s">
        <v>235</v>
      </c>
      <c r="I51" s="6"/>
      <c r="J51" s="8" t="n">
        <f aca="false">COUNTIF($G$13:$G$42,H51)</f>
        <v>0</v>
      </c>
    </row>
    <row r="52" customFormat="false" ht="19.5" hidden="false" customHeight="true" outlineLevel="0" collapsed="false">
      <c r="B52" s="6" t="s">
        <v>236</v>
      </c>
      <c r="C52" s="6"/>
      <c r="D52" s="6"/>
      <c r="E52" s="6"/>
      <c r="F52" s="8" t="n">
        <f aca="false">COUNTIF($E$13:$E$42,B52)</f>
        <v>0</v>
      </c>
    </row>
    <row r="53" customFormat="false" ht="19.5" hidden="false" customHeight="true" outlineLevel="0" collapsed="false">
      <c r="B53" s="6" t="s">
        <v>237</v>
      </c>
      <c r="C53" s="6"/>
      <c r="D53" s="6"/>
      <c r="E53" s="6"/>
      <c r="F53" s="8" t="n">
        <f aca="false">COUNTIF($E$13:$E$42,B53)</f>
        <v>0</v>
      </c>
      <c r="H53" s="27" t="s">
        <v>238</v>
      </c>
      <c r="I53" s="27"/>
      <c r="J53" s="26" t="n">
        <f aca="false">COUNTA(E13:E42)</f>
        <v>0</v>
      </c>
      <c r="K53" s="26"/>
    </row>
    <row r="54" customFormat="false" ht="19.5" hidden="false" customHeight="true" outlineLevel="0" collapsed="false">
      <c r="B54" s="6" t="s">
        <v>215</v>
      </c>
      <c r="C54" s="6"/>
      <c r="D54" s="6"/>
      <c r="E54" s="6"/>
      <c r="F54" s="8" t="n">
        <f aca="false">COUNTIF($E$13:$E$42,B54)</f>
        <v>0</v>
      </c>
      <c r="H54" s="27" t="s">
        <v>239</v>
      </c>
      <c r="I54" s="27"/>
      <c r="J54" s="26" t="str">
        <f aca="false">IF(MAX(F46:F56)=0,"",INDEX(B46:B56,MATCH(MAX(F46:F56),F46:F56,0)))</f>
        <v/>
      </c>
      <c r="K54" s="26"/>
    </row>
    <row r="55" customFormat="false" ht="19.5" hidden="false" customHeight="true" outlineLevel="0" collapsed="false">
      <c r="B55" s="6" t="s">
        <v>240</v>
      </c>
      <c r="C55" s="6"/>
      <c r="D55" s="6"/>
      <c r="E55" s="6"/>
      <c r="F55" s="8" t="n">
        <f aca="false">COUNTIF($E$13:$E$42,B55)</f>
        <v>0</v>
      </c>
      <c r="H55" s="27" t="s">
        <v>241</v>
      </c>
      <c r="I55" s="27"/>
      <c r="J55" s="26" t="str">
        <f aca="false">IF(MAX(J46:J51)=0,"",INDEX(H46:H51,MATCH(MAX(J46:J51),J46:J51,0)))</f>
        <v/>
      </c>
      <c r="K55" s="26"/>
    </row>
    <row r="56" customFormat="false" ht="19.5" hidden="false" customHeight="true" outlineLevel="0" collapsed="false">
      <c r="B56" s="6" t="s">
        <v>235</v>
      </c>
      <c r="C56" s="6"/>
      <c r="D56" s="6"/>
      <c r="E56" s="6"/>
      <c r="F56" s="8" t="n">
        <f aca="false">COUNTIF($E$13:$E$42,B56)</f>
        <v>0</v>
      </c>
      <c r="H56" s="27" t="s">
        <v>242</v>
      </c>
      <c r="I56" s="27"/>
      <c r="J56" s="26" t="n">
        <f aca="false">COUNTIF(H13:H42,"Alta")</f>
        <v>0</v>
      </c>
      <c r="K56" s="26"/>
    </row>
    <row r="57" customFormat="false" ht="19.5" hidden="false" customHeight="true" outlineLevel="0" collapsed="false">
      <c r="H57" s="27" t="s">
        <v>243</v>
      </c>
      <c r="I57" s="27"/>
      <c r="J57" s="26" t="n">
        <f aca="false">COUNTIF(M13:M42,"Em aberto")+COUNTIF(M13:M42,"Defina a ação")</f>
        <v>0</v>
      </c>
      <c r="K57" s="26"/>
    </row>
    <row r="58" customFormat="false" ht="21.75" hidden="false" customHeight="true" outlineLevel="0" collapsed="false">
      <c r="H58" s="27" t="s">
        <v>139</v>
      </c>
      <c r="I58" s="27"/>
      <c r="J58" s="22" t="str">
        <f aca="false">IF(J53=0,"Nenhum erro registrado",IF(J57&gt;0,"Há ações a definir ou a fazer antes do próximo evento","OK"))</f>
        <v>Nenhum erro registrado</v>
      </c>
      <c r="K58" s="22"/>
      <c r="L58" s="22"/>
      <c r="M58" s="22"/>
    </row>
  </sheetData>
  <mergeCells count="46">
    <mergeCell ref="B1:M1"/>
    <mergeCell ref="B2:M2"/>
    <mergeCell ref="B4:D4"/>
    <mergeCell ref="E4:G4"/>
    <mergeCell ref="I4:M4"/>
    <mergeCell ref="B5:D5"/>
    <mergeCell ref="E5:G5"/>
    <mergeCell ref="I5:M6"/>
    <mergeCell ref="B6:D6"/>
    <mergeCell ref="E6:G6"/>
    <mergeCell ref="B7:D7"/>
    <mergeCell ref="E7:G7"/>
    <mergeCell ref="I7:M7"/>
    <mergeCell ref="B9:M9"/>
    <mergeCell ref="B44:M44"/>
    <mergeCell ref="B45:E45"/>
    <mergeCell ref="H45:I45"/>
    <mergeCell ref="B46:E46"/>
    <mergeCell ref="H46:I46"/>
    <mergeCell ref="B47:E47"/>
    <mergeCell ref="H47:I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B53:E53"/>
    <mergeCell ref="H53:I53"/>
    <mergeCell ref="J53:K53"/>
    <mergeCell ref="B54:E54"/>
    <mergeCell ref="H54:I54"/>
    <mergeCell ref="J54:K54"/>
    <mergeCell ref="B55:E55"/>
    <mergeCell ref="H55:I55"/>
    <mergeCell ref="J55:K55"/>
    <mergeCell ref="B56:E56"/>
    <mergeCell ref="H56:I56"/>
    <mergeCell ref="J56:K56"/>
    <mergeCell ref="H57:I57"/>
    <mergeCell ref="J57:K57"/>
    <mergeCell ref="H58:I58"/>
    <mergeCell ref="J58:M58"/>
  </mergeCells>
  <conditionalFormatting sqref="H13:H42">
    <cfRule type="cellIs" priority="2" operator="equal" aboveAverage="0" equalAverage="0" bottom="0" percent="0" rank="0" text="" dxfId="2">
      <formula>"Alta"</formula>
    </cfRule>
    <cfRule type="cellIs" priority="3" operator="equal" aboveAverage="0" equalAverage="0" bottom="0" percent="0" rank="0" text="" dxfId="1">
      <formula>"Média"</formula>
    </cfRule>
  </conditionalFormatting>
  <conditionalFormatting sqref="M13:M42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AND(LEN(M13)&gt;0,M13&lt;&gt;"OK")</formula>
    </cfRule>
  </conditionalFormatting>
  <conditionalFormatting sqref="J58:M58">
    <cfRule type="cellIs" priority="6" operator="equal" aboveAverage="0" equalAverage="0" bottom="0" percent="0" rank="0" text="" dxfId="0">
      <formula>"OK"</formula>
    </cfRule>
    <cfRule type="cellIs" priority="7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E5 E7" type="date">
      <formula1>36526</formula1>
      <formula2>0</formula2>
    </dataValidation>
    <dataValidation allowBlank="true" error="Escolha uma das opções da lista." errorStyle="stop" errorTitle="Valor inválido" operator="between" prompt="Escolha o tipo de erro." promptTitle="Opções" showDropDown="false" showErrorMessage="true" showInputMessage="true" sqref="E13:E42" type="list">
      <formula1>"Corte atrasado,Corte sem motivo,Câmera mexendo no ar,Salto,Eixo cruzado,Gráfico esquecido,Gráfico errado,Mídia sem som,Tela preta ou buraco,Fonte com defeito,Comunicação"</formula1>
      <formula2>0</formula2>
    </dataValidation>
    <dataValidation allowBlank="true" error="Escolha uma das opções da lista." errorStyle="stop" errorTitle="Valor inválido" operator="between" prompt="Onde o erro apareceu." promptTitle="Opções" showDropDown="false" showErrorMessage="true" showInputMessage="true" sqref="F13:F42" type="list">
      <formula1>"Câmera 1,Câmera 2,Câmera 3,Câmera 4,Câmera 5,Câmera 6,Mídia,Gráficos,Switcher,Intercom"</formula1>
      <formula2>0</formula2>
    </dataValidation>
    <dataValidation allowBlank="true" error="Escolha uma das opções da lista." errorStyle="stop" errorTitle="Valor inválido" operator="between" prompt="Comando, Roteiro, Operação, Equipamento, Treinamento ou Comunicação." promptTitle="Opções" showDropDown="false" showErrorMessage="true" showInputMessage="true" sqref="G13:G42" type="list">
      <formula1>"Comando,Roteiro,Operação,Equipamento,Treinamento,Comunicação"</formula1>
      <formula2>0</formula2>
    </dataValidation>
    <dataValidation allowBlank="true" error="Escolha uma das opções da lista." errorStyle="stop" errorTitle="Valor inválido" operator="between" prompt="Alta: o público viu um defeito claro (tela preta, câmera mexendo, legenda errada)." promptTitle="Opções" showDropDown="false" showErrorMessage="true" showInputMessage="true" sqref="H13:H42" type="list">
      <formula1>"Baixa,Média,Alta"</formula1>
      <formula2>0</formula2>
    </dataValidation>
    <dataValidation allowBlank="true" error="Escolha uma das opções da lista." errorStyle="stop" errorTitle="Valor inválido" operator="between" prompt="A ação já foi feita?" promptTitle="Opções" showDropDown="false" showErrorMessage="true" showInputMessage="true" sqref="L13:L42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60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244</v>
      </c>
      <c r="C1" s="1"/>
      <c r="D1" s="1"/>
      <c r="E1" s="1"/>
    </row>
    <row r="2" customFormat="false" ht="19.5" hidden="false" customHeight="true" outlineLevel="0" collapsed="false">
      <c r="B2" s="2" t="s">
        <v>245</v>
      </c>
      <c r="C2" s="2"/>
      <c r="D2" s="2"/>
      <c r="E2" s="2"/>
    </row>
    <row r="4" customFormat="false" ht="21.75" hidden="false" customHeight="true" outlineLevel="0" collapsed="false">
      <c r="B4" s="14" t="s">
        <v>246</v>
      </c>
      <c r="C4" s="14"/>
      <c r="D4" s="14"/>
      <c r="E4" s="14"/>
    </row>
    <row r="5" customFormat="false" ht="21.75" hidden="false" customHeight="true" outlineLevel="0" collapsed="false">
      <c r="B5" s="8" t="s">
        <v>247</v>
      </c>
      <c r="C5" s="8" t="s">
        <v>248</v>
      </c>
      <c r="D5" s="8" t="s">
        <v>249</v>
      </c>
      <c r="E5" s="8" t="s">
        <v>85</v>
      </c>
    </row>
    <row r="6" customFormat="false" ht="31.5" hidden="false" customHeight="true" outlineLevel="0" collapsed="false">
      <c r="B6" s="30" t="s">
        <v>250</v>
      </c>
      <c r="C6" s="31" t="s">
        <v>251</v>
      </c>
      <c r="D6" s="31" t="s">
        <v>252</v>
      </c>
      <c r="E6" s="7" t="s">
        <v>253</v>
      </c>
    </row>
    <row r="7" customFormat="false" ht="31.5" hidden="false" customHeight="true" outlineLevel="0" collapsed="false">
      <c r="B7" s="30" t="s">
        <v>254</v>
      </c>
      <c r="C7" s="31" t="s">
        <v>255</v>
      </c>
      <c r="D7" s="31" t="s">
        <v>101</v>
      </c>
      <c r="E7" s="7" t="s">
        <v>256</v>
      </c>
    </row>
    <row r="8" customFormat="false" ht="31.5" hidden="false" customHeight="true" outlineLevel="0" collapsed="false">
      <c r="B8" s="30" t="s">
        <v>257</v>
      </c>
      <c r="C8" s="31" t="s">
        <v>258</v>
      </c>
      <c r="D8" s="31" t="s">
        <v>259</v>
      </c>
      <c r="E8" s="7" t="s">
        <v>260</v>
      </c>
    </row>
    <row r="9" customFormat="false" ht="31.5" hidden="false" customHeight="true" outlineLevel="0" collapsed="false">
      <c r="B9" s="30" t="s">
        <v>261</v>
      </c>
      <c r="C9" s="31" t="s">
        <v>262</v>
      </c>
      <c r="D9" s="31" t="s">
        <v>173</v>
      </c>
      <c r="E9" s="7" t="s">
        <v>263</v>
      </c>
    </row>
    <row r="10" customFormat="false" ht="31.5" hidden="false" customHeight="true" outlineLevel="0" collapsed="false">
      <c r="B10" s="30" t="s">
        <v>264</v>
      </c>
      <c r="C10" s="31" t="s">
        <v>265</v>
      </c>
      <c r="D10" s="31" t="s">
        <v>101</v>
      </c>
      <c r="E10" s="7" t="s">
        <v>266</v>
      </c>
    </row>
    <row r="11" customFormat="false" ht="31.5" hidden="false" customHeight="true" outlineLevel="0" collapsed="false">
      <c r="B11" s="30" t="s">
        <v>95</v>
      </c>
      <c r="C11" s="31" t="s">
        <v>267</v>
      </c>
      <c r="D11" s="31" t="s">
        <v>101</v>
      </c>
      <c r="E11" s="7" t="s">
        <v>268</v>
      </c>
    </row>
    <row r="12" customFormat="false" ht="31.5" hidden="false" customHeight="true" outlineLevel="0" collapsed="false">
      <c r="B12" s="30" t="s">
        <v>269</v>
      </c>
      <c r="C12" s="31" t="s">
        <v>265</v>
      </c>
      <c r="D12" s="31" t="s">
        <v>101</v>
      </c>
      <c r="E12" s="7" t="s">
        <v>270</v>
      </c>
    </row>
    <row r="13" customFormat="false" ht="31.5" hidden="false" customHeight="true" outlineLevel="0" collapsed="false">
      <c r="B13" s="30" t="s">
        <v>216</v>
      </c>
      <c r="C13" s="31" t="s">
        <v>271</v>
      </c>
      <c r="D13" s="31" t="s">
        <v>101</v>
      </c>
      <c r="E13" s="7" t="s">
        <v>272</v>
      </c>
    </row>
    <row r="14" customFormat="false" ht="31.5" hidden="false" customHeight="true" outlineLevel="0" collapsed="false">
      <c r="B14" s="30" t="s">
        <v>273</v>
      </c>
      <c r="C14" s="31" t="s">
        <v>258</v>
      </c>
      <c r="D14" s="31" t="s">
        <v>274</v>
      </c>
      <c r="E14" s="7" t="s">
        <v>275</v>
      </c>
    </row>
    <row r="15" customFormat="false" ht="31.5" hidden="false" customHeight="true" outlineLevel="0" collapsed="false">
      <c r="B15" s="30" t="s">
        <v>276</v>
      </c>
      <c r="C15" s="31" t="s">
        <v>277</v>
      </c>
      <c r="D15" s="31" t="s">
        <v>101</v>
      </c>
      <c r="E15" s="7" t="s">
        <v>278</v>
      </c>
    </row>
    <row r="16" customFormat="false" ht="31.5" hidden="false" customHeight="true" outlineLevel="0" collapsed="false">
      <c r="B16" s="30" t="s">
        <v>279</v>
      </c>
      <c r="C16" s="31" t="s">
        <v>280</v>
      </c>
      <c r="D16" s="31" t="s">
        <v>281</v>
      </c>
      <c r="E16" s="7" t="s">
        <v>282</v>
      </c>
    </row>
    <row r="18" customFormat="false" ht="21.75" hidden="false" customHeight="true" outlineLevel="0" collapsed="false">
      <c r="B18" s="14" t="s">
        <v>283</v>
      </c>
      <c r="C18" s="14"/>
      <c r="D18" s="14"/>
      <c r="E18" s="14"/>
    </row>
    <row r="19" customFormat="false" ht="21.75" hidden="false" customHeight="true" outlineLevel="0" collapsed="false">
      <c r="B19" s="8" t="s">
        <v>249</v>
      </c>
      <c r="C19" s="8" t="s">
        <v>284</v>
      </c>
      <c r="D19" s="8" t="s">
        <v>285</v>
      </c>
      <c r="E19" s="8" t="s">
        <v>286</v>
      </c>
    </row>
    <row r="20" customFormat="false" ht="31.5" hidden="false" customHeight="true" outlineLevel="0" collapsed="false">
      <c r="B20" s="30" t="s">
        <v>287</v>
      </c>
      <c r="C20" s="31" t="s">
        <v>288</v>
      </c>
      <c r="D20" s="31" t="s">
        <v>289</v>
      </c>
      <c r="E20" s="7" t="s">
        <v>290</v>
      </c>
    </row>
    <row r="21" customFormat="false" ht="31.5" hidden="false" customHeight="true" outlineLevel="0" collapsed="false">
      <c r="B21" s="30" t="s">
        <v>291</v>
      </c>
      <c r="C21" s="31" t="s">
        <v>292</v>
      </c>
      <c r="D21" s="31" t="s">
        <v>293</v>
      </c>
      <c r="E21" s="7" t="s">
        <v>294</v>
      </c>
    </row>
    <row r="22" customFormat="false" ht="31.5" hidden="false" customHeight="true" outlineLevel="0" collapsed="false">
      <c r="B22" s="30" t="s">
        <v>295</v>
      </c>
      <c r="C22" s="31" t="s">
        <v>296</v>
      </c>
      <c r="D22" s="31" t="s">
        <v>297</v>
      </c>
      <c r="E22" s="7" t="s">
        <v>298</v>
      </c>
    </row>
    <row r="23" customFormat="false" ht="31.5" hidden="false" customHeight="true" outlineLevel="0" collapsed="false">
      <c r="B23" s="30" t="s">
        <v>299</v>
      </c>
      <c r="C23" s="31" t="s">
        <v>300</v>
      </c>
      <c r="D23" s="31" t="s">
        <v>127</v>
      </c>
      <c r="E23" s="7" t="s">
        <v>301</v>
      </c>
    </row>
    <row r="25" customFormat="false" ht="21.75" hidden="false" customHeight="true" outlineLevel="0" collapsed="false">
      <c r="B25" s="14" t="s">
        <v>302</v>
      </c>
      <c r="C25" s="14"/>
      <c r="D25" s="14"/>
      <c r="E25" s="14"/>
    </row>
    <row r="26" customFormat="false" ht="21.75" hidden="false" customHeight="true" outlineLevel="0" collapsed="false">
      <c r="B26" s="8" t="s">
        <v>167</v>
      </c>
      <c r="C26" s="8" t="s">
        <v>168</v>
      </c>
      <c r="D26" s="8" t="s">
        <v>169</v>
      </c>
      <c r="E26" s="8" t="s">
        <v>303</v>
      </c>
    </row>
    <row r="27" customFormat="false" ht="31.5" hidden="false" customHeight="true" outlineLevel="0" collapsed="false">
      <c r="B27" s="30" t="s">
        <v>101</v>
      </c>
      <c r="C27" s="31" t="s">
        <v>170</v>
      </c>
      <c r="D27" s="31" t="s">
        <v>171</v>
      </c>
      <c r="E27" s="7" t="s">
        <v>172</v>
      </c>
    </row>
    <row r="28" customFormat="false" ht="31.5" hidden="false" customHeight="true" outlineLevel="0" collapsed="false">
      <c r="B28" s="30" t="s">
        <v>173</v>
      </c>
      <c r="C28" s="31" t="s">
        <v>174</v>
      </c>
      <c r="D28" s="31" t="s">
        <v>175</v>
      </c>
      <c r="E28" s="7" t="s">
        <v>176</v>
      </c>
    </row>
    <row r="29" customFormat="false" ht="31.5" hidden="false" customHeight="true" outlineLevel="0" collapsed="false">
      <c r="B29" s="30" t="s">
        <v>177</v>
      </c>
      <c r="C29" s="31" t="s">
        <v>178</v>
      </c>
      <c r="D29" s="31" t="s">
        <v>179</v>
      </c>
      <c r="E29" s="7" t="s">
        <v>180</v>
      </c>
    </row>
    <row r="30" customFormat="false" ht="31.5" hidden="false" customHeight="true" outlineLevel="0" collapsed="false">
      <c r="B30" s="30" t="s">
        <v>181</v>
      </c>
      <c r="C30" s="31" t="s">
        <v>182</v>
      </c>
      <c r="D30" s="31" t="s">
        <v>183</v>
      </c>
      <c r="E30" s="7" t="s">
        <v>184</v>
      </c>
    </row>
    <row r="31" customFormat="false" ht="31.5" hidden="false" customHeight="true" outlineLevel="0" collapsed="false">
      <c r="B31" s="30" t="s">
        <v>185</v>
      </c>
      <c r="C31" s="31" t="s">
        <v>186</v>
      </c>
      <c r="D31" s="31" t="s">
        <v>127</v>
      </c>
      <c r="E31" s="7" t="s">
        <v>187</v>
      </c>
    </row>
    <row r="32" customFormat="false" ht="31.5" hidden="false" customHeight="true" outlineLevel="0" collapsed="false">
      <c r="B32" s="30" t="s">
        <v>188</v>
      </c>
      <c r="C32" s="31" t="s">
        <v>127</v>
      </c>
      <c r="D32" s="31" t="s">
        <v>189</v>
      </c>
      <c r="E32" s="7" t="s">
        <v>190</v>
      </c>
    </row>
    <row r="33" customFormat="false" ht="31.5" hidden="false" customHeight="true" outlineLevel="0" collapsed="false">
      <c r="B33" s="30" t="s">
        <v>191</v>
      </c>
      <c r="C33" s="31" t="s">
        <v>192</v>
      </c>
      <c r="D33" s="31" t="s">
        <v>193</v>
      </c>
      <c r="E33" s="7" t="s">
        <v>194</v>
      </c>
    </row>
    <row r="35" customFormat="false" ht="21.75" hidden="false" customHeight="true" outlineLevel="0" collapsed="false">
      <c r="B35" s="14" t="s">
        <v>304</v>
      </c>
      <c r="C35" s="14"/>
      <c r="D35" s="14"/>
      <c r="E35" s="14"/>
    </row>
    <row r="36" customFormat="false" ht="21.75" hidden="false" customHeight="true" outlineLevel="0" collapsed="false">
      <c r="B36" s="8" t="s">
        <v>305</v>
      </c>
      <c r="C36" s="8" t="s">
        <v>306</v>
      </c>
      <c r="D36" s="8" t="s">
        <v>307</v>
      </c>
      <c r="E36" s="8" t="s">
        <v>85</v>
      </c>
    </row>
    <row r="37" customFormat="false" ht="31.5" hidden="false" customHeight="true" outlineLevel="0" collapsed="false">
      <c r="B37" s="30" t="s">
        <v>308</v>
      </c>
      <c r="C37" s="31" t="s">
        <v>309</v>
      </c>
      <c r="D37" s="31" t="s">
        <v>310</v>
      </c>
      <c r="E37" s="7" t="s">
        <v>311</v>
      </c>
    </row>
    <row r="38" customFormat="false" ht="31.5" hidden="false" customHeight="true" outlineLevel="0" collapsed="false">
      <c r="B38" s="30" t="s">
        <v>312</v>
      </c>
      <c r="C38" s="31" t="s">
        <v>313</v>
      </c>
      <c r="D38" s="31" t="s">
        <v>314</v>
      </c>
      <c r="E38" s="7" t="s">
        <v>315</v>
      </c>
    </row>
    <row r="39" customFormat="false" ht="31.5" hidden="false" customHeight="true" outlineLevel="0" collapsed="false">
      <c r="B39" s="30" t="s">
        <v>316</v>
      </c>
      <c r="C39" s="31" t="s">
        <v>317</v>
      </c>
      <c r="D39" s="31" t="s">
        <v>318</v>
      </c>
      <c r="E39" s="7" t="s">
        <v>319</v>
      </c>
    </row>
    <row r="41" customFormat="false" ht="21.75" hidden="false" customHeight="true" outlineLevel="0" collapsed="false">
      <c r="B41" s="14" t="s">
        <v>320</v>
      </c>
      <c r="C41" s="14"/>
      <c r="D41" s="14"/>
      <c r="E41" s="14"/>
    </row>
    <row r="42" customFormat="false" ht="21.75" hidden="false" customHeight="true" outlineLevel="0" collapsed="false">
      <c r="B42" s="8" t="s">
        <v>321</v>
      </c>
      <c r="C42" s="8" t="s">
        <v>322</v>
      </c>
      <c r="D42" s="8" t="s">
        <v>323</v>
      </c>
      <c r="E42" s="8" t="s">
        <v>85</v>
      </c>
    </row>
    <row r="43" customFormat="false" ht="31.5" hidden="false" customHeight="true" outlineLevel="0" collapsed="false">
      <c r="B43" s="30" t="s">
        <v>324</v>
      </c>
      <c r="C43" s="31" t="s">
        <v>325</v>
      </c>
      <c r="D43" s="31" t="s">
        <v>326</v>
      </c>
      <c r="E43" s="7" t="s">
        <v>327</v>
      </c>
    </row>
    <row r="44" customFormat="false" ht="31.5" hidden="false" customHeight="true" outlineLevel="0" collapsed="false">
      <c r="B44" s="30" t="s">
        <v>328</v>
      </c>
      <c r="C44" s="31" t="s">
        <v>329</v>
      </c>
      <c r="D44" s="31" t="s">
        <v>330</v>
      </c>
      <c r="E44" s="7" t="s">
        <v>331</v>
      </c>
    </row>
    <row r="45" customFormat="false" ht="31.5" hidden="false" customHeight="true" outlineLevel="0" collapsed="false">
      <c r="B45" s="30" t="s">
        <v>332</v>
      </c>
      <c r="C45" s="31" t="s">
        <v>333</v>
      </c>
      <c r="D45" s="31" t="s">
        <v>334</v>
      </c>
      <c r="E45" s="7" t="s">
        <v>335</v>
      </c>
    </row>
    <row r="46" customFormat="false" ht="31.5" hidden="false" customHeight="true" outlineLevel="0" collapsed="false">
      <c r="B46" s="30" t="s">
        <v>336</v>
      </c>
      <c r="C46" s="31" t="s">
        <v>337</v>
      </c>
      <c r="D46" s="31" t="s">
        <v>338</v>
      </c>
      <c r="E46" s="7" t="s">
        <v>339</v>
      </c>
    </row>
    <row r="47" customFormat="false" ht="31.5" hidden="false" customHeight="true" outlineLevel="0" collapsed="false">
      <c r="B47" s="10" t="s">
        <v>340</v>
      </c>
      <c r="C47" s="10"/>
      <c r="D47" s="10"/>
      <c r="E47" s="10"/>
    </row>
  </sheetData>
  <mergeCells count="8">
    <mergeCell ref="B1:E1"/>
    <mergeCell ref="B2:E2"/>
    <mergeCell ref="B4:E4"/>
    <mergeCell ref="B18:E18"/>
    <mergeCell ref="B25:E25"/>
    <mergeCell ref="B35:E35"/>
    <mergeCell ref="B41:E41"/>
    <mergeCell ref="B47:E4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341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342</v>
      </c>
      <c r="C2" s="2"/>
      <c r="D2" s="2"/>
      <c r="E2" s="2"/>
      <c r="F2" s="2"/>
    </row>
    <row r="4" customFormat="false" ht="21.75" hidden="false" customHeight="true" outlineLevel="0" collapsed="false">
      <c r="B4" s="15" t="s">
        <v>74</v>
      </c>
      <c r="C4" s="15" t="s">
        <v>343</v>
      </c>
      <c r="D4" s="15" t="s">
        <v>344</v>
      </c>
      <c r="E4" s="15" t="s">
        <v>152</v>
      </c>
      <c r="F4" s="15" t="s">
        <v>85</v>
      </c>
    </row>
    <row r="5" customFormat="false" ht="31.5" hidden="false" customHeight="true" outlineLevel="0" collapsed="false">
      <c r="B5" s="19" t="n">
        <v>1</v>
      </c>
      <c r="C5" s="6" t="s">
        <v>345</v>
      </c>
      <c r="D5" s="7" t="s">
        <v>346</v>
      </c>
      <c r="E5" s="9"/>
      <c r="F5" s="5"/>
    </row>
    <row r="6" customFormat="false" ht="19.5" hidden="false" customHeight="true" outlineLevel="0" collapsed="false">
      <c r="B6" s="19" t="n">
        <v>2</v>
      </c>
      <c r="C6" s="6" t="s">
        <v>33</v>
      </c>
      <c r="D6" s="7" t="s">
        <v>347</v>
      </c>
      <c r="E6" s="9"/>
      <c r="F6" s="5"/>
    </row>
    <row r="7" customFormat="false" ht="19.5" hidden="false" customHeight="true" outlineLevel="0" collapsed="false">
      <c r="B7" s="19" t="n">
        <v>3</v>
      </c>
      <c r="C7" s="6" t="s">
        <v>33</v>
      </c>
      <c r="D7" s="7" t="s">
        <v>348</v>
      </c>
      <c r="E7" s="9"/>
      <c r="F7" s="5"/>
    </row>
    <row r="8" customFormat="false" ht="31.5" hidden="false" customHeight="true" outlineLevel="0" collapsed="false">
      <c r="B8" s="19" t="n">
        <v>4</v>
      </c>
      <c r="C8" s="6" t="s">
        <v>349</v>
      </c>
      <c r="D8" s="7" t="s">
        <v>350</v>
      </c>
      <c r="E8" s="9"/>
      <c r="F8" s="5"/>
    </row>
    <row r="9" customFormat="false" ht="19.5" hidden="false" customHeight="true" outlineLevel="0" collapsed="false">
      <c r="B9" s="19" t="n">
        <v>5</v>
      </c>
      <c r="C9" s="6" t="s">
        <v>349</v>
      </c>
      <c r="D9" s="7" t="s">
        <v>351</v>
      </c>
      <c r="E9" s="9"/>
      <c r="F9" s="5"/>
    </row>
    <row r="10" customFormat="false" ht="19.5" hidden="false" customHeight="true" outlineLevel="0" collapsed="false">
      <c r="B10" s="19" t="n">
        <v>6</v>
      </c>
      <c r="C10" s="6" t="s">
        <v>349</v>
      </c>
      <c r="D10" s="7" t="s">
        <v>352</v>
      </c>
      <c r="E10" s="9"/>
      <c r="F10" s="5"/>
    </row>
    <row r="11" customFormat="false" ht="31.5" hidden="false" customHeight="true" outlineLevel="0" collapsed="false">
      <c r="B11" s="19" t="n">
        <v>7</v>
      </c>
      <c r="C11" s="6" t="s">
        <v>353</v>
      </c>
      <c r="D11" s="7" t="s">
        <v>354</v>
      </c>
      <c r="E11" s="9"/>
      <c r="F11" s="5"/>
    </row>
    <row r="12" customFormat="false" ht="19.5" hidden="false" customHeight="true" outlineLevel="0" collapsed="false">
      <c r="B12" s="19" t="n">
        <v>8</v>
      </c>
      <c r="C12" s="6" t="s">
        <v>353</v>
      </c>
      <c r="D12" s="7" t="s">
        <v>355</v>
      </c>
      <c r="E12" s="9"/>
      <c r="F12" s="5"/>
    </row>
    <row r="13" customFormat="false" ht="31.5" hidden="false" customHeight="true" outlineLevel="0" collapsed="false">
      <c r="B13" s="19" t="n">
        <v>9</v>
      </c>
      <c r="C13" s="6" t="s">
        <v>356</v>
      </c>
      <c r="D13" s="7" t="s">
        <v>357</v>
      </c>
      <c r="E13" s="9"/>
      <c r="F13" s="5"/>
    </row>
    <row r="14" customFormat="false" ht="19.5" hidden="false" customHeight="true" outlineLevel="0" collapsed="false">
      <c r="B14" s="19" t="n">
        <v>10</v>
      </c>
      <c r="C14" s="6" t="s">
        <v>356</v>
      </c>
      <c r="D14" s="7" t="s">
        <v>358</v>
      </c>
      <c r="E14" s="9"/>
      <c r="F14" s="5"/>
    </row>
    <row r="15" customFormat="false" ht="31.5" hidden="false" customHeight="true" outlineLevel="0" collapsed="false">
      <c r="B15" s="19" t="n">
        <v>11</v>
      </c>
      <c r="C15" s="6" t="s">
        <v>115</v>
      </c>
      <c r="D15" s="7" t="s">
        <v>359</v>
      </c>
      <c r="E15" s="9"/>
      <c r="F15" s="5"/>
    </row>
    <row r="16" customFormat="false" ht="19.5" hidden="false" customHeight="true" outlineLevel="0" collapsed="false">
      <c r="B16" s="19" t="n">
        <v>12</v>
      </c>
      <c r="C16" s="6" t="s">
        <v>360</v>
      </c>
      <c r="D16" s="7" t="s">
        <v>361</v>
      </c>
      <c r="E16" s="9"/>
      <c r="F16" s="5"/>
    </row>
    <row r="18" customFormat="false" ht="19.5" hidden="false" customHeight="true" outlineLevel="0" collapsed="false">
      <c r="B18" s="27" t="s">
        <v>362</v>
      </c>
      <c r="C18" s="27"/>
      <c r="D18" s="27"/>
      <c r="E18" s="8" t="n">
        <f aca="false">COUNTA(E5:E16)</f>
        <v>0</v>
      </c>
    </row>
    <row r="19" customFormat="false" ht="19.5" hidden="false" customHeight="true" outlineLevel="0" collapsed="false">
      <c r="B19" s="27" t="s">
        <v>363</v>
      </c>
      <c r="C19" s="27"/>
      <c r="D19" s="27"/>
      <c r="E19" s="24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7" t="s">
        <v>152</v>
      </c>
      <c r="C20" s="27"/>
      <c r="D20" s="27"/>
      <c r="E20" s="26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9"/>
    <col collapsed="false" customWidth="true" hidden="false" outlineLevel="0" max="9" min="7" style="0" width="13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24"/>
    <col collapsed="false" customWidth="true" hidden="false" outlineLevel="0" max="15" min="15" style="0" width="30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364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B4" s="4" t="s">
        <v>60</v>
      </c>
      <c r="C4" s="4"/>
      <c r="D4" s="32" t="s">
        <v>365</v>
      </c>
      <c r="E4" s="32"/>
      <c r="F4" s="32"/>
      <c r="G4" s="32"/>
      <c r="H4" s="32"/>
      <c r="I4" s="4" t="s">
        <v>61</v>
      </c>
      <c r="J4" s="4"/>
      <c r="K4" s="4"/>
      <c r="L4" s="33" t="n">
        <v>5</v>
      </c>
      <c r="M4" s="10" t="s">
        <v>62</v>
      </c>
      <c r="N4" s="10"/>
      <c r="O4" s="10"/>
    </row>
    <row r="5" customFormat="false" ht="21.75" hidden="false" customHeight="true" outlineLevel="0" collapsed="false">
      <c r="B5" s="4" t="s">
        <v>63</v>
      </c>
      <c r="C5" s="4"/>
      <c r="D5" s="32" t="s">
        <v>366</v>
      </c>
      <c r="E5" s="32"/>
      <c r="F5" s="32"/>
      <c r="G5" s="32"/>
      <c r="H5" s="32"/>
      <c r="I5" s="4" t="s">
        <v>64</v>
      </c>
      <c r="J5" s="4"/>
      <c r="K5" s="4"/>
      <c r="L5" s="33" t="n">
        <v>30</v>
      </c>
      <c r="M5" s="10" t="s">
        <v>65</v>
      </c>
      <c r="N5" s="10"/>
      <c r="O5" s="10"/>
    </row>
    <row r="6" customFormat="false" ht="21.75" hidden="false" customHeight="true" outlineLevel="0" collapsed="false">
      <c r="B6" s="4" t="s">
        <v>66</v>
      </c>
      <c r="C6" s="4"/>
      <c r="D6" s="34" t="n">
        <v>46299</v>
      </c>
      <c r="E6" s="34"/>
      <c r="F6" s="34"/>
      <c r="G6" s="34"/>
      <c r="H6" s="34"/>
      <c r="I6" s="4" t="s">
        <v>67</v>
      </c>
      <c r="J6" s="4"/>
      <c r="K6" s="4"/>
      <c r="L6" s="35" t="n">
        <v>0.6</v>
      </c>
      <c r="M6" s="10" t="s">
        <v>68</v>
      </c>
      <c r="N6" s="10"/>
      <c r="O6" s="10"/>
    </row>
    <row r="7" customFormat="false" ht="21.75" hidden="false" customHeight="true" outlineLevel="0" collapsed="false">
      <c r="B7" s="4" t="s">
        <v>69</v>
      </c>
      <c r="C7" s="4"/>
      <c r="D7" s="36" t="n">
        <v>0.791666666666667</v>
      </c>
      <c r="E7" s="36"/>
      <c r="F7" s="36"/>
      <c r="G7" s="36"/>
      <c r="H7" s="36"/>
      <c r="I7" s="10" t="s">
        <v>70</v>
      </c>
      <c r="J7" s="10"/>
      <c r="K7" s="10"/>
      <c r="L7" s="10"/>
      <c r="M7" s="10"/>
      <c r="N7" s="10"/>
      <c r="O7" s="10"/>
    </row>
    <row r="8" customFormat="false" ht="21.75" hidden="false" customHeight="true" outlineLevel="0" collapsed="false">
      <c r="B8" s="4" t="s">
        <v>71</v>
      </c>
      <c r="C8" s="4"/>
      <c r="D8" s="32" t="s">
        <v>367</v>
      </c>
      <c r="E8" s="32"/>
      <c r="F8" s="32"/>
      <c r="G8" s="32"/>
      <c r="H8" s="32"/>
      <c r="I8" s="10" t="s">
        <v>72</v>
      </c>
      <c r="J8" s="10"/>
      <c r="K8" s="10"/>
      <c r="L8" s="10"/>
      <c r="M8" s="10"/>
      <c r="N8" s="10"/>
      <c r="O8" s="10"/>
    </row>
    <row r="10" customFormat="false" ht="21.75" hidden="false" customHeight="true" outlineLevel="0" collapsed="false">
      <c r="B10" s="14" t="s">
        <v>73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customFormat="false" ht="30" hidden="false" customHeight="true" outlineLevel="0" collapsed="false">
      <c r="B11" s="15" t="s">
        <v>74</v>
      </c>
      <c r="C11" s="15" t="s">
        <v>75</v>
      </c>
      <c r="D11" s="15" t="s">
        <v>76</v>
      </c>
      <c r="E11" s="15" t="s">
        <v>77</v>
      </c>
      <c r="F11" s="16" t="s">
        <v>78</v>
      </c>
      <c r="G11" s="17" t="s">
        <v>79</v>
      </c>
      <c r="H11" s="17" t="s">
        <v>80</v>
      </c>
      <c r="I11" s="17" t="s">
        <v>81</v>
      </c>
      <c r="J11" s="15" t="s">
        <v>82</v>
      </c>
      <c r="K11" s="15" t="s">
        <v>83</v>
      </c>
      <c r="L11" s="15" t="s">
        <v>84</v>
      </c>
      <c r="M11" s="16" t="s">
        <v>46</v>
      </c>
      <c r="N11" s="16" t="s">
        <v>48</v>
      </c>
      <c r="O11" s="15" t="s">
        <v>85</v>
      </c>
    </row>
    <row r="12" customFormat="false" ht="21.75" hidden="false" customHeight="true" outlineLevel="0" collapsed="false">
      <c r="B12" s="18"/>
      <c r="C12" s="18" t="s">
        <v>86</v>
      </c>
      <c r="D12" s="18" t="s">
        <v>87</v>
      </c>
      <c r="E12" s="18" t="s">
        <v>88</v>
      </c>
      <c r="F12" s="18" t="s">
        <v>89</v>
      </c>
      <c r="G12" s="18" t="s">
        <v>87</v>
      </c>
      <c r="H12" s="18" t="s">
        <v>87</v>
      </c>
      <c r="I12" s="18" t="s">
        <v>87</v>
      </c>
      <c r="J12" s="18" t="s">
        <v>90</v>
      </c>
      <c r="K12" s="18" t="s">
        <v>87</v>
      </c>
      <c r="L12" s="18" t="s">
        <v>91</v>
      </c>
      <c r="M12" s="18" t="s">
        <v>92</v>
      </c>
      <c r="N12" s="18" t="s">
        <v>93</v>
      </c>
      <c r="O12" s="18"/>
    </row>
    <row r="13" customFormat="false" ht="21.75" hidden="false" customHeight="true" outlineLevel="0" collapsed="false">
      <c r="B13" s="10" t="s">
        <v>368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21.75" hidden="false" customHeight="true" outlineLevel="0" collapsed="false">
      <c r="B14" s="19" t="n">
        <v>1</v>
      </c>
      <c r="C14" s="32" t="s">
        <v>369</v>
      </c>
      <c r="D14" s="33" t="s">
        <v>250</v>
      </c>
      <c r="E14" s="33" t="n">
        <v>3</v>
      </c>
      <c r="F14" s="20" t="n">
        <f aca="false">IF(OR(E14="",$D$7=""),"",$D$7)</f>
        <v>0.791666666666667</v>
      </c>
      <c r="G14" s="33" t="s">
        <v>98</v>
      </c>
      <c r="H14" s="33" t="s">
        <v>99</v>
      </c>
      <c r="I14" s="33"/>
      <c r="J14" s="32" t="s">
        <v>370</v>
      </c>
      <c r="K14" s="33" t="s">
        <v>371</v>
      </c>
      <c r="L14" s="33"/>
      <c r="M14" s="21" t="str">
        <f aca="false">IF(D14="","",IFERROR(VLOOKUP(D14,Referência!$B$6:$D$16,2,FALSE())&amp;", "&amp;VLOOKUP(D14,Referência!$B$6:$D$16,3,FALSE()),""))</f>
        <v>plano geral, 5 a 10 s, Do preto ou fusão</v>
      </c>
      <c r="N14" s="22" t="str">
        <f aca="false">IF(AND(C14="",G14=""),"",IF(E14="","Informe a duração",IF(G14="","Defina a fonte principal",IF(AND(OR(G14="Mídia",G14="Vinheta"),L14=""),"Defina o áudio da mídia",IF(OR(AND(H14&lt;&gt;"",H14=G14),AND(I14&lt;&gt;"",I14=G14),AND(H14&lt;&gt;"",H14=I14)),"Alternativa repetida",IF(AND(H14="",I14="",E14&gt;$L$4),"Sem alternativa",IF(IFERROR(INDEX($G$38:$G$43,MATCH(G14,$C$38:$C$43,0))="",FALSE()),"Câmera sem operador",IF(OR(IFERROR(INDEX($G$38:$G$43,MATCH(H14,$C$38:$C$43,0))="",FALSE()),IFERROR(INDEX($G$38:$G$43,MATCH(I14,$C$38:$C$43,0))="",FALSE())),"Alternativa sem operador","OK"))))))))</f>
        <v>OK</v>
      </c>
      <c r="O14" s="32"/>
    </row>
    <row r="15" customFormat="false" ht="21.75" hidden="false" customHeight="true" outlineLevel="0" collapsed="false">
      <c r="B15" s="19" t="n">
        <v>2</v>
      </c>
      <c r="C15" s="32" t="s">
        <v>372</v>
      </c>
      <c r="D15" s="33" t="s">
        <v>254</v>
      </c>
      <c r="E15" s="33" t="n">
        <v>21</v>
      </c>
      <c r="F15" s="20" t="n">
        <f aca="false">IF(OR(E15="",$D$7=""),"",$D$7+SUM($E$14:E14)/1440)</f>
        <v>0.79375</v>
      </c>
      <c r="G15" s="33" t="s">
        <v>97</v>
      </c>
      <c r="H15" s="33" t="s">
        <v>98</v>
      </c>
      <c r="I15" s="33" t="s">
        <v>99</v>
      </c>
      <c r="J15" s="32" t="s">
        <v>373</v>
      </c>
      <c r="K15" s="33" t="s">
        <v>173</v>
      </c>
      <c r="L15" s="33"/>
      <c r="M15" s="21" t="str">
        <f aca="false">IF(D15="","",IFERROR(VLOOKUP(D15,Referência!$B$6:$D$16,2,FALSE())&amp;", "&amp;VLOOKUP(D15,Referência!$B$6:$D$16,3,FALSE()),""))</f>
        <v>3 a 6 s por plano, Corte seco</v>
      </c>
      <c r="N15" s="22" t="str">
        <f aca="false">IF(AND(C15="",G15=""),"",IF(E15="","Informe a duração",IF(G15="","Defina a fonte principal",IF(AND(OR(G15="Mídia",G15="Vinheta"),L15=""),"Defina o áudio da mídia",IF(OR(AND(H15&lt;&gt;"",H15=G15),AND(I15&lt;&gt;"",I15=G15),AND(H15&lt;&gt;"",H15=I15)),"Alternativa repetida",IF(AND(H15="",I15="",E15&gt;$L$4),"Sem alternativa",IF(IFERROR(INDEX($G$38:$G$43,MATCH(G15,$C$38:$C$43,0))="",FALSE()),"Câmera sem operador",IF(OR(IFERROR(INDEX($G$38:$G$43,MATCH(H15,$C$38:$C$43,0))="",FALSE()),IFERROR(INDEX($G$38:$G$43,MATCH(I15,$C$38:$C$43,0))="",FALSE())),"Alternativa sem operador","OK"))))))))</f>
        <v>OK</v>
      </c>
      <c r="O15" s="32"/>
    </row>
    <row r="16" customFormat="false" ht="21.75" hidden="false" customHeight="true" outlineLevel="0" collapsed="false">
      <c r="B16" s="19" t="n">
        <v>3</v>
      </c>
      <c r="C16" s="32" t="s">
        <v>261</v>
      </c>
      <c r="D16" s="33" t="s">
        <v>261</v>
      </c>
      <c r="E16" s="33" t="n">
        <v>3</v>
      </c>
      <c r="F16" s="20" t="n">
        <f aca="false">IF(OR(E16="",$D$7=""),"",$D$7+SUM($E$14:E15)/1440)</f>
        <v>0.808333333333333</v>
      </c>
      <c r="G16" s="33" t="s">
        <v>98</v>
      </c>
      <c r="H16" s="33" t="s">
        <v>99</v>
      </c>
      <c r="I16" s="33"/>
      <c r="J16" s="32"/>
      <c r="K16" s="33" t="s">
        <v>173</v>
      </c>
      <c r="L16" s="33"/>
      <c r="M16" s="21" t="str">
        <f aca="false">IF(D16="","",IFERROR(VLOOKUP(D16,Referência!$B$6:$D$16,2,FALSE())&amp;", "&amp;VLOOKUP(D16,Referência!$B$6:$D$16,3,FALSE()),""))</f>
        <v>plano longo, Fusão</v>
      </c>
      <c r="N16" s="22" t="str">
        <f aca="false">IF(AND(C16="",G16=""),"",IF(E16="","Informe a duração",IF(G16="","Defina a fonte principal",IF(AND(OR(G16="Mídia",G16="Vinheta"),L16=""),"Defina o áudio da mídia",IF(OR(AND(H16&lt;&gt;"",H16=G16),AND(I16&lt;&gt;"",I16=G16),AND(H16&lt;&gt;"",H16=I16)),"Alternativa repetida",IF(AND(H16="",I16="",E16&gt;$L$4),"Sem alternativa",IF(IFERROR(INDEX($G$38:$G$43,MATCH(G16,$C$38:$C$43,0))="",FALSE()),"Câmera sem operador",IF(OR(IFERROR(INDEX($G$38:$G$43,MATCH(H16,$C$38:$C$43,0))="",FALSE()),IFERROR(INDEX($G$38:$G$43,MATCH(I16,$C$38:$C$43,0))="",FALSE())),"Alternativa sem operador","OK"))))))))</f>
        <v>OK</v>
      </c>
      <c r="O16" s="32"/>
    </row>
    <row r="17" customFormat="false" ht="21.75" hidden="false" customHeight="true" outlineLevel="0" collapsed="false">
      <c r="B17" s="19" t="n">
        <v>4</v>
      </c>
      <c r="C17" s="32" t="s">
        <v>214</v>
      </c>
      <c r="D17" s="33" t="s">
        <v>216</v>
      </c>
      <c r="E17" s="33" t="n">
        <v>4</v>
      </c>
      <c r="F17" s="20" t="n">
        <f aca="false">IF(OR(E17="",$D$7=""),"",$D$7+SUM($E$14:E16)/1440)</f>
        <v>0.810416666666667</v>
      </c>
      <c r="G17" s="33" t="s">
        <v>216</v>
      </c>
      <c r="H17" s="33" t="s">
        <v>98</v>
      </c>
      <c r="I17" s="33"/>
      <c r="J17" s="32"/>
      <c r="K17" s="33" t="s">
        <v>101</v>
      </c>
      <c r="L17" s="33"/>
      <c r="M17" s="21" t="str">
        <f aca="false">IF(D17="","",IFERROR(VLOOKUP(D17,Referência!$B$6:$D$16,2,FALSE())&amp;", "&amp;VLOOKUP(D17,Referência!$B$6:$D$16,3,FALSE()),""))</f>
        <v>o vídeo inteiro, Corte seco</v>
      </c>
      <c r="N17" s="22" t="str">
        <f aca="false">IF(AND(C17="",G17=""),"",IF(E17="","Informe a duração",IF(G17="","Defina a fonte principal",IF(AND(OR(G17="Mídia",G17="Vinheta"),L17=""),"Defina o áudio da mídia",IF(OR(AND(H17&lt;&gt;"",H17=G17),AND(I17&lt;&gt;"",I17=G17),AND(H17&lt;&gt;"",H17=I17)),"Alternativa repetida",IF(AND(H17="",I17="",E17&gt;$L$4),"Sem alternativa",IF(IFERROR(INDEX($G$38:$G$43,MATCH(G17,$C$38:$C$43,0))="",FALSE()),"Câmera sem operador",IF(OR(IFERROR(INDEX($G$38:$G$43,MATCH(H17,$C$38:$C$43,0))="",FALSE()),IFERROR(INDEX($G$38:$G$43,MATCH(I17,$C$38:$C$43,0))="",FALSE())),"Alternativa sem operador","OK"))))))))</f>
        <v>Defina o áudio da mídia</v>
      </c>
      <c r="O17" s="32"/>
    </row>
    <row r="18" customFormat="false" ht="21.75" hidden="false" customHeight="true" outlineLevel="0" collapsed="false">
      <c r="B18" s="19" t="n">
        <v>5</v>
      </c>
      <c r="C18" s="32" t="s">
        <v>374</v>
      </c>
      <c r="D18" s="33" t="s">
        <v>264</v>
      </c>
      <c r="E18" s="33" t="n">
        <v>4</v>
      </c>
      <c r="F18" s="20" t="n">
        <f aca="false">IF(OR(E18="",$D$7=""),"",$D$7+SUM($E$14:E17)/1440)</f>
        <v>0.813194444444444</v>
      </c>
      <c r="G18" s="33" t="s">
        <v>97</v>
      </c>
      <c r="H18" s="33" t="s">
        <v>97</v>
      </c>
      <c r="I18" s="33"/>
      <c r="J18" s="32" t="s">
        <v>375</v>
      </c>
      <c r="K18" s="33" t="s">
        <v>101</v>
      </c>
      <c r="L18" s="33"/>
      <c r="M18" s="21" t="str">
        <f aca="false">IF(D18="","",IFERROR(VLOOKUP(D18,Referência!$B$6:$D$16,2,FALSE())&amp;", "&amp;VLOOKUP(D18,Referência!$B$6:$D$16,3,FALSE()),""))</f>
        <v>10 a 30 s por plano, Corte seco</v>
      </c>
      <c r="N18" s="22" t="str">
        <f aca="false">IF(AND(C18="",G18=""),"",IF(E18="","Informe a duração",IF(G18="","Defina a fonte principal",IF(AND(OR(G18="Mídia",G18="Vinheta"),L18=""),"Defina o áudio da mídia",IF(OR(AND(H18&lt;&gt;"",H18=G18),AND(I18&lt;&gt;"",I18=G18),AND(H18&lt;&gt;"",H18=I18)),"Alternativa repetida",IF(AND(H18="",I18="",E18&gt;$L$4),"Sem alternativa",IF(IFERROR(INDEX($G$38:$G$43,MATCH(G18,$C$38:$C$43,0))="",FALSE()),"Câmera sem operador",IF(OR(IFERROR(INDEX($G$38:$G$43,MATCH(H18,$C$38:$C$43,0))="",FALSE()),IFERROR(INDEX($G$38:$G$43,MATCH(I18,$C$38:$C$43,0))="",FALSE())),"Alternativa sem operador","OK"))))))))</f>
        <v>Alternativa repetida</v>
      </c>
      <c r="O18" s="32"/>
    </row>
    <row r="19" customFormat="false" ht="21.75" hidden="false" customHeight="true" outlineLevel="0" collapsed="false">
      <c r="B19" s="19" t="n">
        <v>6</v>
      </c>
      <c r="C19" s="32" t="s">
        <v>95</v>
      </c>
      <c r="D19" s="33" t="s">
        <v>95</v>
      </c>
      <c r="E19" s="33" t="n">
        <v>40</v>
      </c>
      <c r="F19" s="20" t="n">
        <f aca="false">IF(OR(E19="",$D$7=""),"",$D$7+SUM($E$14:E18)/1440)</f>
        <v>0.815972222222222</v>
      </c>
      <c r="G19" s="33" t="s">
        <v>97</v>
      </c>
      <c r="H19" s="33"/>
      <c r="I19" s="33"/>
      <c r="J19" s="32" t="s">
        <v>376</v>
      </c>
      <c r="K19" s="33" t="s">
        <v>101</v>
      </c>
      <c r="L19" s="33"/>
      <c r="M19" s="21" t="str">
        <f aca="false">IF(D19="","",IFERROR(VLOOKUP(D19,Referência!$B$6:$D$16,2,FALSE())&amp;", "&amp;VLOOKUP(D19,Referência!$B$6:$D$16,3,FALSE()),""))</f>
        <v>20 a 60 s ou mais, Corte seco</v>
      </c>
      <c r="N19" s="22" t="str">
        <f aca="false">IF(AND(C19="",G19=""),"",IF(E19="","Informe a duração",IF(G19="","Defina a fonte principal",IF(AND(OR(G19="Mídia",G19="Vinheta"),L19=""),"Defina o áudio da mídia",IF(OR(AND(H19&lt;&gt;"",H19=G19),AND(I19&lt;&gt;"",I19=G19),AND(H19&lt;&gt;"",H19=I19)),"Alternativa repetida",IF(AND(H19="",I19="",E19&gt;$L$4),"Sem alternativa",IF(IFERROR(INDEX($G$38:$G$43,MATCH(G19,$C$38:$C$43,0))="",FALSE()),"Câmera sem operador",IF(OR(IFERROR(INDEX($G$38:$G$43,MATCH(H19,$C$38:$C$43,0))="",FALSE()),IFERROR(INDEX($G$38:$G$43,MATCH(I19,$C$38:$C$43,0))="",FALSE())),"Alternativa sem operador","OK"))))))))</f>
        <v>Sem alternativa</v>
      </c>
      <c r="O19" s="32"/>
    </row>
    <row r="20" customFormat="false" ht="21.75" hidden="false" customHeight="true" outlineLevel="0" collapsed="false">
      <c r="B20" s="19" t="n">
        <v>7</v>
      </c>
      <c r="C20" s="32" t="s">
        <v>377</v>
      </c>
      <c r="D20" s="33" t="s">
        <v>273</v>
      </c>
      <c r="E20" s="33" t="n">
        <v>2</v>
      </c>
      <c r="F20" s="20" t="n">
        <f aca="false">IF(OR(E20="",$D$7=""),"",$D$7+SUM($E$14:E19)/1440)</f>
        <v>0.84375</v>
      </c>
      <c r="G20" s="33" t="s">
        <v>99</v>
      </c>
      <c r="H20" s="33" t="s">
        <v>98</v>
      </c>
      <c r="I20" s="33"/>
      <c r="J20" s="32"/>
      <c r="K20" s="33" t="s">
        <v>173</v>
      </c>
      <c r="L20" s="33"/>
      <c r="M20" s="21" t="str">
        <f aca="false">IF(D20="","",IFERROR(VLOOKUP(D20,Referência!$B$6:$D$16,2,FALSE())&amp;", "&amp;VLOOKUP(D20,Referência!$B$6:$D$16,3,FALSE()),""))</f>
        <v>6 a 12 s por plano, Fusão lenta</v>
      </c>
      <c r="N20" s="22" t="str">
        <f aca="false">IF(AND(C20="",G20=""),"",IF(E20="","Informe a duração",IF(G20="","Defina a fonte principal",IF(AND(OR(G20="Mídia",G20="Vinheta"),L20=""),"Defina o áudio da mídia",IF(OR(AND(H20&lt;&gt;"",H20=G20),AND(I20&lt;&gt;"",I20=G20),AND(H20&lt;&gt;"",H20=I20)),"Alternativa repetida",IF(AND(H20="",I20="",E20&gt;$L$4),"Sem alternativa",IF(IFERROR(INDEX($G$38:$G$43,MATCH(G20,$C$38:$C$43,0))="",FALSE()),"Câmera sem operador",IF(OR(IFERROR(INDEX($G$38:$G$43,MATCH(H20,$C$38:$C$43,0))="",FALSE()),IFERROR(INDEX($G$38:$G$43,MATCH(I20,$C$38:$C$43,0))="",FALSE())),"Alternativa sem operador","OK"))))))))</f>
        <v>OK</v>
      </c>
      <c r="O20" s="32"/>
    </row>
    <row r="21" customFormat="false" ht="21.75" hidden="false" customHeight="true" outlineLevel="0" collapsed="false">
      <c r="B21" s="19" t="n">
        <v>8</v>
      </c>
      <c r="C21" s="32" t="s">
        <v>378</v>
      </c>
      <c r="D21" s="33" t="s">
        <v>257</v>
      </c>
      <c r="E21" s="33" t="n">
        <v>5</v>
      </c>
      <c r="F21" s="20" t="n">
        <f aca="false">IF(OR(E21="",$D$7=""),"",$D$7+SUM($E$14:E20)/1440)</f>
        <v>0.845138888888889</v>
      </c>
      <c r="G21" s="33" t="s">
        <v>123</v>
      </c>
      <c r="H21" s="33" t="s">
        <v>98</v>
      </c>
      <c r="I21" s="33"/>
      <c r="J21" s="32" t="s">
        <v>373</v>
      </c>
      <c r="K21" s="33" t="s">
        <v>173</v>
      </c>
      <c r="L21" s="33"/>
      <c r="M21" s="21" t="str">
        <f aca="false">IF(D21="","",IFERROR(VLOOKUP(D21,Referência!$B$6:$D$16,2,FALSE())&amp;", "&amp;VLOOKUP(D21,Referência!$B$6:$D$16,3,FALSE()),""))</f>
        <v>6 a 12 s por plano, Fusão de 0,5 a 1 s</v>
      </c>
      <c r="N21" s="22" t="str">
        <f aca="false">IF(AND(C21="",G21=""),"",IF(E21="","Informe a duração",IF(G21="","Defina a fonte principal",IF(AND(OR(G21="Mídia",G21="Vinheta"),L21=""),"Defina o áudio da mídia",IF(OR(AND(H21&lt;&gt;"",H21=G21),AND(I21&lt;&gt;"",I21=G21),AND(H21&lt;&gt;"",H21=I21)),"Alternativa repetida",IF(AND(H21="",I21="",E21&gt;$L$4),"Sem alternativa",IF(IFERROR(INDEX($G$38:$G$43,MATCH(G21,$C$38:$C$43,0))="",FALSE()),"Câmera sem operador",IF(OR(IFERROR(INDEX($G$38:$G$43,MATCH(H21,$C$38:$C$43,0))="",FALSE()),IFERROR(INDEX($G$38:$G$43,MATCH(I21,$C$38:$C$43,0))="",FALSE())),"Alternativa sem operador","OK"))))))))</f>
        <v>Câmera sem operador</v>
      </c>
      <c r="O21" s="32"/>
    </row>
    <row r="22" customFormat="false" ht="21.75" hidden="false" customHeight="true" outlineLevel="0" collapsed="false">
      <c r="B22" s="19" t="n">
        <v>9</v>
      </c>
      <c r="C22" s="32" t="s">
        <v>379</v>
      </c>
      <c r="D22" s="33" t="s">
        <v>279</v>
      </c>
      <c r="E22" s="33" t="n">
        <v>2</v>
      </c>
      <c r="F22" s="20" t="n">
        <f aca="false">IF(OR(E22="",$D$7=""),"",$D$7+SUM($E$14:E21)/1440)</f>
        <v>0.848611111111111</v>
      </c>
      <c r="G22" s="33" t="s">
        <v>98</v>
      </c>
      <c r="H22" s="33"/>
      <c r="I22" s="33"/>
      <c r="J22" s="32" t="s">
        <v>380</v>
      </c>
      <c r="K22" s="33" t="s">
        <v>381</v>
      </c>
      <c r="L22" s="33"/>
      <c r="M22" s="21" t="str">
        <f aca="false">IF(D22="","",IFERROR(VLOOKUP(D22,Referência!$B$6:$D$16,2,FALSE())&amp;", "&amp;VLOOKUP(D22,Referência!$B$6:$D$16,3,FALSE()),""))</f>
        <v>plano geral, Para o preto, 1 a 2 s</v>
      </c>
      <c r="N22" s="22" t="str">
        <f aca="false">IF(AND(C22="",G22=""),"",IF(E22="","Informe a duração",IF(G22="","Defina a fonte principal",IF(AND(OR(G22="Mídia",G22="Vinheta"),L22=""),"Defina o áudio da mídia",IF(OR(AND(H22&lt;&gt;"",H22=G22),AND(I22&lt;&gt;"",I22=G22),AND(H22&lt;&gt;"",H22=I22)),"Alternativa repetida",IF(AND(H22="",I22="",E22&gt;$L$4),"Sem alternativa",IF(IFERROR(INDEX($G$38:$G$43,MATCH(G22,$C$38:$C$43,0))="",FALSE()),"Câmera sem operador",IF(OR(IFERROR(INDEX($G$38:$G$43,MATCH(H22,$C$38:$C$43,0))="",FALSE()),IFERROR(INDEX($G$38:$G$43,MATCH(I22,$C$38:$C$43,0))="",FALSE())),"Alternativa sem operador","OK"))))))))</f>
        <v>OK</v>
      </c>
      <c r="O22" s="32"/>
    </row>
    <row r="23" customFormat="false" ht="21.75" hidden="false" customHeight="true" outlineLevel="0" collapsed="false">
      <c r="B23" s="19" t="n">
        <v>10</v>
      </c>
      <c r="C23" s="32"/>
      <c r="D23" s="33"/>
      <c r="E23" s="33"/>
      <c r="F23" s="20" t="str">
        <f aca="false">IF(OR(E23="",$D$7=""),"",$D$7+SUM($E$14:E22)/1440)</f>
        <v/>
      </c>
      <c r="G23" s="33"/>
      <c r="H23" s="33"/>
      <c r="I23" s="33"/>
      <c r="J23" s="32"/>
      <c r="K23" s="33"/>
      <c r="L23" s="33"/>
      <c r="M23" s="21" t="str">
        <f aca="false">IF(D23="","",IFERROR(VLOOKUP(D23,Referência!$B$6:$D$16,2,FALSE())&amp;", "&amp;VLOOKUP(D23,Referência!$B$6:$D$16,3,FALSE()),""))</f>
        <v/>
      </c>
      <c r="N23" s="22" t="str">
        <f aca="false">IF(AND(C23="",G23=""),"",IF(E23="","Informe a duração",IF(G23="","Defina a fonte principal",IF(AND(OR(G23="Mídia",G23="Vinheta"),L23=""),"Defina o áudio da mídia",IF(OR(AND(H23&lt;&gt;"",H23=G23),AND(I23&lt;&gt;"",I23=G23),AND(H23&lt;&gt;"",H23=I23)),"Alternativa repetida",IF(AND(H23="",I23="",E23&gt;$L$4),"Sem alternativa",IF(IFERROR(INDEX($G$38:$G$43,MATCH(G23,$C$38:$C$43,0))="",FALSE()),"Câmera sem operador",IF(OR(IFERROR(INDEX($G$38:$G$43,MATCH(H23,$C$38:$C$43,0))="",FALSE()),IFERROR(INDEX($G$38:$G$43,MATCH(I23,$C$38:$C$43,0))="",FALSE())),"Alternativa sem operador","OK"))))))))</f>
        <v/>
      </c>
      <c r="O23" s="32"/>
    </row>
    <row r="24" customFormat="false" ht="21.75" hidden="false" customHeight="true" outlineLevel="0" collapsed="false">
      <c r="B24" s="19" t="n">
        <v>11</v>
      </c>
      <c r="C24" s="32"/>
      <c r="D24" s="33"/>
      <c r="E24" s="33"/>
      <c r="F24" s="20" t="str">
        <f aca="false">IF(OR(E24="",$D$7=""),"",$D$7+SUM($E$14:E23)/1440)</f>
        <v/>
      </c>
      <c r="G24" s="33"/>
      <c r="H24" s="33"/>
      <c r="I24" s="33"/>
      <c r="J24" s="32"/>
      <c r="K24" s="33"/>
      <c r="L24" s="33"/>
      <c r="M24" s="21" t="str">
        <f aca="false">IF(D24="","",IFERROR(VLOOKUP(D24,Referência!$B$6:$D$16,2,FALSE())&amp;", "&amp;VLOOKUP(D24,Referência!$B$6:$D$16,3,FALSE()),""))</f>
        <v/>
      </c>
      <c r="N24" s="22" t="str">
        <f aca="false">IF(AND(C24="",G24=""),"",IF(E24="","Informe a duração",IF(G24="","Defina a fonte principal",IF(AND(OR(G24="Mídia",G24="Vinheta"),L24=""),"Defina o áudio da mídia",IF(OR(AND(H24&lt;&gt;"",H24=G24),AND(I24&lt;&gt;"",I24=G24),AND(H24&lt;&gt;"",H24=I24)),"Alternativa repetida",IF(AND(H24="",I24="",E24&gt;$L$4),"Sem alternativa",IF(IFERROR(INDEX($G$38:$G$43,MATCH(G24,$C$38:$C$43,0))="",FALSE()),"Câmera sem operador",IF(OR(IFERROR(INDEX($G$38:$G$43,MATCH(H24,$C$38:$C$43,0))="",FALSE()),IFERROR(INDEX($G$38:$G$43,MATCH(I24,$C$38:$C$43,0))="",FALSE())),"Alternativa sem operador","OK"))))))))</f>
        <v/>
      </c>
      <c r="O24" s="32"/>
    </row>
    <row r="25" customFormat="false" ht="21.75" hidden="false" customHeight="true" outlineLevel="0" collapsed="false">
      <c r="B25" s="19" t="n">
        <v>12</v>
      </c>
      <c r="C25" s="32"/>
      <c r="D25" s="33"/>
      <c r="E25" s="33"/>
      <c r="F25" s="20" t="str">
        <f aca="false">IF(OR(E25="",$D$7=""),"",$D$7+SUM($E$14:E24)/1440)</f>
        <v/>
      </c>
      <c r="G25" s="33"/>
      <c r="H25" s="33"/>
      <c r="I25" s="33"/>
      <c r="J25" s="32"/>
      <c r="K25" s="33"/>
      <c r="L25" s="33"/>
      <c r="M25" s="21" t="str">
        <f aca="false">IF(D25="","",IFERROR(VLOOKUP(D25,Referência!$B$6:$D$16,2,FALSE())&amp;", "&amp;VLOOKUP(D25,Referência!$B$6:$D$16,3,FALSE()),""))</f>
        <v/>
      </c>
      <c r="N25" s="22" t="str">
        <f aca="false">IF(AND(C25="",G25=""),"",IF(E25="","Informe a duração",IF(G25="","Defina a fonte principal",IF(AND(OR(G25="Mídia",G25="Vinheta"),L25=""),"Defina o áudio da mídia",IF(OR(AND(H25&lt;&gt;"",H25=G25),AND(I25&lt;&gt;"",I25=G25),AND(H25&lt;&gt;"",H25=I25)),"Alternativa repetida",IF(AND(H25="",I25="",E25&gt;$L$4),"Sem alternativa",IF(IFERROR(INDEX($G$38:$G$43,MATCH(G25,$C$38:$C$43,0))="",FALSE()),"Câmera sem operador",IF(OR(IFERROR(INDEX($G$38:$G$43,MATCH(H25,$C$38:$C$43,0))="",FALSE()),IFERROR(INDEX($G$38:$G$43,MATCH(I25,$C$38:$C$43,0))="",FALSE())),"Alternativa sem operador","OK"))))))))</f>
        <v/>
      </c>
      <c r="O25" s="32"/>
    </row>
    <row r="26" customFormat="false" ht="21.75" hidden="false" customHeight="true" outlineLevel="0" collapsed="false">
      <c r="B26" s="19" t="n">
        <v>13</v>
      </c>
      <c r="C26" s="32"/>
      <c r="D26" s="33"/>
      <c r="E26" s="33"/>
      <c r="F26" s="20" t="str">
        <f aca="false">IF(OR(E26="",$D$7=""),"",$D$7+SUM($E$14:E25)/1440)</f>
        <v/>
      </c>
      <c r="G26" s="33"/>
      <c r="H26" s="33"/>
      <c r="I26" s="33"/>
      <c r="J26" s="32"/>
      <c r="K26" s="33"/>
      <c r="L26" s="33"/>
      <c r="M26" s="21" t="str">
        <f aca="false">IF(D26="","",IFERROR(VLOOKUP(D26,Referência!$B$6:$D$16,2,FALSE())&amp;", "&amp;VLOOKUP(D26,Referência!$B$6:$D$16,3,FALSE()),""))</f>
        <v/>
      </c>
      <c r="N26" s="22" t="str">
        <f aca="false">IF(AND(C26="",G26=""),"",IF(E26="","Informe a duração",IF(G26="","Defina a fonte principal",IF(AND(OR(G26="Mídia",G26="Vinheta"),L26=""),"Defina o áudio da mídia",IF(OR(AND(H26&lt;&gt;"",H26=G26),AND(I26&lt;&gt;"",I26=G26),AND(H26&lt;&gt;"",H26=I26)),"Alternativa repetida",IF(AND(H26="",I26="",E26&gt;$L$4),"Sem alternativa",IF(IFERROR(INDEX($G$38:$G$43,MATCH(G26,$C$38:$C$43,0))="",FALSE()),"Câmera sem operador",IF(OR(IFERROR(INDEX($G$38:$G$43,MATCH(H26,$C$38:$C$43,0))="",FALSE()),IFERROR(INDEX($G$38:$G$43,MATCH(I26,$C$38:$C$43,0))="",FALSE())),"Alternativa sem operador","OK"))))))))</f>
        <v/>
      </c>
      <c r="O26" s="32"/>
    </row>
    <row r="27" customFormat="false" ht="21.75" hidden="false" customHeight="true" outlineLevel="0" collapsed="false">
      <c r="B27" s="19" t="n">
        <v>14</v>
      </c>
      <c r="C27" s="32"/>
      <c r="D27" s="33"/>
      <c r="E27" s="33"/>
      <c r="F27" s="20" t="str">
        <f aca="false">IF(OR(E27="",$D$7=""),"",$D$7+SUM($E$14:E26)/1440)</f>
        <v/>
      </c>
      <c r="G27" s="33"/>
      <c r="H27" s="33"/>
      <c r="I27" s="33"/>
      <c r="J27" s="32"/>
      <c r="K27" s="33"/>
      <c r="L27" s="33"/>
      <c r="M27" s="21" t="str">
        <f aca="false">IF(D27="","",IFERROR(VLOOKUP(D27,Referência!$B$6:$D$16,2,FALSE())&amp;", "&amp;VLOOKUP(D27,Referência!$B$6:$D$16,3,FALSE()),""))</f>
        <v/>
      </c>
      <c r="N27" s="22" t="str">
        <f aca="false">IF(AND(C27="",G27=""),"",IF(E27="","Informe a duração",IF(G27="","Defina a fonte principal",IF(AND(OR(G27="Mídia",G27="Vinheta"),L27=""),"Defina o áudio da mídia",IF(OR(AND(H27&lt;&gt;"",H27=G27),AND(I27&lt;&gt;"",I27=G27),AND(H27&lt;&gt;"",H27=I27)),"Alternativa repetida",IF(AND(H27="",I27="",E27&gt;$L$4),"Sem alternativa",IF(IFERROR(INDEX($G$38:$G$43,MATCH(G27,$C$38:$C$43,0))="",FALSE()),"Câmera sem operador",IF(OR(IFERROR(INDEX($G$38:$G$43,MATCH(H27,$C$38:$C$43,0))="",FALSE()),IFERROR(INDEX($G$38:$G$43,MATCH(I27,$C$38:$C$43,0))="",FALSE())),"Alternativa sem operador","OK"))))))))</f>
        <v/>
      </c>
      <c r="O27" s="32"/>
    </row>
    <row r="28" customFormat="false" ht="21.75" hidden="false" customHeight="true" outlineLevel="0" collapsed="false">
      <c r="B28" s="19" t="n">
        <v>15</v>
      </c>
      <c r="C28" s="32"/>
      <c r="D28" s="33"/>
      <c r="E28" s="33"/>
      <c r="F28" s="20" t="str">
        <f aca="false">IF(OR(E28="",$D$7=""),"",$D$7+SUM($E$14:E27)/1440)</f>
        <v/>
      </c>
      <c r="G28" s="33"/>
      <c r="H28" s="33"/>
      <c r="I28" s="33"/>
      <c r="J28" s="32"/>
      <c r="K28" s="33"/>
      <c r="L28" s="33"/>
      <c r="M28" s="21" t="str">
        <f aca="false">IF(D28="","",IFERROR(VLOOKUP(D28,Referência!$B$6:$D$16,2,FALSE())&amp;", "&amp;VLOOKUP(D28,Referência!$B$6:$D$16,3,FALSE()),""))</f>
        <v/>
      </c>
      <c r="N28" s="22" t="str">
        <f aca="false">IF(AND(C28="",G28=""),"",IF(E28="","Informe a duração",IF(G28="","Defina a fonte principal",IF(AND(OR(G28="Mídia",G28="Vinheta"),L28=""),"Defina o áudio da mídia",IF(OR(AND(H28&lt;&gt;"",H28=G28),AND(I28&lt;&gt;"",I28=G28),AND(H28&lt;&gt;"",H28=I28)),"Alternativa repetida",IF(AND(H28="",I28="",E28&gt;$L$4),"Sem alternativa",IF(IFERROR(INDEX($G$38:$G$43,MATCH(G28,$C$38:$C$43,0))="",FALSE()),"Câmera sem operador",IF(OR(IFERROR(INDEX($G$38:$G$43,MATCH(H28,$C$38:$C$43,0))="",FALSE()),IFERROR(INDEX($G$38:$G$43,MATCH(I28,$C$38:$C$43,0))="",FALSE())),"Alternativa sem operador","OK"))))))))</f>
        <v/>
      </c>
      <c r="O28" s="32"/>
    </row>
    <row r="29" customFormat="false" ht="21.75" hidden="false" customHeight="true" outlineLevel="0" collapsed="false">
      <c r="B29" s="19" t="n">
        <v>16</v>
      </c>
      <c r="C29" s="32"/>
      <c r="D29" s="33"/>
      <c r="E29" s="33"/>
      <c r="F29" s="20" t="str">
        <f aca="false">IF(OR(E29="",$D$7=""),"",$D$7+SUM($E$14:E28)/1440)</f>
        <v/>
      </c>
      <c r="G29" s="33"/>
      <c r="H29" s="33"/>
      <c r="I29" s="33"/>
      <c r="J29" s="32"/>
      <c r="K29" s="33"/>
      <c r="L29" s="33"/>
      <c r="M29" s="21" t="str">
        <f aca="false">IF(D29="","",IFERROR(VLOOKUP(D29,Referência!$B$6:$D$16,2,FALSE())&amp;", "&amp;VLOOKUP(D29,Referência!$B$6:$D$16,3,FALSE()),""))</f>
        <v/>
      </c>
      <c r="N29" s="22" t="str">
        <f aca="false">IF(AND(C29="",G29=""),"",IF(E29="","Informe a duração",IF(G29="","Defina a fonte principal",IF(AND(OR(G29="Mídia",G29="Vinheta"),L29=""),"Defina o áudio da mídia",IF(OR(AND(H29&lt;&gt;"",H29=G29),AND(I29&lt;&gt;"",I29=G29),AND(H29&lt;&gt;"",H29=I29)),"Alternativa repetida",IF(AND(H29="",I29="",E29&gt;$L$4),"Sem alternativa",IF(IFERROR(INDEX($G$38:$G$43,MATCH(G29,$C$38:$C$43,0))="",FALSE()),"Câmera sem operador",IF(OR(IFERROR(INDEX($G$38:$G$43,MATCH(H29,$C$38:$C$43,0))="",FALSE()),IFERROR(INDEX($G$38:$G$43,MATCH(I29,$C$38:$C$43,0))="",FALSE())),"Alternativa sem operador","OK"))))))))</f>
        <v/>
      </c>
      <c r="O29" s="32"/>
    </row>
    <row r="30" customFormat="false" ht="21.75" hidden="false" customHeight="true" outlineLevel="0" collapsed="false">
      <c r="B30" s="19" t="n">
        <v>17</v>
      </c>
      <c r="C30" s="32"/>
      <c r="D30" s="33"/>
      <c r="E30" s="33"/>
      <c r="F30" s="20" t="str">
        <f aca="false">IF(OR(E30="",$D$7=""),"",$D$7+SUM($E$14:E29)/1440)</f>
        <v/>
      </c>
      <c r="G30" s="33"/>
      <c r="H30" s="33"/>
      <c r="I30" s="33"/>
      <c r="J30" s="32"/>
      <c r="K30" s="33"/>
      <c r="L30" s="33"/>
      <c r="M30" s="21" t="str">
        <f aca="false">IF(D30="","",IFERROR(VLOOKUP(D30,Referência!$B$6:$D$16,2,FALSE())&amp;", "&amp;VLOOKUP(D30,Referência!$B$6:$D$16,3,FALSE()),""))</f>
        <v/>
      </c>
      <c r="N30" s="22" t="str">
        <f aca="false">IF(AND(C30="",G30=""),"",IF(E30="","Informe a duração",IF(G30="","Defina a fonte principal",IF(AND(OR(G30="Mídia",G30="Vinheta"),L30=""),"Defina o áudio da mídia",IF(OR(AND(H30&lt;&gt;"",H30=G30),AND(I30&lt;&gt;"",I30=G30),AND(H30&lt;&gt;"",H30=I30)),"Alternativa repetida",IF(AND(H30="",I30="",E30&gt;$L$4),"Sem alternativa",IF(IFERROR(INDEX($G$38:$G$43,MATCH(G30,$C$38:$C$43,0))="",FALSE()),"Câmera sem operador",IF(OR(IFERROR(INDEX($G$38:$G$43,MATCH(H30,$C$38:$C$43,0))="",FALSE()),IFERROR(INDEX($G$38:$G$43,MATCH(I30,$C$38:$C$43,0))="",FALSE())),"Alternativa sem operador","OK"))))))))</f>
        <v/>
      </c>
      <c r="O30" s="32"/>
    </row>
    <row r="31" customFormat="false" ht="21.75" hidden="false" customHeight="true" outlineLevel="0" collapsed="false">
      <c r="B31" s="19" t="n">
        <v>18</v>
      </c>
      <c r="C31" s="32"/>
      <c r="D31" s="33"/>
      <c r="E31" s="33"/>
      <c r="F31" s="20" t="str">
        <f aca="false">IF(OR(E31="",$D$7=""),"",$D$7+SUM($E$14:E30)/1440)</f>
        <v/>
      </c>
      <c r="G31" s="33"/>
      <c r="H31" s="33"/>
      <c r="I31" s="33"/>
      <c r="J31" s="32"/>
      <c r="K31" s="33"/>
      <c r="L31" s="33"/>
      <c r="M31" s="21" t="str">
        <f aca="false">IF(D31="","",IFERROR(VLOOKUP(D31,Referência!$B$6:$D$16,2,FALSE())&amp;", "&amp;VLOOKUP(D31,Referência!$B$6:$D$16,3,FALSE()),""))</f>
        <v/>
      </c>
      <c r="N31" s="22" t="str">
        <f aca="false">IF(AND(C31="",G31=""),"",IF(E31="","Informe a duração",IF(G31="","Defina a fonte principal",IF(AND(OR(G31="Mídia",G31="Vinheta"),L31=""),"Defina o áudio da mídia",IF(OR(AND(H31&lt;&gt;"",H31=G31),AND(I31&lt;&gt;"",I31=G31),AND(H31&lt;&gt;"",H31=I31)),"Alternativa repetida",IF(AND(H31="",I31="",E31&gt;$L$4),"Sem alternativa",IF(IFERROR(INDEX($G$38:$G$43,MATCH(G31,$C$38:$C$43,0))="",FALSE()),"Câmera sem operador",IF(OR(IFERROR(INDEX($G$38:$G$43,MATCH(H31,$C$38:$C$43,0))="",FALSE()),IFERROR(INDEX($G$38:$G$43,MATCH(I31,$C$38:$C$43,0))="",FALSE())),"Alternativa sem operador","OK"))))))))</f>
        <v/>
      </c>
      <c r="O31" s="32"/>
    </row>
    <row r="32" customFormat="false" ht="21.75" hidden="false" customHeight="true" outlineLevel="0" collapsed="false">
      <c r="B32" s="19" t="n">
        <v>19</v>
      </c>
      <c r="C32" s="32"/>
      <c r="D32" s="33"/>
      <c r="E32" s="33"/>
      <c r="F32" s="20" t="str">
        <f aca="false">IF(OR(E32="",$D$7=""),"",$D$7+SUM($E$14:E31)/1440)</f>
        <v/>
      </c>
      <c r="G32" s="33"/>
      <c r="H32" s="33"/>
      <c r="I32" s="33"/>
      <c r="J32" s="32"/>
      <c r="K32" s="33"/>
      <c r="L32" s="33"/>
      <c r="M32" s="21" t="str">
        <f aca="false">IF(D32="","",IFERROR(VLOOKUP(D32,Referência!$B$6:$D$16,2,FALSE())&amp;", "&amp;VLOOKUP(D32,Referência!$B$6:$D$16,3,FALSE()),""))</f>
        <v/>
      </c>
      <c r="N32" s="22" t="str">
        <f aca="false">IF(AND(C32="",G32=""),"",IF(E32="","Informe a duração",IF(G32="","Defina a fonte principal",IF(AND(OR(G32="Mídia",G32="Vinheta"),L32=""),"Defina o áudio da mídia",IF(OR(AND(H32&lt;&gt;"",H32=G32),AND(I32&lt;&gt;"",I32=G32),AND(H32&lt;&gt;"",H32=I32)),"Alternativa repetida",IF(AND(H32="",I32="",E32&gt;$L$4),"Sem alternativa",IF(IFERROR(INDEX($G$38:$G$43,MATCH(G32,$C$38:$C$43,0))="",FALSE()),"Câmera sem operador",IF(OR(IFERROR(INDEX($G$38:$G$43,MATCH(H32,$C$38:$C$43,0))="",FALSE()),IFERROR(INDEX($G$38:$G$43,MATCH(I32,$C$38:$C$43,0))="",FALSE())),"Alternativa sem operador","OK"))))))))</f>
        <v/>
      </c>
      <c r="O32" s="32"/>
    </row>
    <row r="33" customFormat="false" ht="21.75" hidden="false" customHeight="true" outlineLevel="0" collapsed="false">
      <c r="B33" s="19" t="n">
        <v>20</v>
      </c>
      <c r="C33" s="32"/>
      <c r="D33" s="33"/>
      <c r="E33" s="33"/>
      <c r="F33" s="20" t="str">
        <f aca="false">IF(OR(E33="",$D$7=""),"",$D$7+SUM($E$14:E32)/1440)</f>
        <v/>
      </c>
      <c r="G33" s="33"/>
      <c r="H33" s="33"/>
      <c r="I33" s="33"/>
      <c r="J33" s="32"/>
      <c r="K33" s="33"/>
      <c r="L33" s="33"/>
      <c r="M33" s="21" t="str">
        <f aca="false">IF(D33="","",IFERROR(VLOOKUP(D33,Referência!$B$6:$D$16,2,FALSE())&amp;", "&amp;VLOOKUP(D33,Referência!$B$6:$D$16,3,FALSE()),""))</f>
        <v/>
      </c>
      <c r="N33" s="22" t="str">
        <f aca="false">IF(AND(C33="",G33=""),"",IF(E33="","Informe a duração",IF(G33="","Defina a fonte principal",IF(AND(OR(G33="Mídia",G33="Vinheta"),L33=""),"Defina o áudio da mídia",IF(OR(AND(H33&lt;&gt;"",H33=G33),AND(I33&lt;&gt;"",I33=G33),AND(H33&lt;&gt;"",H33=I33)),"Alternativa repetida",IF(AND(H33="",I33="",E33&gt;$L$4),"Sem alternativa",IF(IFERROR(INDEX($G$38:$G$43,MATCH(G33,$C$38:$C$43,0))="",FALSE()),"Câmera sem operador",IF(OR(IFERROR(INDEX($G$38:$G$43,MATCH(H33,$C$38:$C$43,0))="",FALSE()),IFERROR(INDEX($G$38:$G$43,MATCH(I33,$C$38:$C$43,0))="",FALSE())),"Alternativa sem operador","OK"))))))))</f>
        <v/>
      </c>
      <c r="O33" s="32"/>
    </row>
    <row r="35" customFormat="false" ht="21.75" hidden="false" customHeight="true" outlineLevel="0" collapsed="false">
      <c r="B35" s="14" t="s">
        <v>104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customFormat="false" ht="30" hidden="false" customHeight="true" outlineLevel="0" collapsed="false">
      <c r="B36" s="15" t="s">
        <v>74</v>
      </c>
      <c r="C36" s="15" t="s">
        <v>105</v>
      </c>
      <c r="D36" s="15" t="s">
        <v>106</v>
      </c>
      <c r="E36" s="15" t="s">
        <v>107</v>
      </c>
      <c r="F36" s="15"/>
      <c r="G36" s="15" t="s">
        <v>108</v>
      </c>
      <c r="H36" s="23" t="s">
        <v>109</v>
      </c>
      <c r="I36" s="23" t="s">
        <v>110</v>
      </c>
      <c r="J36" s="23" t="s">
        <v>111</v>
      </c>
      <c r="K36" s="16" t="s">
        <v>112</v>
      </c>
      <c r="L36" s="16" t="s">
        <v>113</v>
      </c>
      <c r="M36" s="16" t="s">
        <v>114</v>
      </c>
      <c r="N36" s="16" t="s">
        <v>115</v>
      </c>
      <c r="O36" s="16" t="s">
        <v>116</v>
      </c>
    </row>
    <row r="37" customFormat="false" ht="21.75" hidden="false" customHeight="true" outlineLevel="0" collapsed="false">
      <c r="B37" s="18"/>
      <c r="C37" s="18"/>
      <c r="D37" s="18" t="s">
        <v>117</v>
      </c>
      <c r="E37" s="18" t="s">
        <v>118</v>
      </c>
      <c r="F37" s="18"/>
      <c r="G37" s="18" t="s">
        <v>119</v>
      </c>
      <c r="H37" s="18" t="s">
        <v>91</v>
      </c>
      <c r="I37" s="18" t="s">
        <v>120</v>
      </c>
      <c r="J37" s="18" t="s">
        <v>121</v>
      </c>
      <c r="K37" s="18" t="s">
        <v>88</v>
      </c>
      <c r="L37" s="18"/>
      <c r="M37" s="18" t="s">
        <v>122</v>
      </c>
      <c r="N37" s="18"/>
      <c r="O37" s="18"/>
    </row>
    <row r="38" customFormat="false" ht="21.75" hidden="false" customHeight="true" outlineLevel="0" collapsed="false">
      <c r="B38" s="19" t="n">
        <v>1</v>
      </c>
      <c r="C38" s="4" t="s">
        <v>98</v>
      </c>
      <c r="D38" s="32" t="s">
        <v>382</v>
      </c>
      <c r="E38" s="32" t="s">
        <v>383</v>
      </c>
      <c r="F38" s="32"/>
      <c r="G38" s="32" t="s">
        <v>384</v>
      </c>
      <c r="H38" s="33" t="s">
        <v>157</v>
      </c>
      <c r="I38" s="33" t="n">
        <v>50</v>
      </c>
      <c r="J38" s="33" t="n">
        <v>64</v>
      </c>
      <c r="K38" s="8" t="n">
        <f aca="false">IF(SUM($E$14:$E$33)=0,"",SUMIF($G$14:$G$33,C38,$E$14:$E$33))</f>
        <v>8</v>
      </c>
      <c r="L38" s="24" t="n">
        <f aca="false">IF(K38="","",K38/SUM($E$14:$E$33))</f>
        <v>0.0952380952380952</v>
      </c>
      <c r="M38" s="25" t="n">
        <f aca="false">IF(OR(H38&lt;&gt;"Sim",I38="",SUM($E$14:$E$33)=0),"",ROUND(I38*(SUM($E$14:$E$33)+$L$5)*60/8/1000,1))</f>
        <v>42.8</v>
      </c>
      <c r="N38" s="26" t="str">
        <f aca="false">IF(H38&lt;&gt;"Sim","",IF(OR(I38="",J38=""),"Informe taxa e espaço",IF(M38="","",IF(M38&gt;J38,"Falta espaço","OK"))))</f>
        <v>OK</v>
      </c>
      <c r="O38" s="22" t="str">
        <f aca="false">IF(COUNTIF($G$14:$I$33,C38)=0,"",IF(G38="","Em uso sem operador",IF(AND(L38&lt;&gt;"",L38&gt;$L$6),"Concentrada: combine plano B","OK")))</f>
        <v>OK</v>
      </c>
    </row>
    <row r="39" customFormat="false" ht="21.75" hidden="false" customHeight="true" outlineLevel="0" collapsed="false">
      <c r="B39" s="19" t="n">
        <v>2</v>
      </c>
      <c r="C39" s="4" t="s">
        <v>97</v>
      </c>
      <c r="D39" s="32" t="s">
        <v>156</v>
      </c>
      <c r="E39" s="32" t="s">
        <v>385</v>
      </c>
      <c r="F39" s="32"/>
      <c r="G39" s="32" t="s">
        <v>155</v>
      </c>
      <c r="H39" s="33" t="s">
        <v>157</v>
      </c>
      <c r="I39" s="33" t="n">
        <v>50</v>
      </c>
      <c r="J39" s="33" t="n">
        <v>32</v>
      </c>
      <c r="K39" s="8" t="n">
        <f aca="false">IF(SUM($E$14:$E$33)=0,"",SUMIF($G$14:$G$33,C39,$E$14:$E$33))</f>
        <v>65</v>
      </c>
      <c r="L39" s="24" t="n">
        <f aca="false">IF(K39="","",K39/SUM($E$14:$E$33))</f>
        <v>0.773809523809524</v>
      </c>
      <c r="M39" s="25" t="n">
        <f aca="false">IF(OR(H39&lt;&gt;"Sim",I39="",SUM($E$14:$E$33)=0),"",ROUND(I39*(SUM($E$14:$E$33)+$L$5)*60/8/1000,1))</f>
        <v>42.8</v>
      </c>
      <c r="N39" s="26" t="str">
        <f aca="false">IF(H39&lt;&gt;"Sim","",IF(OR(I39="",J39=""),"Informe taxa e espaço",IF(M39="","",IF(M39&gt;J39,"Falta espaço","OK"))))</f>
        <v>Falta espaço</v>
      </c>
      <c r="O39" s="22" t="str">
        <f aca="false">IF(COUNTIF($G$14:$I$33,C39)=0,"",IF(G39="","Em uso sem operador",IF(AND(L39&lt;&gt;"",L39&gt;$L$6),"Concentrada: combine plano B","OK")))</f>
        <v>Concentrada: combine plano B</v>
      </c>
    </row>
    <row r="40" customFormat="false" ht="21.75" hidden="false" customHeight="true" outlineLevel="0" collapsed="false">
      <c r="B40" s="19" t="n">
        <v>3</v>
      </c>
      <c r="C40" s="4" t="s">
        <v>99</v>
      </c>
      <c r="D40" s="32" t="s">
        <v>386</v>
      </c>
      <c r="E40" s="32" t="s">
        <v>387</v>
      </c>
      <c r="F40" s="32"/>
      <c r="G40" s="32" t="s">
        <v>388</v>
      </c>
      <c r="H40" s="33" t="s">
        <v>389</v>
      </c>
      <c r="I40" s="33"/>
      <c r="J40" s="33"/>
      <c r="K40" s="8" t="n">
        <f aca="false">IF(SUM($E$14:$E$33)=0,"",SUMIF($G$14:$G$33,C40,$E$14:$E$33))</f>
        <v>2</v>
      </c>
      <c r="L40" s="24" t="n">
        <f aca="false">IF(K40="","",K40/SUM($E$14:$E$33))</f>
        <v>0.0238095238095238</v>
      </c>
      <c r="M40" s="25" t="str">
        <f aca="false">IF(OR(H40&lt;&gt;"Sim",I40="",SUM($E$14:$E$33)=0),"",ROUND(I40*(SUM($E$14:$E$33)+$L$5)*60/8/1000,1))</f>
        <v/>
      </c>
      <c r="N40" s="26" t="str">
        <f aca="false">IF(H40&lt;&gt;"Sim","",IF(OR(I40="",J40=""),"Informe taxa e espaço",IF(M40="","",IF(M40&gt;J40,"Falta espaço","OK"))))</f>
        <v/>
      </c>
      <c r="O40" s="22" t="str">
        <f aca="false">IF(COUNTIF($G$14:$I$33,C40)=0,"",IF(G40="","Em uso sem operador",IF(AND(L40&lt;&gt;"",L40&gt;$L$6),"Concentrada: combine plano B","OK")))</f>
        <v>OK</v>
      </c>
    </row>
    <row r="41" customFormat="false" ht="21.75" hidden="false" customHeight="true" outlineLevel="0" collapsed="false">
      <c r="B41" s="19" t="n">
        <v>4</v>
      </c>
      <c r="C41" s="4" t="s">
        <v>123</v>
      </c>
      <c r="D41" s="32" t="s">
        <v>390</v>
      </c>
      <c r="E41" s="32" t="s">
        <v>391</v>
      </c>
      <c r="F41" s="32"/>
      <c r="G41" s="32"/>
      <c r="H41" s="33" t="s">
        <v>389</v>
      </c>
      <c r="I41" s="33"/>
      <c r="J41" s="33"/>
      <c r="K41" s="8" t="n">
        <f aca="false">IF(SUM($E$14:$E$33)=0,"",SUMIF($G$14:$G$33,C41,$E$14:$E$33))</f>
        <v>5</v>
      </c>
      <c r="L41" s="24" t="n">
        <f aca="false">IF(K41="","",K41/SUM($E$14:$E$33))</f>
        <v>0.0595238095238095</v>
      </c>
      <c r="M41" s="25" t="str">
        <f aca="false">IF(OR(H41&lt;&gt;"Sim",I41="",SUM($E$14:$E$33)=0),"",ROUND(I41*(SUM($E$14:$E$33)+$L$5)*60/8/1000,1))</f>
        <v/>
      </c>
      <c r="N41" s="26" t="str">
        <f aca="false">IF(H41&lt;&gt;"Sim","",IF(OR(I41="",J41=""),"Informe taxa e espaço",IF(M41="","",IF(M41&gt;J41,"Falta espaço","OK"))))</f>
        <v/>
      </c>
      <c r="O41" s="22" t="str">
        <f aca="false">IF(COUNTIF($G$14:$I$33,C41)=0,"",IF(G41="","Em uso sem operador",IF(AND(L41&lt;&gt;"",L41&gt;$L$6),"Concentrada: combine plano B","OK")))</f>
        <v>Em uso sem operador</v>
      </c>
    </row>
    <row r="42" customFormat="false" ht="21.75" hidden="false" customHeight="true" outlineLevel="0" collapsed="false">
      <c r="B42" s="19" t="n">
        <v>5</v>
      </c>
      <c r="C42" s="4" t="s">
        <v>124</v>
      </c>
      <c r="D42" s="32"/>
      <c r="E42" s="32"/>
      <c r="F42" s="32"/>
      <c r="G42" s="32"/>
      <c r="H42" s="33"/>
      <c r="I42" s="33"/>
      <c r="J42" s="33"/>
      <c r="K42" s="8" t="n">
        <f aca="false">IF(SUM($E$14:$E$33)=0,"",SUMIF($G$14:$G$33,C42,$E$14:$E$33))</f>
        <v>0</v>
      </c>
      <c r="L42" s="24" t="n">
        <f aca="false">IF(K42="","",K42/SUM($E$14:$E$33))</f>
        <v>0</v>
      </c>
      <c r="M42" s="25" t="str">
        <f aca="false">IF(OR(H42&lt;&gt;"Sim",I42="",SUM($E$14:$E$33)=0),"",ROUND(I42*(SUM($E$14:$E$33)+$L$5)*60/8/1000,1))</f>
        <v/>
      </c>
      <c r="N42" s="26" t="str">
        <f aca="false">IF(H42&lt;&gt;"Sim","",IF(OR(I42="",J42=""),"Informe taxa e espaço",IF(M42="","",IF(M42&gt;J42,"Falta espaço","OK"))))</f>
        <v/>
      </c>
      <c r="O42" s="22" t="str">
        <f aca="false">IF(COUNTIF($G$14:$I$33,C42)=0,"",IF(G42="","Em uso sem operador",IF(AND(L42&lt;&gt;"",L42&gt;$L$6),"Concentrada: combine plano B","OK")))</f>
        <v/>
      </c>
    </row>
    <row r="43" customFormat="false" ht="21.75" hidden="false" customHeight="true" outlineLevel="0" collapsed="false">
      <c r="B43" s="19" t="n">
        <v>6</v>
      </c>
      <c r="C43" s="4" t="s">
        <v>125</v>
      </c>
      <c r="D43" s="32"/>
      <c r="E43" s="32"/>
      <c r="F43" s="32"/>
      <c r="G43" s="32"/>
      <c r="H43" s="33"/>
      <c r="I43" s="33"/>
      <c r="J43" s="33"/>
      <c r="K43" s="8" t="n">
        <f aca="false">IF(SUM($E$14:$E$33)=0,"",SUMIF($G$14:$G$33,C43,$E$14:$E$33))</f>
        <v>0</v>
      </c>
      <c r="L43" s="24" t="n">
        <f aca="false">IF(K43="","",K43/SUM($E$14:$E$33))</f>
        <v>0</v>
      </c>
      <c r="M43" s="25" t="str">
        <f aca="false">IF(OR(H43&lt;&gt;"Sim",I43="",SUM($E$14:$E$33)=0),"",ROUND(I43*(SUM($E$14:$E$33)+$L$5)*60/8/1000,1))</f>
        <v/>
      </c>
      <c r="N43" s="26" t="str">
        <f aca="false">IF(H43&lt;&gt;"Sim","",IF(OR(I43="",J43=""),"Informe taxa e espaço",IF(M43="","",IF(M43&gt;J43,"Falta espaço","OK"))))</f>
        <v/>
      </c>
      <c r="O43" s="22" t="str">
        <f aca="false">IF(COUNTIF($G$14:$I$33,C43)=0,"",IF(G43="","Em uso sem operador",IF(AND(L43&lt;&gt;"",L43&gt;$L$6),"Concentrada: combine plano B","OK")))</f>
        <v/>
      </c>
    </row>
    <row r="44" customFormat="false" ht="21.75" hidden="false" customHeight="true" outlineLevel="0" collapsed="false">
      <c r="B44" s="19" t="n">
        <v>7</v>
      </c>
      <c r="C44" s="4" t="s">
        <v>126</v>
      </c>
      <c r="D44" s="32" t="s">
        <v>392</v>
      </c>
      <c r="E44" s="18" t="s">
        <v>127</v>
      </c>
      <c r="F44" s="18"/>
      <c r="G44" s="18" t="s">
        <v>127</v>
      </c>
      <c r="H44" s="33" t="s">
        <v>157</v>
      </c>
      <c r="I44" s="33" t="n">
        <v>20</v>
      </c>
      <c r="J44" s="33" t="n">
        <v>256</v>
      </c>
      <c r="K44" s="18" t="s">
        <v>127</v>
      </c>
      <c r="L44" s="18" t="s">
        <v>127</v>
      </c>
      <c r="M44" s="25" t="n">
        <f aca="false">IF(OR(H44&lt;&gt;"Sim",I44="",SUM($E$14:$E$33)=0),"",ROUND(I44*(SUM($E$14:$E$33)+$L$5)*60/8/1000,1))</f>
        <v>17.1</v>
      </c>
      <c r="N44" s="26" t="str">
        <f aca="false">IF(H44&lt;&gt;"Sim","",IF(OR(I44="",J44=""),"Informe taxa e espaço",IF(M44="","",IF(M44&gt;J44,"Falta espaço","OK"))))</f>
        <v>OK</v>
      </c>
      <c r="O44" s="18" t="s">
        <v>127</v>
      </c>
    </row>
    <row r="45" customFormat="false" ht="21.75" hidden="false" customHeight="true" outlineLevel="0" collapsed="false">
      <c r="B45" s="19" t="n">
        <v>8</v>
      </c>
      <c r="C45" s="4" t="s">
        <v>128</v>
      </c>
      <c r="D45" s="32"/>
      <c r="E45" s="18" t="s">
        <v>127</v>
      </c>
      <c r="F45" s="18"/>
      <c r="G45" s="18" t="s">
        <v>127</v>
      </c>
      <c r="H45" s="33" t="s">
        <v>389</v>
      </c>
      <c r="I45" s="33"/>
      <c r="J45" s="33"/>
      <c r="K45" s="18" t="s">
        <v>127</v>
      </c>
      <c r="L45" s="18" t="s">
        <v>127</v>
      </c>
      <c r="M45" s="25" t="str">
        <f aca="false">IF(OR(H45&lt;&gt;"Sim",I45="",SUM($E$14:$E$33)=0),"",ROUND(I45*(SUM($E$14:$E$33)+$L$5)*60/8/1000,1))</f>
        <v/>
      </c>
      <c r="N45" s="26" t="str">
        <f aca="false">IF(H45&lt;&gt;"Sim","",IF(OR(I45="",J45=""),"Informe taxa e espaço",IF(M45="","",IF(M45&gt;J45,"Falta espaço","OK"))))</f>
        <v/>
      </c>
      <c r="O45" s="18" t="s">
        <v>127</v>
      </c>
    </row>
    <row r="47" customFormat="false" ht="21.75" hidden="false" customHeight="true" outlineLevel="0" collapsed="false">
      <c r="B47" s="14" t="s">
        <v>129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customFormat="false" ht="19.5" hidden="false" customHeight="true" outlineLevel="0" collapsed="false">
      <c r="B48" s="27" t="s">
        <v>130</v>
      </c>
      <c r="C48" s="27"/>
      <c r="D48" s="27"/>
      <c r="E48" s="27"/>
      <c r="F48" s="27"/>
      <c r="G48" s="26" t="n">
        <f aca="false">COUNTA(C14:C33)</f>
        <v>9</v>
      </c>
      <c r="H48" s="26"/>
    </row>
    <row r="49" customFormat="false" ht="19.5" hidden="false" customHeight="true" outlineLevel="0" collapsed="false">
      <c r="B49" s="27" t="s">
        <v>131</v>
      </c>
      <c r="C49" s="27"/>
      <c r="D49" s="27"/>
      <c r="E49" s="27"/>
      <c r="F49" s="27"/>
      <c r="G49" s="26" t="n">
        <f aca="false">SUM($E$14:$E$33)</f>
        <v>84</v>
      </c>
      <c r="H49" s="26"/>
    </row>
    <row r="50" customFormat="false" ht="19.5" hidden="false" customHeight="true" outlineLevel="0" collapsed="false">
      <c r="B50" s="27" t="s">
        <v>132</v>
      </c>
      <c r="C50" s="27"/>
      <c r="D50" s="27"/>
      <c r="E50" s="27"/>
      <c r="F50" s="27"/>
      <c r="G50" s="20" t="n">
        <f aca="false">IF(OR($D$7="",SUM($E$14:$E$33)=0),"",$D$7+SUM($E$14:$E$33)/1440)</f>
        <v>0.85</v>
      </c>
      <c r="H50" s="20"/>
    </row>
    <row r="51" customFormat="false" ht="19.5" hidden="false" customHeight="true" outlineLevel="0" collapsed="false">
      <c r="B51" s="27" t="s">
        <v>133</v>
      </c>
      <c r="C51" s="27"/>
      <c r="D51" s="27"/>
      <c r="E51" s="27"/>
      <c r="F51" s="27"/>
      <c r="G51" s="26" t="n">
        <f aca="false">COUNTIF(N14:N33,"OK")</f>
        <v>5</v>
      </c>
      <c r="H51" s="26"/>
    </row>
    <row r="52" customFormat="false" ht="19.5" hidden="false" customHeight="true" outlineLevel="0" collapsed="false">
      <c r="B52" s="27" t="s">
        <v>134</v>
      </c>
      <c r="C52" s="27"/>
      <c r="D52" s="27"/>
      <c r="E52" s="27"/>
      <c r="F52" s="27"/>
      <c r="G52" s="26" t="n">
        <f aca="false">COUNTIF(N14:N33,"Informe a duração")+COUNTIF(N14:N33,"Defina a fonte principal")+COUNTIF(N14:N33,"Defina o áudio da mídia")+COUNTIF(N14:N33,"Alternativa repetida")+COUNTIF(N14:N33,"Sem alternativa")+COUNTIF(N14:N33,"Câmera sem operador")+COUNTIF(N14:N33,"Alternativa sem operador")</f>
        <v>4</v>
      </c>
      <c r="H52" s="26"/>
    </row>
    <row r="53" customFormat="false" ht="19.5" hidden="false" customHeight="true" outlineLevel="0" collapsed="false">
      <c r="B53" s="27" t="s">
        <v>135</v>
      </c>
      <c r="C53" s="27"/>
      <c r="D53" s="27"/>
      <c r="E53" s="27"/>
      <c r="F53" s="27"/>
      <c r="G53" s="26" t="str">
        <f aca="false">IF(COUNT(K38:K43)=0,"",IF(MAX(K38:K43)=0,"",INDEX(C38:C43,MATCH(MAX(K38:K43),K38:K43,0))))</f>
        <v>Câmera 2</v>
      </c>
      <c r="H53" s="26"/>
    </row>
    <row r="54" customFormat="false" ht="19.5" hidden="false" customHeight="true" outlineLevel="0" collapsed="false">
      <c r="B54" s="27" t="s">
        <v>136</v>
      </c>
      <c r="C54" s="27"/>
      <c r="D54" s="27"/>
      <c r="E54" s="27"/>
      <c r="F54" s="27"/>
      <c r="G54" s="24" t="n">
        <f aca="false">IF(COUNT(L38:L43)=0,"",MAX(L38:L43))</f>
        <v>0.773809523809524</v>
      </c>
      <c r="H54" s="24"/>
    </row>
    <row r="55" customFormat="false" ht="19.5" hidden="false" customHeight="true" outlineLevel="0" collapsed="false">
      <c r="B55" s="27" t="s">
        <v>137</v>
      </c>
      <c r="C55" s="27"/>
      <c r="D55" s="27"/>
      <c r="E55" s="27"/>
      <c r="F55" s="27"/>
      <c r="G55" s="26" t="n">
        <f aca="false">COUNTIF(N38:N45,"Falta espaço")</f>
        <v>1</v>
      </c>
      <c r="H55" s="26"/>
    </row>
    <row r="56" customFormat="false" ht="19.5" hidden="false" customHeight="true" outlineLevel="0" collapsed="false">
      <c r="B56" s="27" t="s">
        <v>138</v>
      </c>
      <c r="C56" s="27"/>
      <c r="D56" s="27"/>
      <c r="E56" s="27"/>
      <c r="F56" s="27"/>
      <c r="G56" s="26" t="n">
        <f aca="false">COUNTIF(O38:O43,"Em uso sem operador")</f>
        <v>1</v>
      </c>
      <c r="H56" s="26"/>
    </row>
    <row r="57" customFormat="false" ht="21.75" hidden="false" customHeight="true" outlineLevel="0" collapsed="false">
      <c r="B57" s="27" t="s">
        <v>139</v>
      </c>
      <c r="C57" s="27"/>
      <c r="D57" s="27"/>
      <c r="E57" s="27"/>
      <c r="F57" s="27"/>
      <c r="G57" s="22" t="str">
        <f aca="false">IF(G48=0,"Liste os momentos do evento",IF($D$7="","Informe a hora de início",IF(G52&gt;0,"Há momentos com pendência: veja a coluna Pendência",IF(G55&gt;0,"Há gravação sem espaço suficiente: troque o cartão ou baixe a taxa",IF(G56&gt;0,"Há câmera no roteiro sem operador",IF(AND(G54&lt;&gt;"",G54&gt;$L$6),"OK, mas uma câmera concentra o programa: combine um plano B","OK"))))))</f>
        <v>Há momentos com pendência: veja a coluna Pendência</v>
      </c>
      <c r="H57" s="22"/>
      <c r="I57" s="22"/>
      <c r="J57" s="22"/>
      <c r="K57" s="22"/>
      <c r="L57" s="22"/>
      <c r="M57" s="22"/>
      <c r="N57" s="22"/>
      <c r="O57" s="22"/>
    </row>
    <row r="59" customFormat="false" ht="21.75" hidden="false" customHeight="true" outlineLevel="0" collapsed="false">
      <c r="B59" s="14" t="s">
        <v>393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customFormat="false" ht="21.75" hidden="false" customHeight="true" outlineLevel="0" collapsed="false">
      <c r="B60" s="26" t="s">
        <v>394</v>
      </c>
      <c r="C60" s="26"/>
      <c r="D60" s="8" t="s">
        <v>395</v>
      </c>
      <c r="E60" s="8"/>
      <c r="F60" s="8"/>
      <c r="G60" s="8"/>
      <c r="H60" s="8"/>
      <c r="I60" s="8" t="s">
        <v>396</v>
      </c>
      <c r="J60" s="8"/>
      <c r="K60" s="8"/>
      <c r="L60" s="8"/>
      <c r="M60" s="8"/>
      <c r="N60" s="8"/>
      <c r="O60" s="8"/>
    </row>
    <row r="61" customFormat="false" ht="21.75" hidden="false" customHeight="true" outlineLevel="0" collapsed="false">
      <c r="B61" s="4" t="s">
        <v>214</v>
      </c>
      <c r="C61" s="4"/>
      <c r="D61" s="7" t="s">
        <v>397</v>
      </c>
      <c r="E61" s="7"/>
      <c r="F61" s="7"/>
      <c r="G61" s="7"/>
      <c r="H61" s="7"/>
      <c r="I61" s="7" t="s">
        <v>398</v>
      </c>
      <c r="J61" s="7"/>
      <c r="K61" s="7"/>
      <c r="L61" s="7"/>
      <c r="M61" s="7"/>
      <c r="N61" s="7"/>
      <c r="O61" s="7"/>
    </row>
    <row r="62" customFormat="false" ht="21.75" hidden="false" customHeight="true" outlineLevel="0" collapsed="false">
      <c r="B62" s="4" t="s">
        <v>374</v>
      </c>
      <c r="C62" s="4"/>
      <c r="D62" s="7" t="s">
        <v>399</v>
      </c>
      <c r="E62" s="7"/>
      <c r="F62" s="7"/>
      <c r="G62" s="7"/>
      <c r="H62" s="7"/>
      <c r="I62" s="7" t="s">
        <v>400</v>
      </c>
      <c r="J62" s="7"/>
      <c r="K62" s="7"/>
      <c r="L62" s="7"/>
      <c r="M62" s="7"/>
      <c r="N62" s="7"/>
      <c r="O62" s="7"/>
    </row>
    <row r="63" customFormat="false" ht="21.75" hidden="false" customHeight="true" outlineLevel="0" collapsed="false">
      <c r="B63" s="4" t="s">
        <v>95</v>
      </c>
      <c r="C63" s="4"/>
      <c r="D63" s="7" t="s">
        <v>50</v>
      </c>
      <c r="E63" s="7"/>
      <c r="F63" s="7"/>
      <c r="G63" s="7"/>
      <c r="H63" s="7"/>
      <c r="I63" s="7" t="s">
        <v>401</v>
      </c>
      <c r="J63" s="7"/>
      <c r="K63" s="7"/>
      <c r="L63" s="7"/>
      <c r="M63" s="7"/>
      <c r="N63" s="7"/>
      <c r="O63" s="7"/>
    </row>
    <row r="64" customFormat="false" ht="21.75" hidden="false" customHeight="true" outlineLevel="0" collapsed="false">
      <c r="B64" s="4" t="s">
        <v>378</v>
      </c>
      <c r="C64" s="4"/>
      <c r="D64" s="7" t="s">
        <v>402</v>
      </c>
      <c r="E64" s="7"/>
      <c r="F64" s="7"/>
      <c r="G64" s="7"/>
      <c r="H64" s="7"/>
      <c r="I64" s="7" t="s">
        <v>403</v>
      </c>
      <c r="J64" s="7"/>
      <c r="K64" s="7"/>
      <c r="L64" s="7"/>
      <c r="M64" s="7"/>
      <c r="N64" s="7"/>
      <c r="O64" s="7"/>
    </row>
    <row r="65" customFormat="false" ht="21.75" hidden="false" customHeight="true" outlineLevel="0" collapsed="false">
      <c r="B65" s="4" t="s">
        <v>97</v>
      </c>
      <c r="C65" s="4"/>
      <c r="D65" s="7" t="s">
        <v>404</v>
      </c>
      <c r="E65" s="7"/>
      <c r="F65" s="7"/>
      <c r="G65" s="7"/>
      <c r="H65" s="7"/>
      <c r="I65" s="7" t="s">
        <v>405</v>
      </c>
      <c r="J65" s="7"/>
      <c r="K65" s="7"/>
      <c r="L65" s="7"/>
      <c r="M65" s="7"/>
      <c r="N65" s="7"/>
      <c r="O65" s="7"/>
    </row>
    <row r="66" customFormat="false" ht="21.75" hidden="false" customHeight="true" outlineLevel="0" collapsed="false">
      <c r="B66" s="4" t="s">
        <v>97</v>
      </c>
      <c r="C66" s="4"/>
      <c r="D66" s="7" t="s">
        <v>406</v>
      </c>
      <c r="E66" s="7"/>
      <c r="F66" s="7"/>
      <c r="G66" s="7"/>
      <c r="H66" s="7"/>
      <c r="I66" s="7" t="s">
        <v>407</v>
      </c>
      <c r="J66" s="7"/>
      <c r="K66" s="7"/>
      <c r="L66" s="7"/>
      <c r="M66" s="7"/>
      <c r="N66" s="7"/>
      <c r="O66" s="7"/>
    </row>
  </sheetData>
  <mergeCells count="76">
    <mergeCell ref="B1:O1"/>
    <mergeCell ref="B2:O2"/>
    <mergeCell ref="B4:C4"/>
    <mergeCell ref="D4:H4"/>
    <mergeCell ref="I4:K4"/>
    <mergeCell ref="M4:O4"/>
    <mergeCell ref="B5:C5"/>
    <mergeCell ref="D5:H5"/>
    <mergeCell ref="I5:K5"/>
    <mergeCell ref="M5:O5"/>
    <mergeCell ref="B6:C6"/>
    <mergeCell ref="D6:H6"/>
    <mergeCell ref="I6:K6"/>
    <mergeCell ref="M6:O6"/>
    <mergeCell ref="B7:C7"/>
    <mergeCell ref="D7:H7"/>
    <mergeCell ref="I7:O7"/>
    <mergeCell ref="B8:C8"/>
    <mergeCell ref="D8:H8"/>
    <mergeCell ref="I8:O8"/>
    <mergeCell ref="B10:O10"/>
    <mergeCell ref="B13:O13"/>
    <mergeCell ref="B35:O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B47:O47"/>
    <mergeCell ref="B48:F48"/>
    <mergeCell ref="G48:H48"/>
    <mergeCell ref="B49:F49"/>
    <mergeCell ref="G49:H49"/>
    <mergeCell ref="B50:F50"/>
    <mergeCell ref="G50:H50"/>
    <mergeCell ref="B51:F51"/>
    <mergeCell ref="G51:H51"/>
    <mergeCell ref="B52:F52"/>
    <mergeCell ref="G52:H52"/>
    <mergeCell ref="B53:F53"/>
    <mergeCell ref="G53:H53"/>
    <mergeCell ref="B54:F54"/>
    <mergeCell ref="G54:H54"/>
    <mergeCell ref="B55:F55"/>
    <mergeCell ref="G55:H55"/>
    <mergeCell ref="B56:F56"/>
    <mergeCell ref="G56:H56"/>
    <mergeCell ref="B57:F57"/>
    <mergeCell ref="G57:O57"/>
    <mergeCell ref="B59:O59"/>
    <mergeCell ref="B60:C60"/>
    <mergeCell ref="D60:H60"/>
    <mergeCell ref="I60:O60"/>
    <mergeCell ref="B61:C61"/>
    <mergeCell ref="D61:H61"/>
    <mergeCell ref="I61:O61"/>
    <mergeCell ref="B62:C62"/>
    <mergeCell ref="D62:H62"/>
    <mergeCell ref="I62:O62"/>
    <mergeCell ref="B63:C63"/>
    <mergeCell ref="D63:H63"/>
    <mergeCell ref="I63:O63"/>
    <mergeCell ref="B64:C64"/>
    <mergeCell ref="D64:H64"/>
    <mergeCell ref="I64:O64"/>
    <mergeCell ref="B65:C65"/>
    <mergeCell ref="D65:H65"/>
    <mergeCell ref="I65:O65"/>
    <mergeCell ref="B66:C66"/>
    <mergeCell ref="D66:H66"/>
    <mergeCell ref="I66:O66"/>
  </mergeCells>
  <conditionalFormatting sqref="N14:N33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AND(LEN(N14)&gt;0,N14&lt;&gt;"OK")</formula>
    </cfRule>
  </conditionalFormatting>
  <conditionalFormatting sqref="N38:N45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AND(LEN(N38)&gt;0,N38&lt;&gt;"OK")</formula>
    </cfRule>
  </conditionalFormatting>
  <conditionalFormatting sqref="O38:O43">
    <cfRule type="cellIs" priority="6" operator="equal" aboveAverage="0" equalAverage="0" bottom="0" percent="0" rank="0" text="" dxfId="0">
      <formula>"OK"</formula>
    </cfRule>
    <cfRule type="expression" priority="7" aboveAverage="0" equalAverage="0" bottom="0" percent="0" rank="0" text="" dxfId="1">
      <formula>AND(LEN(O38)&gt;0,O38&lt;&gt;"OK")</formula>
    </cfRule>
  </conditionalFormatting>
  <conditionalFormatting sqref="G57:O57">
    <cfRule type="cellIs" priority="8" operator="equal" aboveAverage="0" equalAverage="0" bottom="0" percent="0" rank="0" text="" dxfId="0">
      <formula>"OK"</formula>
    </cfRule>
    <cfRule type="cellIs" priority="9" operator="notEqual" aboveAverage="0" equalAverage="0" bottom="0" percent="0" rank="0" text="" dxfId="1">
      <formula>"OK"</formula>
    </cfRule>
  </conditionalFormatting>
  <dataValidations count="9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6" type="decimal">
      <formula1>-1000000000</formula1>
      <formula2>1000000000</formula2>
    </dataValidation>
    <dataValidation allowBlank="true" error="Escolha uma das opções da lista." errorStyle="stop" errorTitle="Valor inválido" operator="between" prompt="Tipo de momento: define o ritmo sugerido." promptTitle="Opções" showDropDown="false" showErrorMessage="true" showInputMessage="true" sqref="D14:D33" type="list">
      <formula1>"Abertura,Louvor rápido,Louvor lento,Oração,Leitura,Pregação,Avisos,Mídia,Oferta ou ceia,Entrevista,Encerramento"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14:E33" type="decimal">
      <formula1>-1000000000</formula1>
      <formula2>1000000000</formula2>
    </dataValidation>
    <dataValidation allowBlank="true" error="Escolha uma das opções da lista." errorStyle="stop" errorTitle="Valor inválido" operator="between" prompt="Câmera 1 a 6, Mídia, Slides, Letras ou Vinheta." promptTitle="Opções" showDropDown="false" showErrorMessage="true" showInputMessage="true" sqref="G14:I33" type="list">
      <formula1>"Câmera 1,Câmera 2,Câmera 3,Câmera 4,Câmera 5,Câmera 6,Mídia,Slides,Letras,Vinheta"</formula1>
      <formula2>0</formula2>
    </dataValidation>
    <dataValidation allowBlank="true" error="Escolha uma das opções da lista." errorStyle="stop" errorTitle="Valor inválido" operator="between" prompt="Corte seco, Fusão, Do preto ou Para o preto." promptTitle="Opções" showDropDown="false" showErrorMessage="true" showInputMessage="true" sqref="K14:K33" type="list">
      <formula1>"Corte seco,Fusão,Do preto,Para o preto"</formula1>
      <formula2>0</formula2>
    </dataValidation>
    <dataValidation allowBlank="true" error="Escolha uma das opções da lista." errorStyle="stop" errorTitle="Valor inválido" operator="between" prompt="O vídeo tem som?" promptTitle="Opções" showDropDown="false" showErrorMessage="true" showInputMessage="true" sqref="L14:L33" type="list">
      <formula1>"Sim,Não"</formula1>
      <formula2>0</formula2>
    </dataValidation>
    <dataValidation allowBlank="true" error="Escolha uma das opções da lista." errorStyle="stop" errorTitle="Valor inválido" operator="between" prompt="Esta câmera ou este gravador vai gravar?" promptTitle="Opções" showDropDown="false" showErrorMessage="true" showInputMessage="true" sqref="H38:H45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38:J45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2026-10-01T12:59:32Z</dcterms:created>
  <dc:creator>Estudos: Técnico em áudio e vídeo</dc:creator>
  <dc:description/>
  <dc:language>pt-BR</dc:language>
  <cp:lastModifiedBy/>
  <dcterms:modified xsi:type="dcterms:W3CDTF">2026-10-01T12:59:32Z</dcterms:modified>
  <cp:revision>0</cp:revision>
  <dc:subject/>
  <dc:title>Corte ao vivo — modelo de roteiro de corte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