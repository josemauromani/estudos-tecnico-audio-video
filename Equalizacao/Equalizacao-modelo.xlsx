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Ficha de EQ" sheetId="2" state="visible" r:id="rId4"/>
    <sheet name="Faixas e sintomas" sheetId="3" state="visible" r:id="rId5"/>
    <sheet name="Guia por fonte" sheetId="4" state="visible" r:id="rId6"/>
    <sheet name="Checklist" sheetId="5" state="visible" r:id="rId7"/>
    <sheet name="Exemplo - Ficha de EQ" sheetId="6" state="visible" r:id="rId8"/>
  </sheets>
  <definedNames>
    <definedName function="false" hidden="false" localSheetId="4" name="_xlnm.Print_Area" vbProcedure="false">Checklist!$B$1:$F$20</definedName>
    <definedName function="false" hidden="false" localSheetId="5" name="_xlnm.Print_Area" vbProcedure="false">'Exemplo - Ficha de EQ'!$B$1:$AB$68</definedName>
    <definedName function="false" hidden="false" localSheetId="2" name="_xlnm.Print_Area" vbProcedure="false">'Faixas e sintomas'!$B$1:$H$45</definedName>
    <definedName function="false" hidden="false" localSheetId="1" name="_xlnm.Print_Area" vbProcedure="false">'Ficha de EQ'!$B$1:$AB$59</definedName>
    <definedName function="false" hidden="false" localSheetId="3" name="_xlnm.Print_Area" vbProcedure="false">'Guia por fonte'!$B$1:$I$17</definedName>
    <definedName function="false" hidden="false" localSheetId="0" name="_xlnm.Print_Area" vbProcedure="false">Instruções!$B$1:$C$36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11" authorId="0">
      <text>
        <r>
          <rPr>
            <sz val="10"/>
            <rFont val="Arial"/>
            <family val="2"/>
          </rPr>
          <t xml:space="preserve">Escolha na lista. O tipo define a faixa de partida do passa-altas.
Use Outra quando a fonte não estiver na lista: a conferência do passa-altas fica em branco.</t>
        </r>
      </text>
    </comment>
    <comment ref="E11" authorId="0">
      <text>
        <r>
          <rPr>
            <sz val="10"/>
            <rFont val="Arial"/>
            <family val="2"/>
          </rPr>
          <t xml:space="preserve">Frequência do passa-altas, em Hz.
Deixe em branco se ele está desligado.</t>
        </r>
      </text>
    </comment>
    <comment ref="F11" authorId="0">
      <text>
        <r>
          <rPr>
            <sz val="10"/>
            <rFont val="Arial"/>
            <family val="2"/>
          </rPr>
          <t xml:space="preserve">Tipo: Bell para a banda em sino, Shelf para a prateleira de graves ou de agudos.
Hz: frequência central (ou o ponto do shelf).
dB: ganho, positivo para realce e negativo para corte.
Q: largura (só no bell).</t>
        </r>
      </text>
    </comment>
    <comment ref="W11" authorId="0">
      <text>
        <r>
          <rPr>
            <sz val="10"/>
            <rFont val="Arial"/>
            <family val="2"/>
          </rPr>
          <t xml:space="preserve">OK: dentro da faixa de partida. Desligado: a fonte pode ficar sem o filtro.
Sem HPF: a fonte pede o filtro. Abaixo ou acima: confira ouvindo, pode estar certo.</t>
        </r>
      </text>
    </comment>
    <comment ref="Z11" authorId="0">
      <text>
        <r>
          <rPr>
            <sz val="10"/>
            <rFont val="Arial"/>
            <family val="2"/>
          </rPr>
          <t xml:space="preserve">Ordem dos avisos: Realce alto, Sem HPF, HPF fora da faixa, Só realces.
São convites para conferir: o ouvido decide.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18" authorId="0">
      <text>
        <r>
          <rPr>
            <sz val="10"/>
            <rFont val="Arial"/>
            <family val="2"/>
          </rPr>
          <t xml:space="preserve">Q alto, banda estreita. Q 1,4 é cerca de uma oitava; Q 4,3, um terço de oitava.</t>
        </r>
      </text>
    </comment>
  </commentList>
</comments>
</file>

<file path=xl/sharedStrings.xml><?xml version="1.0" encoding="utf-8"?>
<sst xmlns="http://schemas.openxmlformats.org/spreadsheetml/2006/main" count="489" uniqueCount="301">
  <si>
    <t xml:space="preserve">Equalização — como usar esta planilha</t>
  </si>
  <si>
    <t xml:space="preserve">Ficha de EQ de cada canal, consulta de faixas e sintomas e guia de ponto de partida por fonte.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</si>
  <si>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</si>
  <si>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</si>
  <si>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</si>
  <si>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</si>
  <si>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</si>
  <si>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</si>
  <si>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</si>
  <si>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</si>
  <si>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Tipo de fonte e tipo de banda (Bell ou Shelf) aceitam só as opções da lista.</t>
  </si>
  <si>
    <t xml:space="preserve">Números</t>
  </si>
  <si>
    <t xml:space="preserve">Frequência em Hz, sem a letra k: 3000, e não 3 k. Ganho em dB, com o sinal de menos no corte: -4.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</si>
  <si>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</si>
  <si>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</si>
  <si>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</si>
  <si>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</si>
  <si>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Aba Ficha de EQ: preencha o cabeçalho e confira os dois limites dos avisos, no alto à direita.</t>
  </si>
  <si>
    <t xml:space="preserve">2</t>
  </si>
  <si>
    <t xml:space="preserve">Liste a fonte e o tipo de fonte de cada canal. O tipo traz a faixa de partida do passa-altas.</t>
  </si>
  <si>
    <t xml:space="preserve">3</t>
  </si>
  <si>
    <t xml:space="preserve">Na mesa: ajuste o ganho, ligue o passa-altas, procure o que sobra por varredura, corte e, se faltar, realce pouco.</t>
  </si>
  <si>
    <t xml:space="preserve">4</t>
  </si>
  <si>
    <t xml:space="preserve">Anote o passa-altas e cada banda usada: tipo, frequência, ganho e Q.</t>
  </si>
  <si>
    <t xml:space="preserve">5</t>
  </si>
  <si>
    <t xml:space="preserve">Veja a situação e o que fazer em cada canal. Depois, o mapa de faixas: ele mostra disputa e cortes repetidos.</t>
  </si>
  <si>
    <t xml:space="preserve">6</t>
  </si>
  <si>
    <t xml:space="preserve">Aba Faixas e sintomas: consulte uma frequência, ou calcule a largura de uma banda pelo Q.</t>
  </si>
  <si>
    <t xml:space="preserve">7</t>
  </si>
  <si>
    <t xml:space="preserve">Aba Checklist: confira os doze itens antes de montar os retornos.</t>
  </si>
  <si>
    <t xml:space="preserve">Abas da planilha</t>
  </si>
  <si>
    <t xml:space="preserve">Ficha de EQ</t>
  </si>
  <si>
    <t xml:space="preserve">Até 24 canais, com conferência do passa-altas, maior realce, maior corte, situação e o mapa por faixa.</t>
  </si>
  <si>
    <t xml:space="preserve">Faixas e sintomas</t>
  </si>
  <si>
    <t xml:space="preserve">Consulta por frequência, calculadora de largura pelo Q, as sete faixas e a tabela de sintomas.</t>
  </si>
  <si>
    <t xml:space="preserve">Guia por fonte</t>
  </si>
  <si>
    <t xml:space="preserve">Passa-altas de partida e onde cada fonte costuma sobrar ou faltar, para doze tipos de fonte.</t>
  </si>
  <si>
    <t xml:space="preserve">Checklist</t>
  </si>
  <si>
    <t xml:space="preserve">Os doze itens do treinamento, com percentual atendido.</t>
  </si>
  <si>
    <t xml:space="preserve">Exemplo - Ficha de EQ</t>
  </si>
  <si>
    <t xml:space="preserve">Os oito canais do exemplo 1 do treinamento, como foram encontrados, e o que foi ajustado.</t>
  </si>
  <si>
    <t xml:space="preserve">Regras e premissas do modelo</t>
  </si>
  <si>
    <t xml:space="preserve">Passa-altas</t>
  </si>
  <si>
    <t xml:space="preserve">OK dentro da faixa de partida do Guia por fonte. Em branco, vale Desligado nas fontes que podem ficar sem ele e Sem HPF nas outras.</t>
  </si>
  <si>
    <t xml:space="preserve">Realce alto</t>
  </si>
  <si>
    <t xml:space="preserve">Maior realce do canal acima do limite do alto da aba (6 dB, de partida).</t>
  </si>
  <si>
    <t xml:space="preserve">Só realces</t>
  </si>
  <si>
    <t xml:space="preserve">O canal tem realce e nenhum corte em bell ou shelf. Convite para procurar o que cortar.</t>
  </si>
  <si>
    <t xml:space="preserve">Mapa de faixas</t>
  </si>
  <si>
    <t xml:space="preserve">Conta, em todos os canais, as bandas que realçam e as que cortam em cada faixa. Muitos realces na mesma faixa indicam disputa; muitos cortes, defeito do sistema ou da sala.</t>
  </si>
  <si>
    <t xml:space="preserve">Avisos</t>
  </si>
  <si>
    <t xml:space="preserve">São convites para conferir, e não erros. O ouvido decide. Os limites são regra prática deste material, e não norma.</t>
  </si>
  <si>
    <t xml:space="preserve">Exemplos</t>
  </si>
  <si>
    <t xml:space="preserve">Os dados da aba de exemplo são ilustrativos, criados para este material.</t>
  </si>
  <si>
    <t xml:space="preserve">Ficha de EQ por canal — passa-altas e até quatro bandas</t>
  </si>
  <si>
    <t xml:space="preserve">Preencha as células em amarelo-claro com o EQ de cada canal. As células cinza são calculadas.</t>
  </si>
  <si>
    <t xml:space="preserve">Evento</t>
  </si>
  <si>
    <t xml:space="preserve">Realce máximo (dB)</t>
  </si>
  <si>
    <t xml:space="preserve">Realce acima disto recebe o aviso Realce alto. Ponto de partida: 6 dB.</t>
  </si>
  <si>
    <t xml:space="preserve">Local</t>
  </si>
  <si>
    <t xml:space="preserve">Aviso de faixa repetida (nº)</t>
  </si>
  <si>
    <t xml:space="preserve">Quantos realces, ou cortes, na mesma faixa disparam o aviso do mapa. Ponto de partida: 4.</t>
  </si>
  <si>
    <t xml:space="preserve">Data</t>
  </si>
  <si>
    <t xml:space="preserve">Operador</t>
  </si>
  <si>
    <t xml:space="preserve">Frequências em Hz (3000, e não 3 k). Ganho em dB, com sinal: −4 para corte. Q só na banda bell.</t>
  </si>
  <si>
    <t xml:space="preserve">Mesa</t>
  </si>
  <si>
    <t xml:space="preserve">Passa-altas em branco = desligado. A faixa de partida vem da aba Guia por fonte.</t>
  </si>
  <si>
    <t xml:space="preserve">Ficha de EQ por canal</t>
  </si>
  <si>
    <t xml:space="preserve">Canal</t>
  </si>
  <si>
    <t xml:space="preserve">Fonte</t>
  </si>
  <si>
    <t xml:space="preserve">Tipo de fonte</t>
  </si>
  <si>
    <t xml:space="preserve">HPF</t>
  </si>
  <si>
    <t xml:space="preserve">Banda 1</t>
  </si>
  <si>
    <t xml:space="preserve">Banda 2</t>
  </si>
  <si>
    <t xml:space="preserve">Banda 3</t>
  </si>
  <si>
    <t xml:space="preserve">Banda 4</t>
  </si>
  <si>
    <t xml:space="preserve">Partida do HPF</t>
  </si>
  <si>
    <t xml:space="preserve">Maior realce</t>
  </si>
  <si>
    <t xml:space="preserve">Maior corte</t>
  </si>
  <si>
    <t xml:space="preserve">Situação</t>
  </si>
  <si>
    <t xml:space="preserve">O que fazer</t>
  </si>
  <si>
    <t xml:space="preserve">Observação</t>
  </si>
  <si>
    <t xml:space="preserve">nº</t>
  </si>
  <si>
    <t xml:space="preserve">o que está no canal</t>
  </si>
  <si>
    <t xml:space="preserve">da lista</t>
  </si>
  <si>
    <t xml:space="preserve">Hz</t>
  </si>
  <si>
    <t xml:space="preserve">Tipo</t>
  </si>
  <si>
    <t xml:space="preserve">dB</t>
  </si>
  <si>
    <t xml:space="preserve">Q</t>
  </si>
  <si>
    <t xml:space="preserve">do Guia por fonte</t>
  </si>
  <si>
    <t xml:space="preserve">conferência</t>
  </si>
  <si>
    <t xml:space="preserve">Ex.</t>
  </si>
  <si>
    <t xml:space="preserve">Voz do pastor</t>
  </si>
  <si>
    <t xml:space="preserve">Voz masculina</t>
  </si>
  <si>
    <t xml:space="preserve">Bell</t>
  </si>
  <si>
    <t xml:space="preserve">80 a 120 Hz</t>
  </si>
  <si>
    <t xml:space="preserve">OK</t>
  </si>
  <si>
    <t xml:space="preserve">Manter. Decida na mistura</t>
  </si>
  <si>
    <t xml:space="preserve">Mapa de cortes e realces por faixa, somando todos os canais</t>
  </si>
  <si>
    <t xml:space="preserve">Faixa</t>
  </si>
  <si>
    <t xml:space="preserve">De (Hz)</t>
  </si>
  <si>
    <t xml:space="preserve">Até (Hz)</t>
  </si>
  <si>
    <t xml:space="preserve">Realces</t>
  </si>
  <si>
    <t xml:space="preserve">Cortes</t>
  </si>
  <si>
    <t xml:space="preserve">Aviso</t>
  </si>
  <si>
    <t xml:space="preserve">Subgrave</t>
  </si>
  <si>
    <t xml:space="preserve">Grave</t>
  </si>
  <si>
    <t xml:space="preserve">Médio-grave</t>
  </si>
  <si>
    <t xml:space="preserve">Médio</t>
  </si>
  <si>
    <t xml:space="preserve">Médio-agudo</t>
  </si>
  <si>
    <t xml:space="preserve">Agudo</t>
  </si>
  <si>
    <t xml:space="preserve">Brilho</t>
  </si>
  <si>
    <t xml:space="preserve">Conta as bandas com ganho diferente de zero pela frequência. O shelf entra pela frequência do ponto. O passa-altas não entra na conta.</t>
  </si>
  <si>
    <t xml:space="preserve">Resumo automático</t>
  </si>
  <si>
    <t xml:space="preserve">Canais registrados</t>
  </si>
  <si>
    <t xml:space="preserve">Na situação OK</t>
  </si>
  <si>
    <t xml:space="preserve">Sem passa-altas</t>
  </si>
  <si>
    <t xml:space="preserve">Passa-altas fora da faixa</t>
  </si>
  <si>
    <t xml:space="preserve">Faixas em disputa</t>
  </si>
  <si>
    <t xml:space="preserve">Faixas com o mesmo corte em muitos canais</t>
  </si>
  <si>
    <t xml:space="preserve">Faixas e sintomas — consulta e calculadora</t>
  </si>
  <si>
    <t xml:space="preserve">Digite uma frequência para ver a faixa e como ela soa. Digite a frequência e o Q para ver de onde até onde a banda age.</t>
  </si>
  <si>
    <t xml:space="preserve">Consulta por frequência (exercício 2: o que você ouviu na varredura)</t>
  </si>
  <si>
    <t xml:space="preserve">Defeito ouvido</t>
  </si>
  <si>
    <t xml:space="preserve">Frequência</t>
  </si>
  <si>
    <t xml:space="preserve">Em excesso, soa</t>
  </si>
  <si>
    <t xml:space="preserve">Região típica do defeito</t>
  </si>
  <si>
    <t xml:space="preserve">Conferência</t>
  </si>
  <si>
    <t xml:space="preserve">Retumbante</t>
  </si>
  <si>
    <t xml:space="preserve">100 a 250 Hz</t>
  </si>
  <si>
    <t xml:space="preserve">Embolado</t>
  </si>
  <si>
    <t xml:space="preserve">200 a 400 Hz</t>
  </si>
  <si>
    <t xml:space="preserve">Anasalado</t>
  </si>
  <si>
    <t xml:space="preserve">800 Hz a 1,5 kHz</t>
  </si>
  <si>
    <t xml:space="preserve">Áspero</t>
  </si>
  <si>
    <t xml:space="preserve">2 a 5 kHz</t>
  </si>
  <si>
    <t xml:space="preserve">Sibilante</t>
  </si>
  <si>
    <t xml:space="preserve">5 a 8 kHz</t>
  </si>
  <si>
    <t xml:space="preserve">–</t>
  </si>
  <si>
    <t xml:space="preserve">A frequência de um defeito muda com a voz, o microfone e a sala. Fora da região típica não é erro: é a sua voz. As três últimas linhas são para consulta livre.</t>
  </si>
  <si>
    <t xml:space="preserve">Calculadora de largura de uma banda bell</t>
  </si>
  <si>
    <t xml:space="preserve">Uso</t>
  </si>
  <si>
    <t xml:space="preserve">Largura (oitavas)</t>
  </si>
  <si>
    <t xml:space="preserve">Banda larga (realce)</t>
  </si>
  <si>
    <t xml:space="preserve">Corte comum</t>
  </si>
  <si>
    <t xml:space="preserve">Corte estreito (microfonia)</t>
  </si>
  <si>
    <t xml:space="preserve">Livre</t>
  </si>
  <si>
    <t xml:space="preserve">Conta usual do Q (pontos de meia intensidade em torno da frequência central). Alguns fabricantes usam outra definição: trate o resultado como ordem de grandeza.</t>
  </si>
  <si>
    <t xml:space="preserve">As sete faixas</t>
  </si>
  <si>
    <t xml:space="preserve">O que mora ali</t>
  </si>
  <si>
    <t xml:space="preserve">Em falta, soa</t>
  </si>
  <si>
    <t xml:space="preserve">Peso do bumbo, notas mais graves do baixo e do teclado.</t>
  </si>
  <si>
    <t xml:space="preserve">Ronco, vibração no palco.</t>
  </si>
  <si>
    <t xml:space="preserve">Bumbo e baixo sem peso.</t>
  </si>
  <si>
    <t xml:space="preserve">Corpo do baixo, do bumbo e do violão; fundamental das vozes.</t>
  </si>
  <si>
    <t xml:space="preserve">Retumbante, pesado.</t>
  </si>
  <si>
    <t xml:space="preserve">Magro, sem corpo.</t>
  </si>
  <si>
    <t xml:space="preserve">Calor das vozes e dos instrumentos. Onde tudo se acumula.</t>
  </si>
  <si>
    <t xml:space="preserve">Embolado, caixa de papelão.</t>
  </si>
  <si>
    <t xml:space="preserve">Oco, sem calor.</t>
  </si>
  <si>
    <t xml:space="preserve">Miolo das vozes, do violão, do teclado e da guitarra.</t>
  </si>
  <si>
    <t xml:space="preserve">Anasalado, som de telefone.</t>
  </si>
  <si>
    <t xml:space="preserve">Distante, vazio.</t>
  </si>
  <si>
    <t xml:space="preserve">Consoantes e clareza da fala. O ouvido é mais sensível aqui.</t>
  </si>
  <si>
    <t xml:space="preserve">Áspero, estridente.</t>
  </si>
  <si>
    <t xml:space="preserve">Sem clareza nas palavras.</t>
  </si>
  <si>
    <t xml:space="preserve">Definição, ataque, o s e o ch das vozes.</t>
  </si>
  <si>
    <t xml:space="preserve">Sibilante, cortante.</t>
  </si>
  <si>
    <t xml:space="preserve">Opaco, sem ataque.</t>
  </si>
  <si>
    <t xml:space="preserve">Brilho dos pratos e das cordas, ar nas vozes.</t>
  </si>
  <si>
    <t xml:space="preserve">Chiado, agudo que cansa.</t>
  </si>
  <si>
    <t xml:space="preserve">Abafado, sem ar.</t>
  </si>
  <si>
    <t xml:space="preserve">Do que se ouve para onde procurar</t>
  </si>
  <si>
    <t xml:space="preserve">Como soa</t>
  </si>
  <si>
    <t xml:space="preserve">Onde procurar</t>
  </si>
  <si>
    <t xml:space="preserve">Primeira medida</t>
  </si>
  <si>
    <t xml:space="preserve">Ronco, vento, pof nas letras P e B, batida de mão</t>
  </si>
  <si>
    <t xml:space="preserve">abaixo de 100 Hz</t>
  </si>
  <si>
    <t xml:space="preserve">Ligar ou subir o passa-altas.</t>
  </si>
  <si>
    <t xml:space="preserve">Retumbante, pesado</t>
  </si>
  <si>
    <t xml:space="preserve">Subir um pouco o passa-altas, ou cortar com o shelving de graves.</t>
  </si>
  <si>
    <t xml:space="preserve">Embolado, turvo</t>
  </si>
  <si>
    <t xml:space="preserve">Corte de 2 a 4 dB com uma banda bell.</t>
  </si>
  <si>
    <t xml:space="preserve">Caixa de papelão, som oco de tambor</t>
  </si>
  <si>
    <t xml:space="preserve">300 a 600 Hz</t>
  </si>
  <si>
    <t xml:space="preserve">Corte com uma banda bell. No bumbo, o corte costuma ser maior.</t>
  </si>
  <si>
    <t xml:space="preserve">Anasalado, corneta, telefone</t>
  </si>
  <si>
    <t xml:space="preserve">Áspero, estridente, cansa o ouvido</t>
  </si>
  <si>
    <t xml:space="preserve">Corte suave e largo. Confira antes se há realce demais nessa região.</t>
  </si>
  <si>
    <t xml:space="preserve">Sibilante: s e ch que espetam</t>
  </si>
  <si>
    <t xml:space="preserve">Corte leve, ou o de-esser (estudo Dinâmica e efeitos).</t>
  </si>
  <si>
    <t xml:space="preserve">Abafado, ou sem clareza nas palavras</t>
  </si>
  <si>
    <t xml:space="preserve">2 kHz para cima</t>
  </si>
  <si>
    <t xml:space="preserve">Conferir microfone e posição. Cortar o que embola (200 a 400 Hz). Só então, realce largo de 2 a 3 dB.</t>
  </si>
  <si>
    <t xml:space="preserve">Faixas típicas, para servir de ponto de partida. Os limites entre as faixas são uma convenção e variam um pouco de um autor para outro.</t>
  </si>
  <si>
    <t xml:space="preserve">Guia por fonte — ponto de partida</t>
  </si>
  <si>
    <t xml:space="preserve">Onde procurar primeiro, e não receita. As colunas C a F alimentam a conferência do passa-altas na Ficha de EQ.</t>
  </si>
  <si>
    <t xml:space="preserve">HPF mín. (Hz)</t>
  </si>
  <si>
    <t xml:space="preserve">HPF máx. (Hz)</t>
  </si>
  <si>
    <t xml:space="preserve">Pode ficar desligado</t>
  </si>
  <si>
    <t xml:space="preserve">Passa-altas para começar</t>
  </si>
  <si>
    <t xml:space="preserve">Onde costuma sobrar (cortar)</t>
  </si>
  <si>
    <t xml:space="preserve">Onde pode faltar (realçar com cuidado)</t>
  </si>
  <si>
    <t xml:space="preserve">Não</t>
  </si>
  <si>
    <t xml:space="preserve">200 a 350 Hz: embolado. 800 Hz a 1,5 kHz: anasalado. 5 a 8 kHz: sibilância.</t>
  </si>
  <si>
    <t xml:space="preserve">2 a 4 kHz: clareza das palavras (2 a 3 dB, banda larga).</t>
  </si>
  <si>
    <t xml:space="preserve">Fala: entender cada palavra do fundo da sala. Canto: equalize com a voz forte.</t>
  </si>
  <si>
    <t xml:space="preserve">Voz feminina</t>
  </si>
  <si>
    <t xml:space="preserve">100 a 180 Hz</t>
  </si>
  <si>
    <t xml:space="preserve">200 a 400 Hz: embolado. 2,5 a 4 kHz: áspero nas notas fortes. 5 a 8 kHz: sibilância.</t>
  </si>
  <si>
    <t xml:space="preserve">3 a 5 kHz: presença. Shelving em 10 a 12 kHz: ar (2 a 3 dB).</t>
  </si>
  <si>
    <t xml:space="preserve">Vale também para voz infantil, lapela e headset. Lapela no peito costuma soar abafada.</t>
  </si>
  <si>
    <t xml:space="preserve">Coral</t>
  </si>
  <si>
    <t xml:space="preserve">200 a 400 Hz: embolado com o som da sala.</t>
  </si>
  <si>
    <t xml:space="preserve">3 a 5 kHz: presença, com cuidado: microfone distante apita antes.</t>
  </si>
  <si>
    <t xml:space="preserve">O microfone distante capta muita sala. Aproxime antes de equalizar.</t>
  </si>
  <si>
    <t xml:space="preserve">Violão</t>
  </si>
  <si>
    <t xml:space="preserve">80 a 150 Hz</t>
  </si>
  <si>
    <t xml:space="preserve">100 a 250 Hz: ressonância do corpo, onde apita. 1 a 3 kHz: som duro de captador.</t>
  </si>
  <si>
    <t xml:space="preserve">Shelving em 8 a 10 kHz: brilho das cordas.</t>
  </si>
  <si>
    <t xml:space="preserve">Sozinho, passa-altas perto de 80 Hz. Com banda, mais alto: o baixo cuida do grave.</t>
  </si>
  <si>
    <t xml:space="preserve">Guitarra</t>
  </si>
  <si>
    <t xml:space="preserve">200 a 400 Hz: embolado. 2 a 4 kHz: se disputar com a voz.</t>
  </si>
  <si>
    <t xml:space="preserve">Raramente precisa.</t>
  </si>
  <si>
    <t xml:space="preserve">O timbre se acerta no amplificador, antes da mesa.</t>
  </si>
  <si>
    <t xml:space="preserve">Caixa da bateria</t>
  </si>
  <si>
    <t xml:space="preserve">400 a 800 Hz: som oco, de papelão.</t>
  </si>
  <si>
    <t xml:space="preserve">150 a 250 Hz: corpo. 3 a 5 kHz: estalo da esteira.</t>
  </si>
  <si>
    <t xml:space="preserve">O passa-altas reduz o bumbo que entra no microfone da caixa.</t>
  </si>
  <si>
    <t xml:space="preserve">Tons e surdo</t>
  </si>
  <si>
    <t xml:space="preserve">40 a 100 Hz</t>
  </si>
  <si>
    <t xml:space="preserve">300 a 600 Hz: som oco, de papelão.</t>
  </si>
  <si>
    <t xml:space="preserve">80 a 150 Hz: corpo. 3 a 5 kHz: ataque.</t>
  </si>
  <si>
    <t xml:space="preserve">Quanto maior o tambor, mais baixo o filtro.</t>
  </si>
  <si>
    <t xml:space="preserve">Pratos e chimbal</t>
  </si>
  <si>
    <t xml:space="preserve">1 a 3 kHz: som de lata, áspero.</t>
  </si>
  <si>
    <t xml:space="preserve">Shelving em 10 kHz: brilho, com cuidado.</t>
  </si>
  <si>
    <t xml:space="preserve">O passa-altas deixa passar só os pratos, e não o resto da bateria.</t>
  </si>
  <si>
    <t xml:space="preserve">Teclado</t>
  </si>
  <si>
    <t xml:space="preserve">Sim</t>
  </si>
  <si>
    <t xml:space="preserve">desligado, ou 40 a 120 Hz</t>
  </si>
  <si>
    <t xml:space="preserve">200 a 400 Hz: embolado com a banda. 2 a 4 kHz: se disputar com a voz.</t>
  </si>
  <si>
    <t xml:space="preserve">Filtro baixo quando o teclado faz o grave; mais alto quando há baixista. Ajuste o timbre no teclado.</t>
  </si>
  <si>
    <t xml:space="preserve">Baixo</t>
  </si>
  <si>
    <t xml:space="preserve">desligado, ou 30 a 40 Hz</t>
  </si>
  <si>
    <t xml:space="preserve">200 a 300 Hz: embolado. 40 a 60 Hz: se a sala retumbar.</t>
  </si>
  <si>
    <t xml:space="preserve">60 a 100 Hz: peso. 700 Hz a 1 kHz: definição. 2 a 3 kHz: ataque.</t>
  </si>
  <si>
    <t xml:space="preserve">É a definição, e não o peso, que faz o baixo ser ouvido em caixas pequenas.</t>
  </si>
  <si>
    <t xml:space="preserve">Bumbo</t>
  </si>
  <si>
    <t xml:space="preserve">300 a 500 Hz: caixa de papelão (cortes de 4 a 8 dB são comuns).</t>
  </si>
  <si>
    <t xml:space="preserve">50 a 80 Hz: peso. 2 a 5 kHz: ataque do batedor.</t>
  </si>
  <si>
    <t xml:space="preserve">Decida com o baixo quem fica mais embaixo. Não realce os dois no mesmo ponto.</t>
  </si>
  <si>
    <t xml:space="preserve">Computador e mídia</t>
  </si>
  <si>
    <t xml:space="preserve">Raramente: o material já vem equalizado.</t>
  </si>
  <si>
    <t xml:space="preserve">Raramente.</t>
  </si>
  <si>
    <t xml:space="preserve">Se a mídia soa mal no sistema, o defeito pode ser da sala ou das caixas.</t>
  </si>
  <si>
    <t xml:space="preserve">Valores típicos. Mudam com a voz, o instrumento, o microfone, a distância e a sala. Se mudar os números das colunas C e D, a conferência da ficha acompanha.</t>
  </si>
  <si>
    <t xml:space="preserve">Checklist da equalização</t>
  </si>
  <si>
    <t xml:space="preserve">Confira na passagem de som, depois de equalizar os canais. Escolha a situação de cada item na lista suspensa.</t>
  </si>
  <si>
    <t xml:space="preserve">#</t>
  </si>
  <si>
    <t xml:space="preserve">Grupo</t>
  </si>
  <si>
    <t xml:space="preserve">Item</t>
  </si>
  <si>
    <t xml:space="preserve">Antes</t>
  </si>
  <si>
    <t xml:space="preserve">O ganho de cada canal foi ajustado antes do EQ, e o EQ começou plano.</t>
  </si>
  <si>
    <t xml:space="preserve">A fonte, o microfone e a posição foram conferidos antes de equalizar.</t>
  </si>
  <si>
    <t xml:space="preserve">O passa-altas está ligado em tudo o que não faz o grave da música, na faixa de partida de cada fonte.</t>
  </si>
  <si>
    <t xml:space="preserve">Cada ajuste responde a um defeito que foi ouvido e tem nome.</t>
  </si>
  <si>
    <t xml:space="preserve">Os cortes vieram antes dos realces, e o ponto de cada corte foi achado por varredura.</t>
  </si>
  <si>
    <t xml:space="preserve">Os realces são poucos, largos e de até cerca de 6 dB. Nenhum canal tem só realces.</t>
  </si>
  <si>
    <t xml:space="preserve">Cada canal foi comparado com o EQ desligado, no mesmo volume, e ficou melhor com ele ligado.</t>
  </si>
  <si>
    <t xml:space="preserve">O nível de cada canal foi conferido no medidor depois do EQ.</t>
  </si>
  <si>
    <t xml:space="preserve">Mistura</t>
  </si>
  <si>
    <t xml:space="preserve">O EQ foi decidido na mistura: a voz principal está clara por cima da banda, e o bumbo e o baixo se distinguem.</t>
  </si>
  <si>
    <t xml:space="preserve">Sistema</t>
  </si>
  <si>
    <t xml:space="preserve">O mesmo corte não se repete em quase todos os canais. Se repete, o sistema foi testado com música gravada.</t>
  </si>
  <si>
    <t xml:space="preserve">Retorno</t>
  </si>
  <si>
    <t xml:space="preserve">O EQ de cada retorno tem só cortes, poucos e moderados, e foi comparado com o equalizador desligado.</t>
  </si>
  <si>
    <t xml:space="preserve">Registro</t>
  </si>
  <si>
    <t xml:space="preserve">O EQ de cada canal e de cada saída está anotado, e qualquer mudança no EQ de sistema foi registrada.</t>
  </si>
  <si>
    <t xml:space="preserve">Itens respondidos</t>
  </si>
  <si>
    <t xml:space="preserve">Percentual atendido (Parcial vale metade)</t>
  </si>
  <si>
    <t xml:space="preserve">Exemplo preenchido, para consulta. Use a aba Ficha de EQ para o seu evento.</t>
  </si>
  <si>
    <t xml:space="preserve">Culto de domingo, 19 h</t>
  </si>
  <si>
    <t xml:space="preserve">Igreja de 200 lugares</t>
  </si>
  <si>
    <t xml:space="preserve">Operador de som da escala</t>
  </si>
  <si>
    <t xml:space="preserve">Mesa digital, passa-altas e quatro bandas por canal</t>
  </si>
  <si>
    <t xml:space="preserve">O EQ como foi encontrado na passagem de som, antes da correção. As colunas de V a AA são calculadas.</t>
  </si>
  <si>
    <t xml:space="preserve">Voz da cantora</t>
  </si>
  <si>
    <t xml:space="preserve">Shelf</t>
  </si>
  <si>
    <t xml:space="preserve">Voz de apoio</t>
  </si>
  <si>
    <t xml:space="preserve">Computador (som dos vídeos)</t>
  </si>
  <si>
    <t xml:space="preserve">O que foi ajustado</t>
  </si>
  <si>
    <t xml:space="preserve">O que foi feito</t>
  </si>
  <si>
    <t xml:space="preserve">Realces em 0. Passa-altas em 120 Hz. Varredura: sobra em 250 Hz, corte de 3 dB. Depois, +3 dB em 3 kHz (Q 0,7) e +2 dB no shelving.</t>
  </si>
  <si>
    <t xml:space="preserve">Realces em 0. Passa-altas em 120 Hz. Corte de 3 dB em 300 Hz. Nenhum realce: o apoio fica atrás da voz principal.</t>
  </si>
  <si>
    <t xml:space="preserve">O realce de 5 dB em 3 kHz virou corte largo de 3 dB (Q 0,7). Passa-altas em 100 Hz.</t>
  </si>
  <si>
    <t xml:space="preserve">Realces em 0. Passa-altas em 100 Hz, porque há baixista. Corte largo de 3 dB em 3 kHz.</t>
  </si>
  <si>
    <t xml:space="preserve">3, 5, 6, 8</t>
  </si>
  <si>
    <t xml:space="preserve">Mantidos. O ataque do bumbo em 3,5 kHz é curto e não cobre a voz.</t>
  </si>
  <si>
    <t xml:space="preserve">Todos</t>
  </si>
  <si>
    <t xml:space="preserve">Com a voz mais limpa, o ganho da cantora foi conferido no medidor antes de montar os retornos.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</si>
</sst>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\+0.0;\-0.0;0"/>
    <numFmt numFmtId="167" formatCode="0"/>
    <numFmt numFmtId="168" formatCode="0.0"/>
    <numFmt numFmtId="169" formatCode="General"/>
    <numFmt numFmtId="170" formatCode="0.00"/>
    <numFmt numFmtId="171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7A4A9A"/>
        <bgColor rgb="FF993366"/>
      </patternFill>
    </fill>
    <fill>
      <patternFill patternType="solid">
        <fgColor rgb="FF2B5C8A"/>
        <bgColor rgb="FF1E7B73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B73"/>
      <rgbColor rgb="FFC0C0C0"/>
      <rgbColor rgb="FF808080"/>
      <rgbColor rgb="FF9999FF"/>
      <rgbColor rgb="FF7A4A9A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19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19.5" hidden="false" customHeight="true" outlineLevel="0" collapsed="false">
      <c r="B13" s="8" t="s">
        <v>16</v>
      </c>
      <c r="C13" s="7" t="s">
        <v>17</v>
      </c>
    </row>
    <row r="14" customFormat="false" ht="19.5" hidden="false" customHeight="true" outlineLevel="0" collapsed="false">
      <c r="B14" s="8" t="s">
        <v>18</v>
      </c>
      <c r="C14" s="7" t="s">
        <v>19</v>
      </c>
    </row>
    <row r="15" customFormat="false" ht="31.5" hidden="false" customHeight="true" outlineLevel="0" collapsed="false">
      <c r="B15" s="8" t="s">
        <v>20</v>
      </c>
      <c r="C15" s="7" t="s">
        <v>21</v>
      </c>
    </row>
    <row r="16" customFormat="false" ht="19.5" hidden="false" customHeight="true" outlineLevel="0" collapsed="false">
      <c r="B16" s="8" t="s">
        <v>22</v>
      </c>
      <c r="C16" s="7" t="s">
        <v>23</v>
      </c>
    </row>
    <row r="17" customFormat="false" ht="31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19" customFormat="false" ht="19.5" hidden="false" customHeight="true" outlineLevel="0" collapsed="false">
      <c r="B19" s="8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8" customFormat="false" ht="21.75" hidden="false" customHeight="true" outlineLevel="0" collapsed="false">
      <c r="B28" s="3" t="s">
        <v>41</v>
      </c>
      <c r="C28" s="3"/>
    </row>
    <row r="29" customFormat="false" ht="31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</sheetData>
  <mergeCells count="6">
    <mergeCell ref="B1:C1"/>
    <mergeCell ref="B2:C2"/>
    <mergeCell ref="B4:C4"/>
    <mergeCell ref="B12:C12"/>
    <mergeCell ref="B21:C21"/>
    <mergeCell ref="B28:C28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AB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3" topLeftCell="F14" activePane="bottomRight" state="frozen"/>
      <selection pane="topLeft" activeCell="A1" activeCellId="0" sqref="A1"/>
      <selection pane="topRight" activeCell="F1" activeCellId="0" sqref="F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6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2" min="12" style="0" width="7"/>
    <col collapsed="false" customWidth="true" hidden="false" outlineLevel="0" max="13" min="13" style="0" width="6"/>
    <col collapsed="false" customWidth="true" hidden="false" outlineLevel="0" max="14" min="14" style="0" width="7"/>
    <col collapsed="false" customWidth="true" hidden="false" outlineLevel="0" max="15" min="15" style="0" width="8"/>
    <col collapsed="false" customWidth="true" hidden="false" outlineLevel="0" max="16" min="16" style="0" width="7"/>
    <col collapsed="false" customWidth="true" hidden="false" outlineLevel="0" max="17" min="17" style="0" width="6"/>
    <col collapsed="false" customWidth="true" hidden="false" outlineLevel="0" max="18" min="18" style="0" width="7"/>
    <col collapsed="false" customWidth="true" hidden="false" outlineLevel="0" max="19" min="19" style="0" width="8"/>
    <col collapsed="false" customWidth="true" hidden="false" outlineLevel="0" max="20" min="20" style="0" width="7"/>
    <col collapsed="false" customWidth="true" hidden="false" outlineLevel="0" max="21" min="21" style="0" width="6"/>
    <col collapsed="false" customWidth="true" hidden="false" outlineLevel="0" max="22" min="22" style="0" width="16"/>
    <col collapsed="false" customWidth="true" hidden="false" outlineLevel="0" max="23" min="23" style="0" width="15"/>
    <col collapsed="false" customWidth="true" hidden="false" outlineLevel="0" max="25" min="24" style="0" width="9"/>
    <col collapsed="false" customWidth="true" hidden="false" outlineLevel="0" max="26" min="26" style="0" width="16"/>
    <col collapsed="false" customWidth="true" hidden="false" outlineLevel="0" max="27" min="27" style="0" width="42"/>
    <col collapsed="false" customWidth="true" hidden="false" outlineLevel="0" max="28" min="28" style="0" width="26"/>
    <col collapsed="false" customWidth="true" hidden="false" outlineLevel="0" max="29" min="29" style="0" width="2"/>
  </cols>
  <sheetData>
    <row r="1" customFormat="false" ht="31.5" hidden="false" customHeight="true" outlineLevel="0" collapsed="false">
      <c r="B1" s="1" t="s">
        <v>54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9.5" hidden="false" customHeight="true" outlineLevel="0" collapsed="false">
      <c r="B2" s="2" t="s">
        <v>55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4" customFormat="false" ht="21.75" hidden="false" customHeight="true" outlineLevel="0" collapsed="false">
      <c r="B4" s="4" t="s">
        <v>56</v>
      </c>
      <c r="C4" s="4"/>
      <c r="D4" s="5"/>
      <c r="E4" s="5"/>
      <c r="F4" s="5"/>
      <c r="G4" s="5"/>
      <c r="H4" s="5"/>
      <c r="I4" s="5"/>
      <c r="K4" s="4" t="s">
        <v>57</v>
      </c>
      <c r="L4" s="4"/>
      <c r="M4" s="4"/>
      <c r="N4" s="4"/>
      <c r="O4" s="4"/>
      <c r="P4" s="4"/>
      <c r="Q4" s="4"/>
      <c r="R4" s="9" t="n">
        <v>6</v>
      </c>
      <c r="S4" s="10" t="s">
        <v>58</v>
      </c>
      <c r="T4" s="10"/>
      <c r="U4" s="10"/>
      <c r="V4" s="10"/>
      <c r="W4" s="10"/>
      <c r="X4" s="10"/>
      <c r="Y4" s="10"/>
      <c r="Z4" s="10"/>
      <c r="AA4" s="10"/>
      <c r="AB4" s="10"/>
    </row>
    <row r="5" customFormat="false" ht="21.75" hidden="false" customHeight="true" outlineLevel="0" collapsed="false">
      <c r="B5" s="4" t="s">
        <v>59</v>
      </c>
      <c r="C5" s="4"/>
      <c r="D5" s="5"/>
      <c r="E5" s="5"/>
      <c r="F5" s="5"/>
      <c r="G5" s="5"/>
      <c r="H5" s="5"/>
      <c r="I5" s="5"/>
      <c r="K5" s="4" t="s">
        <v>60</v>
      </c>
      <c r="L5" s="4"/>
      <c r="M5" s="4"/>
      <c r="N5" s="4"/>
      <c r="O5" s="4"/>
      <c r="P5" s="4"/>
      <c r="Q5" s="4"/>
      <c r="R5" s="9" t="n">
        <v>4</v>
      </c>
      <c r="S5" s="10" t="s">
        <v>61</v>
      </c>
      <c r="T5" s="10"/>
      <c r="U5" s="10"/>
      <c r="V5" s="10"/>
      <c r="W5" s="10"/>
      <c r="X5" s="10"/>
      <c r="Y5" s="10"/>
      <c r="Z5" s="10"/>
      <c r="AA5" s="10"/>
      <c r="AB5" s="10"/>
    </row>
    <row r="6" customFormat="false" ht="21.75" hidden="false" customHeight="true" outlineLevel="0" collapsed="false">
      <c r="B6" s="4" t="s">
        <v>62</v>
      </c>
      <c r="C6" s="4"/>
      <c r="D6" s="11"/>
      <c r="E6" s="11"/>
      <c r="F6" s="11"/>
      <c r="G6" s="11"/>
      <c r="H6" s="11"/>
      <c r="I6" s="11"/>
    </row>
    <row r="7" customFormat="false" ht="21.75" hidden="false" customHeight="true" outlineLevel="0" collapsed="false">
      <c r="B7" s="4" t="s">
        <v>63</v>
      </c>
      <c r="C7" s="4"/>
      <c r="D7" s="5"/>
      <c r="E7" s="5"/>
      <c r="F7" s="5"/>
      <c r="G7" s="5"/>
      <c r="H7" s="5"/>
      <c r="I7" s="5"/>
      <c r="K7" s="10" t="s">
        <v>64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customFormat="false" ht="21.75" hidden="false" customHeight="true" outlineLevel="0" collapsed="false">
      <c r="B8" s="4" t="s">
        <v>65</v>
      </c>
      <c r="C8" s="4"/>
      <c r="D8" s="5"/>
      <c r="E8" s="5"/>
      <c r="F8" s="5"/>
      <c r="G8" s="5"/>
      <c r="H8" s="5"/>
      <c r="I8" s="5"/>
      <c r="K8" s="10" t="s">
        <v>66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10" customFormat="false" ht="21.75" hidden="false" customHeight="true" outlineLevel="0" collapsed="false">
      <c r="B10" s="12" t="s">
        <v>67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customFormat="false" ht="30" hidden="false" customHeight="true" outlineLevel="0" collapsed="false">
      <c r="B11" s="13" t="s">
        <v>68</v>
      </c>
      <c r="C11" s="13" t="s">
        <v>69</v>
      </c>
      <c r="D11" s="13" t="s">
        <v>70</v>
      </c>
      <c r="E11" s="14" t="s">
        <v>71</v>
      </c>
      <c r="F11" s="14" t="s">
        <v>72</v>
      </c>
      <c r="G11" s="14"/>
      <c r="H11" s="14"/>
      <c r="I11" s="14"/>
      <c r="J11" s="14" t="s">
        <v>73</v>
      </c>
      <c r="K11" s="14"/>
      <c r="L11" s="14"/>
      <c r="M11" s="14"/>
      <c r="N11" s="14" t="s">
        <v>74</v>
      </c>
      <c r="O11" s="14"/>
      <c r="P11" s="14"/>
      <c r="Q11" s="14"/>
      <c r="R11" s="14" t="s">
        <v>75</v>
      </c>
      <c r="S11" s="14"/>
      <c r="T11" s="14"/>
      <c r="U11" s="14"/>
      <c r="V11" s="15" t="s">
        <v>76</v>
      </c>
      <c r="W11" s="15" t="s">
        <v>42</v>
      </c>
      <c r="X11" s="15" t="s">
        <v>77</v>
      </c>
      <c r="Y11" s="15" t="s">
        <v>78</v>
      </c>
      <c r="Z11" s="15" t="s">
        <v>79</v>
      </c>
      <c r="AA11" s="15" t="s">
        <v>80</v>
      </c>
      <c r="AB11" s="13" t="s">
        <v>81</v>
      </c>
    </row>
    <row r="12" customFormat="false" ht="21.75" hidden="false" customHeight="true" outlineLevel="0" collapsed="false">
      <c r="B12" s="16" t="s">
        <v>82</v>
      </c>
      <c r="C12" s="16" t="s">
        <v>83</v>
      </c>
      <c r="D12" s="16" t="s">
        <v>84</v>
      </c>
      <c r="E12" s="16" t="s">
        <v>85</v>
      </c>
      <c r="F12" s="16" t="s">
        <v>86</v>
      </c>
      <c r="G12" s="16" t="s">
        <v>85</v>
      </c>
      <c r="H12" s="16" t="s">
        <v>87</v>
      </c>
      <c r="I12" s="16" t="s">
        <v>88</v>
      </c>
      <c r="J12" s="16" t="s">
        <v>86</v>
      </c>
      <c r="K12" s="16" t="s">
        <v>85</v>
      </c>
      <c r="L12" s="16" t="s">
        <v>87</v>
      </c>
      <c r="M12" s="16" t="s">
        <v>88</v>
      </c>
      <c r="N12" s="16" t="s">
        <v>86</v>
      </c>
      <c r="O12" s="16" t="s">
        <v>85</v>
      </c>
      <c r="P12" s="16" t="s">
        <v>87</v>
      </c>
      <c r="Q12" s="16" t="s">
        <v>88</v>
      </c>
      <c r="R12" s="16" t="s">
        <v>86</v>
      </c>
      <c r="S12" s="16" t="s">
        <v>85</v>
      </c>
      <c r="T12" s="16" t="s">
        <v>87</v>
      </c>
      <c r="U12" s="16" t="s">
        <v>88</v>
      </c>
      <c r="V12" s="16" t="s">
        <v>89</v>
      </c>
      <c r="W12" s="16" t="s">
        <v>90</v>
      </c>
      <c r="X12" s="16" t="s">
        <v>87</v>
      </c>
      <c r="Y12" s="16" t="s">
        <v>87</v>
      </c>
      <c r="Z12" s="16"/>
      <c r="AA12" s="16"/>
      <c r="AB12" s="16"/>
    </row>
    <row r="13" customFormat="false" ht="24" hidden="false" customHeight="true" outlineLevel="0" collapsed="false">
      <c r="B13" s="16" t="s">
        <v>91</v>
      </c>
      <c r="C13" s="10" t="s">
        <v>92</v>
      </c>
      <c r="D13" s="10" t="s">
        <v>93</v>
      </c>
      <c r="E13" s="16" t="n">
        <v>100</v>
      </c>
      <c r="F13" s="16" t="s">
        <v>94</v>
      </c>
      <c r="G13" s="16" t="n">
        <v>300</v>
      </c>
      <c r="H13" s="17" t="n">
        <v>-3</v>
      </c>
      <c r="I13" s="16" t="n">
        <v>1.4</v>
      </c>
      <c r="J13" s="16" t="s">
        <v>94</v>
      </c>
      <c r="K13" s="16" t="n">
        <v>2500</v>
      </c>
      <c r="L13" s="17" t="n">
        <v>3</v>
      </c>
      <c r="M13" s="16" t="n">
        <v>1</v>
      </c>
      <c r="N13" s="16"/>
      <c r="O13" s="16"/>
      <c r="P13" s="16"/>
      <c r="Q13" s="16"/>
      <c r="R13" s="16"/>
      <c r="S13" s="16"/>
      <c r="T13" s="16"/>
      <c r="U13" s="16"/>
      <c r="V13" s="16" t="s">
        <v>95</v>
      </c>
      <c r="W13" s="16" t="s">
        <v>96</v>
      </c>
      <c r="X13" s="17" t="n">
        <v>3</v>
      </c>
      <c r="Y13" s="17" t="n">
        <v>-3</v>
      </c>
      <c r="Z13" s="16" t="s">
        <v>96</v>
      </c>
      <c r="AA13" s="10" t="s">
        <v>97</v>
      </c>
      <c r="AB13" s="16"/>
    </row>
    <row r="14" customFormat="false" ht="21.75" hidden="false" customHeight="true" outlineLevel="0" collapsed="false">
      <c r="B14" s="18" t="n">
        <v>1</v>
      </c>
      <c r="C14" s="5"/>
      <c r="D14" s="5"/>
      <c r="E14" s="19"/>
      <c r="F14" s="9"/>
      <c r="G14" s="19"/>
      <c r="H14" s="20"/>
      <c r="I14" s="21"/>
      <c r="J14" s="9"/>
      <c r="K14" s="19"/>
      <c r="L14" s="20"/>
      <c r="M14" s="21"/>
      <c r="N14" s="9"/>
      <c r="O14" s="19"/>
      <c r="P14" s="20"/>
      <c r="Q14" s="21"/>
      <c r="R14" s="9"/>
      <c r="S14" s="19"/>
      <c r="T14" s="20"/>
      <c r="U14" s="21"/>
      <c r="V14" s="22" t="str">
        <f aca="false">IF(D14="","",IFERROR(VLOOKUP(D14,'Guia por fonte'!$B$5:$I$16,5,0),"–"))</f>
        <v/>
      </c>
      <c r="W14" s="23" t="str">
        <f aca="false">IF(D14="","",IFERROR(IF(E14="",IF(VLOOKUP(D14,'Guia por fonte'!$B$5:$I$16,4,0)="Sim","Desligado","Sem HPF"),IF(E14&lt;VLOOKUP(D14,'Guia por fonte'!$B$5:$I$16,2,0),"Abaixo da faixa",IF(E14&gt;VLOOKUP(D14,'Guia por fonte'!$B$5:$I$16,3,0),"Acima da faixa","OK"))),"–"))</f>
        <v/>
      </c>
      <c r="X14" s="24" t="str">
        <f aca="false">IF(COUNT(H14,L14,P14,T14)=0,"",MAX(0,H14,L14,P14,T14))</f>
        <v/>
      </c>
      <c r="Y14" s="24" t="str">
        <f aca="false">IF(COUNT(H14,L14,P14,T14)=0,"",MIN(0,H14,L14,P14,T14))</f>
        <v/>
      </c>
      <c r="Z14" s="25" t="str">
        <f aca="false">IF(AND(C14="",D14="",COUNT(E14,G14,H14,I14,K14,L14,M14,O14,P14,Q14,S14,T14,U14)=0),"",IF(AND(X14&lt;&gt;"",X14&gt;$R$4),"Realce alto",IF(W14="Sem HPF","Sem HPF",IF(OR(W14="Abaixo da faixa",W14="Acima da faixa"),"HPF fora da faixa",IF(AND((H14&gt;0)+(L14&gt;0)+(P14&gt;0)+(T14&gt;0)&gt;0,(H14&lt;0)+(L14&lt;0)+(P14&lt;0)+(T14&lt;0)=0),"Só realces","OK")))))</f>
        <v/>
      </c>
      <c r="AA14" s="26" t="str">
        <f aca="false">IF(Z14="","",IF(Z14="Realce alto","Realce de "&amp;X14&amp;" dB: procure antes o que cortar e confira o microfone",IF(Z14="Sem HPF","Ligue o passa-altas: comece em "&amp;V14,IF(Z14="HPF fora da faixa","Partida sugerida: "&amp;V14&amp;". Confira ouvindo",IF(Z14="Só realces","Procure o que cortar antes de realçar","Manter. Decida na mistura")))))</f>
        <v/>
      </c>
      <c r="AB14" s="5"/>
    </row>
    <row r="15" customFormat="false" ht="21.75" hidden="false" customHeight="true" outlineLevel="0" collapsed="false">
      <c r="B15" s="18" t="n">
        <v>2</v>
      </c>
      <c r="C15" s="5"/>
      <c r="D15" s="5"/>
      <c r="E15" s="19"/>
      <c r="F15" s="9"/>
      <c r="G15" s="19"/>
      <c r="H15" s="20"/>
      <c r="I15" s="21"/>
      <c r="J15" s="9"/>
      <c r="K15" s="19"/>
      <c r="L15" s="20"/>
      <c r="M15" s="21"/>
      <c r="N15" s="9"/>
      <c r="O15" s="19"/>
      <c r="P15" s="20"/>
      <c r="Q15" s="21"/>
      <c r="R15" s="9"/>
      <c r="S15" s="19"/>
      <c r="T15" s="20"/>
      <c r="U15" s="21"/>
      <c r="V15" s="22" t="str">
        <f aca="false">IF(D15="","",IFERROR(VLOOKUP(D15,'Guia por fonte'!$B$5:$I$16,5,0),"–"))</f>
        <v/>
      </c>
      <c r="W15" s="23" t="str">
        <f aca="false">IF(D15="","",IFERROR(IF(E15="",IF(VLOOKUP(D15,'Guia por fonte'!$B$5:$I$16,4,0)="Sim","Desligado","Sem HPF"),IF(E15&lt;VLOOKUP(D15,'Guia por fonte'!$B$5:$I$16,2,0),"Abaixo da faixa",IF(E15&gt;VLOOKUP(D15,'Guia por fonte'!$B$5:$I$16,3,0),"Acima da faixa","OK"))),"–"))</f>
        <v/>
      </c>
      <c r="X15" s="24" t="str">
        <f aca="false">IF(COUNT(H15,L15,P15,T15)=0,"",MAX(0,H15,L15,P15,T15))</f>
        <v/>
      </c>
      <c r="Y15" s="24" t="str">
        <f aca="false">IF(COUNT(H15,L15,P15,T15)=0,"",MIN(0,H15,L15,P15,T15))</f>
        <v/>
      </c>
      <c r="Z15" s="25" t="str">
        <f aca="false">IF(AND(C15="",D15="",COUNT(E15,G15,H15,I15,K15,L15,M15,O15,P15,Q15,S15,T15,U15)=0),"",IF(AND(X15&lt;&gt;"",X15&gt;$R$4),"Realce alto",IF(W15="Sem HPF","Sem HPF",IF(OR(W15="Abaixo da faixa",W15="Acima da faixa"),"HPF fora da faixa",IF(AND((H15&gt;0)+(L15&gt;0)+(P15&gt;0)+(T15&gt;0)&gt;0,(H15&lt;0)+(L15&lt;0)+(P15&lt;0)+(T15&lt;0)=0),"Só realces","OK")))))</f>
        <v/>
      </c>
      <c r="AA15" s="26" t="str">
        <f aca="false">IF(Z15="","",IF(Z15="Realce alto","Realce de "&amp;X15&amp;" dB: procure antes o que cortar e confira o microfone",IF(Z15="Sem HPF","Ligue o passa-altas: comece em "&amp;V15,IF(Z15="HPF fora da faixa","Partida sugerida: "&amp;V15&amp;". Confira ouvindo",IF(Z15="Só realces","Procure o que cortar antes de realçar","Manter. Decida na mistura")))))</f>
        <v/>
      </c>
      <c r="AB15" s="5"/>
    </row>
    <row r="16" customFormat="false" ht="21.75" hidden="false" customHeight="true" outlineLevel="0" collapsed="false">
      <c r="B16" s="18" t="n">
        <v>3</v>
      </c>
      <c r="C16" s="5"/>
      <c r="D16" s="5"/>
      <c r="E16" s="19"/>
      <c r="F16" s="9"/>
      <c r="G16" s="19"/>
      <c r="H16" s="20"/>
      <c r="I16" s="21"/>
      <c r="J16" s="9"/>
      <c r="K16" s="19"/>
      <c r="L16" s="20"/>
      <c r="M16" s="21"/>
      <c r="N16" s="9"/>
      <c r="O16" s="19"/>
      <c r="P16" s="20"/>
      <c r="Q16" s="21"/>
      <c r="R16" s="9"/>
      <c r="S16" s="19"/>
      <c r="T16" s="20"/>
      <c r="U16" s="21"/>
      <c r="V16" s="22" t="str">
        <f aca="false">IF(D16="","",IFERROR(VLOOKUP(D16,'Guia por fonte'!$B$5:$I$16,5,0),"–"))</f>
        <v/>
      </c>
      <c r="W16" s="23" t="str">
        <f aca="false">IF(D16="","",IFERROR(IF(E16="",IF(VLOOKUP(D16,'Guia por fonte'!$B$5:$I$16,4,0)="Sim","Desligado","Sem HPF"),IF(E16&lt;VLOOKUP(D16,'Guia por fonte'!$B$5:$I$16,2,0),"Abaixo da faixa",IF(E16&gt;VLOOKUP(D16,'Guia por fonte'!$B$5:$I$16,3,0),"Acima da faixa","OK"))),"–"))</f>
        <v/>
      </c>
      <c r="X16" s="24" t="str">
        <f aca="false">IF(COUNT(H16,L16,P16,T16)=0,"",MAX(0,H16,L16,P16,T16))</f>
        <v/>
      </c>
      <c r="Y16" s="24" t="str">
        <f aca="false">IF(COUNT(H16,L16,P16,T16)=0,"",MIN(0,H16,L16,P16,T16))</f>
        <v/>
      </c>
      <c r="Z16" s="25" t="str">
        <f aca="false">IF(AND(C16="",D16="",COUNT(E16,G16,H16,I16,K16,L16,M16,O16,P16,Q16,S16,T16,U16)=0),"",IF(AND(X16&lt;&gt;"",X16&gt;$R$4),"Realce alto",IF(W16="Sem HPF","Sem HPF",IF(OR(W16="Abaixo da faixa",W16="Acima da faixa"),"HPF fora da faixa",IF(AND((H16&gt;0)+(L16&gt;0)+(P16&gt;0)+(T16&gt;0)&gt;0,(H16&lt;0)+(L16&lt;0)+(P16&lt;0)+(T16&lt;0)=0),"Só realces","OK")))))</f>
        <v/>
      </c>
      <c r="AA16" s="26" t="str">
        <f aca="false">IF(Z16="","",IF(Z16="Realce alto","Realce de "&amp;X16&amp;" dB: procure antes o que cortar e confira o microfone",IF(Z16="Sem HPF","Ligue o passa-altas: comece em "&amp;V16,IF(Z16="HPF fora da faixa","Partida sugerida: "&amp;V16&amp;". Confira ouvindo",IF(Z16="Só realces","Procure o que cortar antes de realçar","Manter. Decida na mistura")))))</f>
        <v/>
      </c>
      <c r="AB16" s="5"/>
    </row>
    <row r="17" customFormat="false" ht="21.75" hidden="false" customHeight="true" outlineLevel="0" collapsed="false">
      <c r="B17" s="18" t="n">
        <v>4</v>
      </c>
      <c r="C17" s="5"/>
      <c r="D17" s="5"/>
      <c r="E17" s="19"/>
      <c r="F17" s="9"/>
      <c r="G17" s="19"/>
      <c r="H17" s="20"/>
      <c r="I17" s="21"/>
      <c r="J17" s="9"/>
      <c r="K17" s="19"/>
      <c r="L17" s="20"/>
      <c r="M17" s="21"/>
      <c r="N17" s="9"/>
      <c r="O17" s="19"/>
      <c r="P17" s="20"/>
      <c r="Q17" s="21"/>
      <c r="R17" s="9"/>
      <c r="S17" s="19"/>
      <c r="T17" s="20"/>
      <c r="U17" s="21"/>
      <c r="V17" s="22" t="str">
        <f aca="false">IF(D17="","",IFERROR(VLOOKUP(D17,'Guia por fonte'!$B$5:$I$16,5,0),"–"))</f>
        <v/>
      </c>
      <c r="W17" s="23" t="str">
        <f aca="false">IF(D17="","",IFERROR(IF(E17="",IF(VLOOKUP(D17,'Guia por fonte'!$B$5:$I$16,4,0)="Sim","Desligado","Sem HPF"),IF(E17&lt;VLOOKUP(D17,'Guia por fonte'!$B$5:$I$16,2,0),"Abaixo da faixa",IF(E17&gt;VLOOKUP(D17,'Guia por fonte'!$B$5:$I$16,3,0),"Acima da faixa","OK"))),"–"))</f>
        <v/>
      </c>
      <c r="X17" s="24" t="str">
        <f aca="false">IF(COUNT(H17,L17,P17,T17)=0,"",MAX(0,H17,L17,P17,T17))</f>
        <v/>
      </c>
      <c r="Y17" s="24" t="str">
        <f aca="false">IF(COUNT(H17,L17,P17,T17)=0,"",MIN(0,H17,L17,P17,T17))</f>
        <v/>
      </c>
      <c r="Z17" s="25" t="str">
        <f aca="false">IF(AND(C17="",D17="",COUNT(E17,G17,H17,I17,K17,L17,M17,O17,P17,Q17,S17,T17,U17)=0),"",IF(AND(X17&lt;&gt;"",X17&gt;$R$4),"Realce alto",IF(W17="Sem HPF","Sem HPF",IF(OR(W17="Abaixo da faixa",W17="Acima da faixa"),"HPF fora da faixa",IF(AND((H17&gt;0)+(L17&gt;0)+(P17&gt;0)+(T17&gt;0)&gt;0,(H17&lt;0)+(L17&lt;0)+(P17&lt;0)+(T17&lt;0)=0),"Só realces","OK")))))</f>
        <v/>
      </c>
      <c r="AA17" s="26" t="str">
        <f aca="false">IF(Z17="","",IF(Z17="Realce alto","Realce de "&amp;X17&amp;" dB: procure antes o que cortar e confira o microfone",IF(Z17="Sem HPF","Ligue o passa-altas: comece em "&amp;V17,IF(Z17="HPF fora da faixa","Partida sugerida: "&amp;V17&amp;". Confira ouvindo",IF(Z17="Só realces","Procure o que cortar antes de realçar","Manter. Decida na mistura")))))</f>
        <v/>
      </c>
      <c r="AB17" s="5"/>
    </row>
    <row r="18" customFormat="false" ht="21.75" hidden="false" customHeight="true" outlineLevel="0" collapsed="false">
      <c r="B18" s="18" t="n">
        <v>5</v>
      </c>
      <c r="C18" s="5"/>
      <c r="D18" s="5"/>
      <c r="E18" s="19"/>
      <c r="F18" s="9"/>
      <c r="G18" s="19"/>
      <c r="H18" s="20"/>
      <c r="I18" s="21"/>
      <c r="J18" s="9"/>
      <c r="K18" s="19"/>
      <c r="L18" s="20"/>
      <c r="M18" s="21"/>
      <c r="N18" s="9"/>
      <c r="O18" s="19"/>
      <c r="P18" s="20"/>
      <c r="Q18" s="21"/>
      <c r="R18" s="9"/>
      <c r="S18" s="19"/>
      <c r="T18" s="20"/>
      <c r="U18" s="21"/>
      <c r="V18" s="22" t="str">
        <f aca="false">IF(D18="","",IFERROR(VLOOKUP(D18,'Guia por fonte'!$B$5:$I$16,5,0),"–"))</f>
        <v/>
      </c>
      <c r="W18" s="23" t="str">
        <f aca="false">IF(D18="","",IFERROR(IF(E18="",IF(VLOOKUP(D18,'Guia por fonte'!$B$5:$I$16,4,0)="Sim","Desligado","Sem HPF"),IF(E18&lt;VLOOKUP(D18,'Guia por fonte'!$B$5:$I$16,2,0),"Abaixo da faixa",IF(E18&gt;VLOOKUP(D18,'Guia por fonte'!$B$5:$I$16,3,0),"Acima da faixa","OK"))),"–"))</f>
        <v/>
      </c>
      <c r="X18" s="24" t="str">
        <f aca="false">IF(COUNT(H18,L18,P18,T18)=0,"",MAX(0,H18,L18,P18,T18))</f>
        <v/>
      </c>
      <c r="Y18" s="24" t="str">
        <f aca="false">IF(COUNT(H18,L18,P18,T18)=0,"",MIN(0,H18,L18,P18,T18))</f>
        <v/>
      </c>
      <c r="Z18" s="25" t="str">
        <f aca="false">IF(AND(C18="",D18="",COUNT(E18,G18,H18,I18,K18,L18,M18,O18,P18,Q18,S18,T18,U18)=0),"",IF(AND(X18&lt;&gt;"",X18&gt;$R$4),"Realce alto",IF(W18="Sem HPF","Sem HPF",IF(OR(W18="Abaixo da faixa",W18="Acima da faixa"),"HPF fora da faixa",IF(AND((H18&gt;0)+(L18&gt;0)+(P18&gt;0)+(T18&gt;0)&gt;0,(H18&lt;0)+(L18&lt;0)+(P18&lt;0)+(T18&lt;0)=0),"Só realces","OK")))))</f>
        <v/>
      </c>
      <c r="AA18" s="26" t="str">
        <f aca="false">IF(Z18="","",IF(Z18="Realce alto","Realce de "&amp;X18&amp;" dB: procure antes o que cortar e confira o microfone",IF(Z18="Sem HPF","Ligue o passa-altas: comece em "&amp;V18,IF(Z18="HPF fora da faixa","Partida sugerida: "&amp;V18&amp;". Confira ouvindo",IF(Z18="Só realces","Procure o que cortar antes de realçar","Manter. Decida na mistura")))))</f>
        <v/>
      </c>
      <c r="AB18" s="5"/>
    </row>
    <row r="19" customFormat="false" ht="21.75" hidden="false" customHeight="true" outlineLevel="0" collapsed="false">
      <c r="B19" s="18" t="n">
        <v>6</v>
      </c>
      <c r="C19" s="5"/>
      <c r="D19" s="5"/>
      <c r="E19" s="19"/>
      <c r="F19" s="9"/>
      <c r="G19" s="19"/>
      <c r="H19" s="20"/>
      <c r="I19" s="21"/>
      <c r="J19" s="9"/>
      <c r="K19" s="19"/>
      <c r="L19" s="20"/>
      <c r="M19" s="21"/>
      <c r="N19" s="9"/>
      <c r="O19" s="19"/>
      <c r="P19" s="20"/>
      <c r="Q19" s="21"/>
      <c r="R19" s="9"/>
      <c r="S19" s="19"/>
      <c r="T19" s="20"/>
      <c r="U19" s="21"/>
      <c r="V19" s="22" t="str">
        <f aca="false">IF(D19="","",IFERROR(VLOOKUP(D19,'Guia por fonte'!$B$5:$I$16,5,0),"–"))</f>
        <v/>
      </c>
      <c r="W19" s="23" t="str">
        <f aca="false">IF(D19="","",IFERROR(IF(E19="",IF(VLOOKUP(D19,'Guia por fonte'!$B$5:$I$16,4,0)="Sim","Desligado","Sem HPF"),IF(E19&lt;VLOOKUP(D19,'Guia por fonte'!$B$5:$I$16,2,0),"Abaixo da faixa",IF(E19&gt;VLOOKUP(D19,'Guia por fonte'!$B$5:$I$16,3,0),"Acima da faixa","OK"))),"–"))</f>
        <v/>
      </c>
      <c r="X19" s="24" t="str">
        <f aca="false">IF(COUNT(H19,L19,P19,T19)=0,"",MAX(0,H19,L19,P19,T19))</f>
        <v/>
      </c>
      <c r="Y19" s="24" t="str">
        <f aca="false">IF(COUNT(H19,L19,P19,T19)=0,"",MIN(0,H19,L19,P19,T19))</f>
        <v/>
      </c>
      <c r="Z19" s="25" t="str">
        <f aca="false">IF(AND(C19="",D19="",COUNT(E19,G19,H19,I19,K19,L19,M19,O19,P19,Q19,S19,T19,U19)=0),"",IF(AND(X19&lt;&gt;"",X19&gt;$R$4),"Realce alto",IF(W19="Sem HPF","Sem HPF",IF(OR(W19="Abaixo da faixa",W19="Acima da faixa"),"HPF fora da faixa",IF(AND((H19&gt;0)+(L19&gt;0)+(P19&gt;0)+(T19&gt;0)&gt;0,(H19&lt;0)+(L19&lt;0)+(P19&lt;0)+(T19&lt;0)=0),"Só realces","OK")))))</f>
        <v/>
      </c>
      <c r="AA19" s="26" t="str">
        <f aca="false">IF(Z19="","",IF(Z19="Realce alto","Realce de "&amp;X19&amp;" dB: procure antes o que cortar e confira o microfone",IF(Z19="Sem HPF","Ligue o passa-altas: comece em "&amp;V19,IF(Z19="HPF fora da faixa","Partida sugerida: "&amp;V19&amp;". Confira ouvindo",IF(Z19="Só realces","Procure o que cortar antes de realçar","Manter. Decida na mistura")))))</f>
        <v/>
      </c>
      <c r="AB19" s="5"/>
    </row>
    <row r="20" customFormat="false" ht="21.75" hidden="false" customHeight="true" outlineLevel="0" collapsed="false">
      <c r="B20" s="18" t="n">
        <v>7</v>
      </c>
      <c r="C20" s="5"/>
      <c r="D20" s="5"/>
      <c r="E20" s="19"/>
      <c r="F20" s="9"/>
      <c r="G20" s="19"/>
      <c r="H20" s="20"/>
      <c r="I20" s="21"/>
      <c r="J20" s="9"/>
      <c r="K20" s="19"/>
      <c r="L20" s="20"/>
      <c r="M20" s="21"/>
      <c r="N20" s="9"/>
      <c r="O20" s="19"/>
      <c r="P20" s="20"/>
      <c r="Q20" s="21"/>
      <c r="R20" s="9"/>
      <c r="S20" s="19"/>
      <c r="T20" s="20"/>
      <c r="U20" s="21"/>
      <c r="V20" s="22" t="str">
        <f aca="false">IF(D20="","",IFERROR(VLOOKUP(D20,'Guia por fonte'!$B$5:$I$16,5,0),"–"))</f>
        <v/>
      </c>
      <c r="W20" s="23" t="str">
        <f aca="false">IF(D20="","",IFERROR(IF(E20="",IF(VLOOKUP(D20,'Guia por fonte'!$B$5:$I$16,4,0)="Sim","Desligado","Sem HPF"),IF(E20&lt;VLOOKUP(D20,'Guia por fonte'!$B$5:$I$16,2,0),"Abaixo da faixa",IF(E20&gt;VLOOKUP(D20,'Guia por fonte'!$B$5:$I$16,3,0),"Acima da faixa","OK"))),"–"))</f>
        <v/>
      </c>
      <c r="X20" s="24" t="str">
        <f aca="false">IF(COUNT(H20,L20,P20,T20)=0,"",MAX(0,H20,L20,P20,T20))</f>
        <v/>
      </c>
      <c r="Y20" s="24" t="str">
        <f aca="false">IF(COUNT(H20,L20,P20,T20)=0,"",MIN(0,H20,L20,P20,T20))</f>
        <v/>
      </c>
      <c r="Z20" s="25" t="str">
        <f aca="false">IF(AND(C20="",D20="",COUNT(E20,G20,H20,I20,K20,L20,M20,O20,P20,Q20,S20,T20,U20)=0),"",IF(AND(X20&lt;&gt;"",X20&gt;$R$4),"Realce alto",IF(W20="Sem HPF","Sem HPF",IF(OR(W20="Abaixo da faixa",W20="Acima da faixa"),"HPF fora da faixa",IF(AND((H20&gt;0)+(L20&gt;0)+(P20&gt;0)+(T20&gt;0)&gt;0,(H20&lt;0)+(L20&lt;0)+(P20&lt;0)+(T20&lt;0)=0),"Só realces","OK")))))</f>
        <v/>
      </c>
      <c r="AA20" s="26" t="str">
        <f aca="false">IF(Z20="","",IF(Z20="Realce alto","Realce de "&amp;X20&amp;" dB: procure antes o que cortar e confira o microfone",IF(Z20="Sem HPF","Ligue o passa-altas: comece em "&amp;V20,IF(Z20="HPF fora da faixa","Partida sugerida: "&amp;V20&amp;". Confira ouvindo",IF(Z20="Só realces","Procure o que cortar antes de realçar","Manter. Decida na mistura")))))</f>
        <v/>
      </c>
      <c r="AB20" s="5"/>
    </row>
    <row r="21" customFormat="false" ht="21.75" hidden="false" customHeight="true" outlineLevel="0" collapsed="false">
      <c r="B21" s="18" t="n">
        <v>8</v>
      </c>
      <c r="C21" s="5"/>
      <c r="D21" s="5"/>
      <c r="E21" s="19"/>
      <c r="F21" s="9"/>
      <c r="G21" s="19"/>
      <c r="H21" s="20"/>
      <c r="I21" s="21"/>
      <c r="J21" s="9"/>
      <c r="K21" s="19"/>
      <c r="L21" s="20"/>
      <c r="M21" s="21"/>
      <c r="N21" s="9"/>
      <c r="O21" s="19"/>
      <c r="P21" s="20"/>
      <c r="Q21" s="21"/>
      <c r="R21" s="9"/>
      <c r="S21" s="19"/>
      <c r="T21" s="20"/>
      <c r="U21" s="21"/>
      <c r="V21" s="22" t="str">
        <f aca="false">IF(D21="","",IFERROR(VLOOKUP(D21,'Guia por fonte'!$B$5:$I$16,5,0),"–"))</f>
        <v/>
      </c>
      <c r="W21" s="23" t="str">
        <f aca="false">IF(D21="","",IFERROR(IF(E21="",IF(VLOOKUP(D21,'Guia por fonte'!$B$5:$I$16,4,0)="Sim","Desligado","Sem HPF"),IF(E21&lt;VLOOKUP(D21,'Guia por fonte'!$B$5:$I$16,2,0),"Abaixo da faixa",IF(E21&gt;VLOOKUP(D21,'Guia por fonte'!$B$5:$I$16,3,0),"Acima da faixa","OK"))),"–"))</f>
        <v/>
      </c>
      <c r="X21" s="24" t="str">
        <f aca="false">IF(COUNT(H21,L21,P21,T21)=0,"",MAX(0,H21,L21,P21,T21))</f>
        <v/>
      </c>
      <c r="Y21" s="24" t="str">
        <f aca="false">IF(COUNT(H21,L21,P21,T21)=0,"",MIN(0,H21,L21,P21,T21))</f>
        <v/>
      </c>
      <c r="Z21" s="25" t="str">
        <f aca="false">IF(AND(C21="",D21="",COUNT(E21,G21,H21,I21,K21,L21,M21,O21,P21,Q21,S21,T21,U21)=0),"",IF(AND(X21&lt;&gt;"",X21&gt;$R$4),"Realce alto",IF(W21="Sem HPF","Sem HPF",IF(OR(W21="Abaixo da faixa",W21="Acima da faixa"),"HPF fora da faixa",IF(AND((H21&gt;0)+(L21&gt;0)+(P21&gt;0)+(T21&gt;0)&gt;0,(H21&lt;0)+(L21&lt;0)+(P21&lt;0)+(T21&lt;0)=0),"Só realces","OK")))))</f>
        <v/>
      </c>
      <c r="AA21" s="26" t="str">
        <f aca="false">IF(Z21="","",IF(Z21="Realce alto","Realce de "&amp;X21&amp;" dB: procure antes o que cortar e confira o microfone",IF(Z21="Sem HPF","Ligue o passa-altas: comece em "&amp;V21,IF(Z21="HPF fora da faixa","Partida sugerida: "&amp;V21&amp;". Confira ouvindo",IF(Z21="Só realces","Procure o que cortar antes de realçar","Manter. Decida na mistura")))))</f>
        <v/>
      </c>
      <c r="AB21" s="5"/>
    </row>
    <row r="22" customFormat="false" ht="21.75" hidden="false" customHeight="true" outlineLevel="0" collapsed="false">
      <c r="B22" s="18" t="n">
        <v>9</v>
      </c>
      <c r="C22" s="5"/>
      <c r="D22" s="5"/>
      <c r="E22" s="19"/>
      <c r="F22" s="9"/>
      <c r="G22" s="19"/>
      <c r="H22" s="20"/>
      <c r="I22" s="21"/>
      <c r="J22" s="9"/>
      <c r="K22" s="19"/>
      <c r="L22" s="20"/>
      <c r="M22" s="21"/>
      <c r="N22" s="9"/>
      <c r="O22" s="19"/>
      <c r="P22" s="20"/>
      <c r="Q22" s="21"/>
      <c r="R22" s="9"/>
      <c r="S22" s="19"/>
      <c r="T22" s="20"/>
      <c r="U22" s="21"/>
      <c r="V22" s="22" t="str">
        <f aca="false">IF(D22="","",IFERROR(VLOOKUP(D22,'Guia por fonte'!$B$5:$I$16,5,0),"–"))</f>
        <v/>
      </c>
      <c r="W22" s="23" t="str">
        <f aca="false">IF(D22="","",IFERROR(IF(E22="",IF(VLOOKUP(D22,'Guia por fonte'!$B$5:$I$16,4,0)="Sim","Desligado","Sem HPF"),IF(E22&lt;VLOOKUP(D22,'Guia por fonte'!$B$5:$I$16,2,0),"Abaixo da faixa",IF(E22&gt;VLOOKUP(D22,'Guia por fonte'!$B$5:$I$16,3,0),"Acima da faixa","OK"))),"–"))</f>
        <v/>
      </c>
      <c r="X22" s="24" t="str">
        <f aca="false">IF(COUNT(H22,L22,P22,T22)=0,"",MAX(0,H22,L22,P22,T22))</f>
        <v/>
      </c>
      <c r="Y22" s="24" t="str">
        <f aca="false">IF(COUNT(H22,L22,P22,T22)=0,"",MIN(0,H22,L22,P22,T22))</f>
        <v/>
      </c>
      <c r="Z22" s="25" t="str">
        <f aca="false">IF(AND(C22="",D22="",COUNT(E22,G22,H22,I22,K22,L22,M22,O22,P22,Q22,S22,T22,U22)=0),"",IF(AND(X22&lt;&gt;"",X22&gt;$R$4),"Realce alto",IF(W22="Sem HPF","Sem HPF",IF(OR(W22="Abaixo da faixa",W22="Acima da faixa"),"HPF fora da faixa",IF(AND((H22&gt;0)+(L22&gt;0)+(P22&gt;0)+(T22&gt;0)&gt;0,(H22&lt;0)+(L22&lt;0)+(P22&lt;0)+(T22&lt;0)=0),"Só realces","OK")))))</f>
        <v/>
      </c>
      <c r="AA22" s="26" t="str">
        <f aca="false">IF(Z22="","",IF(Z22="Realce alto","Realce de "&amp;X22&amp;" dB: procure antes o que cortar e confira o microfone",IF(Z22="Sem HPF","Ligue o passa-altas: comece em "&amp;V22,IF(Z22="HPF fora da faixa","Partida sugerida: "&amp;V22&amp;". Confira ouvindo",IF(Z22="Só realces","Procure o que cortar antes de realçar","Manter. Decida na mistura")))))</f>
        <v/>
      </c>
      <c r="AB22" s="5"/>
    </row>
    <row r="23" customFormat="false" ht="21.75" hidden="false" customHeight="true" outlineLevel="0" collapsed="false">
      <c r="B23" s="18" t="n">
        <v>10</v>
      </c>
      <c r="C23" s="5"/>
      <c r="D23" s="5"/>
      <c r="E23" s="19"/>
      <c r="F23" s="9"/>
      <c r="G23" s="19"/>
      <c r="H23" s="20"/>
      <c r="I23" s="21"/>
      <c r="J23" s="9"/>
      <c r="K23" s="19"/>
      <c r="L23" s="20"/>
      <c r="M23" s="21"/>
      <c r="N23" s="9"/>
      <c r="O23" s="19"/>
      <c r="P23" s="20"/>
      <c r="Q23" s="21"/>
      <c r="R23" s="9"/>
      <c r="S23" s="19"/>
      <c r="T23" s="20"/>
      <c r="U23" s="21"/>
      <c r="V23" s="22" t="str">
        <f aca="false">IF(D23="","",IFERROR(VLOOKUP(D23,'Guia por fonte'!$B$5:$I$16,5,0),"–"))</f>
        <v/>
      </c>
      <c r="W23" s="23" t="str">
        <f aca="false">IF(D23="","",IFERROR(IF(E23="",IF(VLOOKUP(D23,'Guia por fonte'!$B$5:$I$16,4,0)="Sim","Desligado","Sem HPF"),IF(E23&lt;VLOOKUP(D23,'Guia por fonte'!$B$5:$I$16,2,0),"Abaixo da faixa",IF(E23&gt;VLOOKUP(D23,'Guia por fonte'!$B$5:$I$16,3,0),"Acima da faixa","OK"))),"–"))</f>
        <v/>
      </c>
      <c r="X23" s="24" t="str">
        <f aca="false">IF(COUNT(H23,L23,P23,T23)=0,"",MAX(0,H23,L23,P23,T23))</f>
        <v/>
      </c>
      <c r="Y23" s="24" t="str">
        <f aca="false">IF(COUNT(H23,L23,P23,T23)=0,"",MIN(0,H23,L23,P23,T23))</f>
        <v/>
      </c>
      <c r="Z23" s="25" t="str">
        <f aca="false">IF(AND(C23="",D23="",COUNT(E23,G23,H23,I23,K23,L23,M23,O23,P23,Q23,S23,T23,U23)=0),"",IF(AND(X23&lt;&gt;"",X23&gt;$R$4),"Realce alto",IF(W23="Sem HPF","Sem HPF",IF(OR(W23="Abaixo da faixa",W23="Acima da faixa"),"HPF fora da faixa",IF(AND((H23&gt;0)+(L23&gt;0)+(P23&gt;0)+(T23&gt;0)&gt;0,(H23&lt;0)+(L23&lt;0)+(P23&lt;0)+(T23&lt;0)=0),"Só realces","OK")))))</f>
        <v/>
      </c>
      <c r="AA23" s="26" t="str">
        <f aca="false">IF(Z23="","",IF(Z23="Realce alto","Realce de "&amp;X23&amp;" dB: procure antes o que cortar e confira o microfone",IF(Z23="Sem HPF","Ligue o passa-altas: comece em "&amp;V23,IF(Z23="HPF fora da faixa","Partida sugerida: "&amp;V23&amp;". Confira ouvindo",IF(Z23="Só realces","Procure o que cortar antes de realçar","Manter. Decida na mistura")))))</f>
        <v/>
      </c>
      <c r="AB23" s="5"/>
    </row>
    <row r="24" customFormat="false" ht="21.75" hidden="false" customHeight="true" outlineLevel="0" collapsed="false">
      <c r="B24" s="18" t="n">
        <v>11</v>
      </c>
      <c r="C24" s="5"/>
      <c r="D24" s="5"/>
      <c r="E24" s="19"/>
      <c r="F24" s="9"/>
      <c r="G24" s="19"/>
      <c r="H24" s="20"/>
      <c r="I24" s="21"/>
      <c r="J24" s="9"/>
      <c r="K24" s="19"/>
      <c r="L24" s="20"/>
      <c r="M24" s="21"/>
      <c r="N24" s="9"/>
      <c r="O24" s="19"/>
      <c r="P24" s="20"/>
      <c r="Q24" s="21"/>
      <c r="R24" s="9"/>
      <c r="S24" s="19"/>
      <c r="T24" s="20"/>
      <c r="U24" s="21"/>
      <c r="V24" s="22" t="str">
        <f aca="false">IF(D24="","",IFERROR(VLOOKUP(D24,'Guia por fonte'!$B$5:$I$16,5,0),"–"))</f>
        <v/>
      </c>
      <c r="W24" s="23" t="str">
        <f aca="false">IF(D24="","",IFERROR(IF(E24="",IF(VLOOKUP(D24,'Guia por fonte'!$B$5:$I$16,4,0)="Sim","Desligado","Sem HPF"),IF(E24&lt;VLOOKUP(D24,'Guia por fonte'!$B$5:$I$16,2,0),"Abaixo da faixa",IF(E24&gt;VLOOKUP(D24,'Guia por fonte'!$B$5:$I$16,3,0),"Acima da faixa","OK"))),"–"))</f>
        <v/>
      </c>
      <c r="X24" s="24" t="str">
        <f aca="false">IF(COUNT(H24,L24,P24,T24)=0,"",MAX(0,H24,L24,P24,T24))</f>
        <v/>
      </c>
      <c r="Y24" s="24" t="str">
        <f aca="false">IF(COUNT(H24,L24,P24,T24)=0,"",MIN(0,H24,L24,P24,T24))</f>
        <v/>
      </c>
      <c r="Z24" s="25" t="str">
        <f aca="false">IF(AND(C24="",D24="",COUNT(E24,G24,H24,I24,K24,L24,M24,O24,P24,Q24,S24,T24,U24)=0),"",IF(AND(X24&lt;&gt;"",X24&gt;$R$4),"Realce alto",IF(W24="Sem HPF","Sem HPF",IF(OR(W24="Abaixo da faixa",W24="Acima da faixa"),"HPF fora da faixa",IF(AND((H24&gt;0)+(L24&gt;0)+(P24&gt;0)+(T24&gt;0)&gt;0,(H24&lt;0)+(L24&lt;0)+(P24&lt;0)+(T24&lt;0)=0),"Só realces","OK")))))</f>
        <v/>
      </c>
      <c r="AA24" s="26" t="str">
        <f aca="false">IF(Z24="","",IF(Z24="Realce alto","Realce de "&amp;X24&amp;" dB: procure antes o que cortar e confira o microfone",IF(Z24="Sem HPF","Ligue o passa-altas: comece em "&amp;V24,IF(Z24="HPF fora da faixa","Partida sugerida: "&amp;V24&amp;". Confira ouvindo",IF(Z24="Só realces","Procure o que cortar antes de realçar","Manter. Decida na mistura")))))</f>
        <v/>
      </c>
      <c r="AB24" s="5"/>
    </row>
    <row r="25" customFormat="false" ht="21.75" hidden="false" customHeight="true" outlineLevel="0" collapsed="false">
      <c r="B25" s="18" t="n">
        <v>12</v>
      </c>
      <c r="C25" s="5"/>
      <c r="D25" s="5"/>
      <c r="E25" s="19"/>
      <c r="F25" s="9"/>
      <c r="G25" s="19"/>
      <c r="H25" s="20"/>
      <c r="I25" s="21"/>
      <c r="J25" s="9"/>
      <c r="K25" s="19"/>
      <c r="L25" s="20"/>
      <c r="M25" s="21"/>
      <c r="N25" s="9"/>
      <c r="O25" s="19"/>
      <c r="P25" s="20"/>
      <c r="Q25" s="21"/>
      <c r="R25" s="9"/>
      <c r="S25" s="19"/>
      <c r="T25" s="20"/>
      <c r="U25" s="21"/>
      <c r="V25" s="22" t="str">
        <f aca="false">IF(D25="","",IFERROR(VLOOKUP(D25,'Guia por fonte'!$B$5:$I$16,5,0),"–"))</f>
        <v/>
      </c>
      <c r="W25" s="23" t="str">
        <f aca="false">IF(D25="","",IFERROR(IF(E25="",IF(VLOOKUP(D25,'Guia por fonte'!$B$5:$I$16,4,0)="Sim","Desligado","Sem HPF"),IF(E25&lt;VLOOKUP(D25,'Guia por fonte'!$B$5:$I$16,2,0),"Abaixo da faixa",IF(E25&gt;VLOOKUP(D25,'Guia por fonte'!$B$5:$I$16,3,0),"Acima da faixa","OK"))),"–"))</f>
        <v/>
      </c>
      <c r="X25" s="24" t="str">
        <f aca="false">IF(COUNT(H25,L25,P25,T25)=0,"",MAX(0,H25,L25,P25,T25))</f>
        <v/>
      </c>
      <c r="Y25" s="24" t="str">
        <f aca="false">IF(COUNT(H25,L25,P25,T25)=0,"",MIN(0,H25,L25,P25,T25))</f>
        <v/>
      </c>
      <c r="Z25" s="25" t="str">
        <f aca="false">IF(AND(C25="",D25="",COUNT(E25,G25,H25,I25,K25,L25,M25,O25,P25,Q25,S25,T25,U25)=0),"",IF(AND(X25&lt;&gt;"",X25&gt;$R$4),"Realce alto",IF(W25="Sem HPF","Sem HPF",IF(OR(W25="Abaixo da faixa",W25="Acima da faixa"),"HPF fora da faixa",IF(AND((H25&gt;0)+(L25&gt;0)+(P25&gt;0)+(T25&gt;0)&gt;0,(H25&lt;0)+(L25&lt;0)+(P25&lt;0)+(T25&lt;0)=0),"Só realces","OK")))))</f>
        <v/>
      </c>
      <c r="AA25" s="26" t="str">
        <f aca="false">IF(Z25="","",IF(Z25="Realce alto","Realce de "&amp;X25&amp;" dB: procure antes o que cortar e confira o microfone",IF(Z25="Sem HPF","Ligue o passa-altas: comece em "&amp;V25,IF(Z25="HPF fora da faixa","Partida sugerida: "&amp;V25&amp;". Confira ouvindo",IF(Z25="Só realces","Procure o que cortar antes de realçar","Manter. Decida na mistura")))))</f>
        <v/>
      </c>
      <c r="AB25" s="5"/>
    </row>
    <row r="26" customFormat="false" ht="21.75" hidden="false" customHeight="true" outlineLevel="0" collapsed="false">
      <c r="B26" s="18" t="n">
        <v>13</v>
      </c>
      <c r="C26" s="5"/>
      <c r="D26" s="5"/>
      <c r="E26" s="19"/>
      <c r="F26" s="9"/>
      <c r="G26" s="19"/>
      <c r="H26" s="20"/>
      <c r="I26" s="21"/>
      <c r="J26" s="9"/>
      <c r="K26" s="19"/>
      <c r="L26" s="20"/>
      <c r="M26" s="21"/>
      <c r="N26" s="9"/>
      <c r="O26" s="19"/>
      <c r="P26" s="20"/>
      <c r="Q26" s="21"/>
      <c r="R26" s="9"/>
      <c r="S26" s="19"/>
      <c r="T26" s="20"/>
      <c r="U26" s="21"/>
      <c r="V26" s="22" t="str">
        <f aca="false">IF(D26="","",IFERROR(VLOOKUP(D26,'Guia por fonte'!$B$5:$I$16,5,0),"–"))</f>
        <v/>
      </c>
      <c r="W26" s="23" t="str">
        <f aca="false">IF(D26="","",IFERROR(IF(E26="",IF(VLOOKUP(D26,'Guia por fonte'!$B$5:$I$16,4,0)="Sim","Desligado","Sem HPF"),IF(E26&lt;VLOOKUP(D26,'Guia por fonte'!$B$5:$I$16,2,0),"Abaixo da faixa",IF(E26&gt;VLOOKUP(D26,'Guia por fonte'!$B$5:$I$16,3,0),"Acima da faixa","OK"))),"–"))</f>
        <v/>
      </c>
      <c r="X26" s="24" t="str">
        <f aca="false">IF(COUNT(H26,L26,P26,T26)=0,"",MAX(0,H26,L26,P26,T26))</f>
        <v/>
      </c>
      <c r="Y26" s="24" t="str">
        <f aca="false">IF(COUNT(H26,L26,P26,T26)=0,"",MIN(0,H26,L26,P26,T26))</f>
        <v/>
      </c>
      <c r="Z26" s="25" t="str">
        <f aca="false">IF(AND(C26="",D26="",COUNT(E26,G26,H26,I26,K26,L26,M26,O26,P26,Q26,S26,T26,U26)=0),"",IF(AND(X26&lt;&gt;"",X26&gt;$R$4),"Realce alto",IF(W26="Sem HPF","Sem HPF",IF(OR(W26="Abaixo da faixa",W26="Acima da faixa"),"HPF fora da faixa",IF(AND((H26&gt;0)+(L26&gt;0)+(P26&gt;0)+(T26&gt;0)&gt;0,(H26&lt;0)+(L26&lt;0)+(P26&lt;0)+(T26&lt;0)=0),"Só realces","OK")))))</f>
        <v/>
      </c>
      <c r="AA26" s="26" t="str">
        <f aca="false">IF(Z26="","",IF(Z26="Realce alto","Realce de "&amp;X26&amp;" dB: procure antes o que cortar e confira o microfone",IF(Z26="Sem HPF","Ligue o passa-altas: comece em "&amp;V26,IF(Z26="HPF fora da faixa","Partida sugerida: "&amp;V26&amp;". Confira ouvindo",IF(Z26="Só realces","Procure o que cortar antes de realçar","Manter. Decida na mistura")))))</f>
        <v/>
      </c>
      <c r="AB26" s="5"/>
    </row>
    <row r="27" customFormat="false" ht="21.75" hidden="false" customHeight="true" outlineLevel="0" collapsed="false">
      <c r="B27" s="18" t="n">
        <v>14</v>
      </c>
      <c r="C27" s="5"/>
      <c r="D27" s="5"/>
      <c r="E27" s="19"/>
      <c r="F27" s="9"/>
      <c r="G27" s="19"/>
      <c r="H27" s="20"/>
      <c r="I27" s="21"/>
      <c r="J27" s="9"/>
      <c r="K27" s="19"/>
      <c r="L27" s="20"/>
      <c r="M27" s="21"/>
      <c r="N27" s="9"/>
      <c r="O27" s="19"/>
      <c r="P27" s="20"/>
      <c r="Q27" s="21"/>
      <c r="R27" s="9"/>
      <c r="S27" s="19"/>
      <c r="T27" s="20"/>
      <c r="U27" s="21"/>
      <c r="V27" s="22" t="str">
        <f aca="false">IF(D27="","",IFERROR(VLOOKUP(D27,'Guia por fonte'!$B$5:$I$16,5,0),"–"))</f>
        <v/>
      </c>
      <c r="W27" s="23" t="str">
        <f aca="false">IF(D27="","",IFERROR(IF(E27="",IF(VLOOKUP(D27,'Guia por fonte'!$B$5:$I$16,4,0)="Sim","Desligado","Sem HPF"),IF(E27&lt;VLOOKUP(D27,'Guia por fonte'!$B$5:$I$16,2,0),"Abaixo da faixa",IF(E27&gt;VLOOKUP(D27,'Guia por fonte'!$B$5:$I$16,3,0),"Acima da faixa","OK"))),"–"))</f>
        <v/>
      </c>
      <c r="X27" s="24" t="str">
        <f aca="false">IF(COUNT(H27,L27,P27,T27)=0,"",MAX(0,H27,L27,P27,T27))</f>
        <v/>
      </c>
      <c r="Y27" s="24" t="str">
        <f aca="false">IF(COUNT(H27,L27,P27,T27)=0,"",MIN(0,H27,L27,P27,T27))</f>
        <v/>
      </c>
      <c r="Z27" s="25" t="str">
        <f aca="false">IF(AND(C27="",D27="",COUNT(E27,G27,H27,I27,K27,L27,M27,O27,P27,Q27,S27,T27,U27)=0),"",IF(AND(X27&lt;&gt;"",X27&gt;$R$4),"Realce alto",IF(W27="Sem HPF","Sem HPF",IF(OR(W27="Abaixo da faixa",W27="Acima da faixa"),"HPF fora da faixa",IF(AND((H27&gt;0)+(L27&gt;0)+(P27&gt;0)+(T27&gt;0)&gt;0,(H27&lt;0)+(L27&lt;0)+(P27&lt;0)+(T27&lt;0)=0),"Só realces","OK")))))</f>
        <v/>
      </c>
      <c r="AA27" s="26" t="str">
        <f aca="false">IF(Z27="","",IF(Z27="Realce alto","Realce de "&amp;X27&amp;" dB: procure antes o que cortar e confira o microfone",IF(Z27="Sem HPF","Ligue o passa-altas: comece em "&amp;V27,IF(Z27="HPF fora da faixa","Partida sugerida: "&amp;V27&amp;". Confira ouvindo",IF(Z27="Só realces","Procure o que cortar antes de realçar","Manter. Decida na mistura")))))</f>
        <v/>
      </c>
      <c r="AB27" s="5"/>
    </row>
    <row r="28" customFormat="false" ht="21.75" hidden="false" customHeight="true" outlineLevel="0" collapsed="false">
      <c r="B28" s="18" t="n">
        <v>15</v>
      </c>
      <c r="C28" s="5"/>
      <c r="D28" s="5"/>
      <c r="E28" s="19"/>
      <c r="F28" s="9"/>
      <c r="G28" s="19"/>
      <c r="H28" s="20"/>
      <c r="I28" s="21"/>
      <c r="J28" s="9"/>
      <c r="K28" s="19"/>
      <c r="L28" s="20"/>
      <c r="M28" s="21"/>
      <c r="N28" s="9"/>
      <c r="O28" s="19"/>
      <c r="P28" s="20"/>
      <c r="Q28" s="21"/>
      <c r="R28" s="9"/>
      <c r="S28" s="19"/>
      <c r="T28" s="20"/>
      <c r="U28" s="21"/>
      <c r="V28" s="22" t="str">
        <f aca="false">IF(D28="","",IFERROR(VLOOKUP(D28,'Guia por fonte'!$B$5:$I$16,5,0),"–"))</f>
        <v/>
      </c>
      <c r="W28" s="23" t="str">
        <f aca="false">IF(D28="","",IFERROR(IF(E28="",IF(VLOOKUP(D28,'Guia por fonte'!$B$5:$I$16,4,0)="Sim","Desligado","Sem HPF"),IF(E28&lt;VLOOKUP(D28,'Guia por fonte'!$B$5:$I$16,2,0),"Abaixo da faixa",IF(E28&gt;VLOOKUP(D28,'Guia por fonte'!$B$5:$I$16,3,0),"Acima da faixa","OK"))),"–"))</f>
        <v/>
      </c>
      <c r="X28" s="24" t="str">
        <f aca="false">IF(COUNT(H28,L28,P28,T28)=0,"",MAX(0,H28,L28,P28,T28))</f>
        <v/>
      </c>
      <c r="Y28" s="24" t="str">
        <f aca="false">IF(COUNT(H28,L28,P28,T28)=0,"",MIN(0,H28,L28,P28,T28))</f>
        <v/>
      </c>
      <c r="Z28" s="25" t="str">
        <f aca="false">IF(AND(C28="",D28="",COUNT(E28,G28,H28,I28,K28,L28,M28,O28,P28,Q28,S28,T28,U28)=0),"",IF(AND(X28&lt;&gt;"",X28&gt;$R$4),"Realce alto",IF(W28="Sem HPF","Sem HPF",IF(OR(W28="Abaixo da faixa",W28="Acima da faixa"),"HPF fora da faixa",IF(AND((H28&gt;0)+(L28&gt;0)+(P28&gt;0)+(T28&gt;0)&gt;0,(H28&lt;0)+(L28&lt;0)+(P28&lt;0)+(T28&lt;0)=0),"Só realces","OK")))))</f>
        <v/>
      </c>
      <c r="AA28" s="26" t="str">
        <f aca="false">IF(Z28="","",IF(Z28="Realce alto","Realce de "&amp;X28&amp;" dB: procure antes o que cortar e confira o microfone",IF(Z28="Sem HPF","Ligue o passa-altas: comece em "&amp;V28,IF(Z28="HPF fora da faixa","Partida sugerida: "&amp;V28&amp;". Confira ouvindo",IF(Z28="Só realces","Procure o que cortar antes de realçar","Manter. Decida na mistura")))))</f>
        <v/>
      </c>
      <c r="AB28" s="5"/>
    </row>
    <row r="29" customFormat="false" ht="21.75" hidden="false" customHeight="true" outlineLevel="0" collapsed="false">
      <c r="B29" s="18" t="n">
        <v>16</v>
      </c>
      <c r="C29" s="5"/>
      <c r="D29" s="5"/>
      <c r="E29" s="19"/>
      <c r="F29" s="9"/>
      <c r="G29" s="19"/>
      <c r="H29" s="20"/>
      <c r="I29" s="21"/>
      <c r="J29" s="9"/>
      <c r="K29" s="19"/>
      <c r="L29" s="20"/>
      <c r="M29" s="21"/>
      <c r="N29" s="9"/>
      <c r="O29" s="19"/>
      <c r="P29" s="20"/>
      <c r="Q29" s="21"/>
      <c r="R29" s="9"/>
      <c r="S29" s="19"/>
      <c r="T29" s="20"/>
      <c r="U29" s="21"/>
      <c r="V29" s="22" t="str">
        <f aca="false">IF(D29="","",IFERROR(VLOOKUP(D29,'Guia por fonte'!$B$5:$I$16,5,0),"–"))</f>
        <v/>
      </c>
      <c r="W29" s="23" t="str">
        <f aca="false">IF(D29="","",IFERROR(IF(E29="",IF(VLOOKUP(D29,'Guia por fonte'!$B$5:$I$16,4,0)="Sim","Desligado","Sem HPF"),IF(E29&lt;VLOOKUP(D29,'Guia por fonte'!$B$5:$I$16,2,0),"Abaixo da faixa",IF(E29&gt;VLOOKUP(D29,'Guia por fonte'!$B$5:$I$16,3,0),"Acima da faixa","OK"))),"–"))</f>
        <v/>
      </c>
      <c r="X29" s="24" t="str">
        <f aca="false">IF(COUNT(H29,L29,P29,T29)=0,"",MAX(0,H29,L29,P29,T29))</f>
        <v/>
      </c>
      <c r="Y29" s="24" t="str">
        <f aca="false">IF(COUNT(H29,L29,P29,T29)=0,"",MIN(0,H29,L29,P29,T29))</f>
        <v/>
      </c>
      <c r="Z29" s="25" t="str">
        <f aca="false">IF(AND(C29="",D29="",COUNT(E29,G29,H29,I29,K29,L29,M29,O29,P29,Q29,S29,T29,U29)=0),"",IF(AND(X29&lt;&gt;"",X29&gt;$R$4),"Realce alto",IF(W29="Sem HPF","Sem HPF",IF(OR(W29="Abaixo da faixa",W29="Acima da faixa"),"HPF fora da faixa",IF(AND((H29&gt;0)+(L29&gt;0)+(P29&gt;0)+(T29&gt;0)&gt;0,(H29&lt;0)+(L29&lt;0)+(P29&lt;0)+(T29&lt;0)=0),"Só realces","OK")))))</f>
        <v/>
      </c>
      <c r="AA29" s="26" t="str">
        <f aca="false">IF(Z29="","",IF(Z29="Realce alto","Realce de "&amp;X29&amp;" dB: procure antes o que cortar e confira o microfone",IF(Z29="Sem HPF","Ligue o passa-altas: comece em "&amp;V29,IF(Z29="HPF fora da faixa","Partida sugerida: "&amp;V29&amp;". Confira ouvindo",IF(Z29="Só realces","Procure o que cortar antes de realçar","Manter. Decida na mistura")))))</f>
        <v/>
      </c>
      <c r="AB29" s="5"/>
    </row>
    <row r="30" customFormat="false" ht="21.75" hidden="false" customHeight="true" outlineLevel="0" collapsed="false">
      <c r="B30" s="18" t="n">
        <v>17</v>
      </c>
      <c r="C30" s="5"/>
      <c r="D30" s="5"/>
      <c r="E30" s="19"/>
      <c r="F30" s="9"/>
      <c r="G30" s="19"/>
      <c r="H30" s="20"/>
      <c r="I30" s="21"/>
      <c r="J30" s="9"/>
      <c r="K30" s="19"/>
      <c r="L30" s="20"/>
      <c r="M30" s="21"/>
      <c r="N30" s="9"/>
      <c r="O30" s="19"/>
      <c r="P30" s="20"/>
      <c r="Q30" s="21"/>
      <c r="R30" s="9"/>
      <c r="S30" s="19"/>
      <c r="T30" s="20"/>
      <c r="U30" s="21"/>
      <c r="V30" s="22" t="str">
        <f aca="false">IF(D30="","",IFERROR(VLOOKUP(D30,'Guia por fonte'!$B$5:$I$16,5,0),"–"))</f>
        <v/>
      </c>
      <c r="W30" s="23" t="str">
        <f aca="false">IF(D30="","",IFERROR(IF(E30="",IF(VLOOKUP(D30,'Guia por fonte'!$B$5:$I$16,4,0)="Sim","Desligado","Sem HPF"),IF(E30&lt;VLOOKUP(D30,'Guia por fonte'!$B$5:$I$16,2,0),"Abaixo da faixa",IF(E30&gt;VLOOKUP(D30,'Guia por fonte'!$B$5:$I$16,3,0),"Acima da faixa","OK"))),"–"))</f>
        <v/>
      </c>
      <c r="X30" s="24" t="str">
        <f aca="false">IF(COUNT(H30,L30,P30,T30)=0,"",MAX(0,H30,L30,P30,T30))</f>
        <v/>
      </c>
      <c r="Y30" s="24" t="str">
        <f aca="false">IF(COUNT(H30,L30,P30,T30)=0,"",MIN(0,H30,L30,P30,T30))</f>
        <v/>
      </c>
      <c r="Z30" s="25" t="str">
        <f aca="false">IF(AND(C30="",D30="",COUNT(E30,G30,H30,I30,K30,L30,M30,O30,P30,Q30,S30,T30,U30)=0),"",IF(AND(X30&lt;&gt;"",X30&gt;$R$4),"Realce alto",IF(W30="Sem HPF","Sem HPF",IF(OR(W30="Abaixo da faixa",W30="Acima da faixa"),"HPF fora da faixa",IF(AND((H30&gt;0)+(L30&gt;0)+(P30&gt;0)+(T30&gt;0)&gt;0,(H30&lt;0)+(L30&lt;0)+(P30&lt;0)+(T30&lt;0)=0),"Só realces","OK")))))</f>
        <v/>
      </c>
      <c r="AA30" s="26" t="str">
        <f aca="false">IF(Z30="","",IF(Z30="Realce alto","Realce de "&amp;X30&amp;" dB: procure antes o que cortar e confira o microfone",IF(Z30="Sem HPF","Ligue o passa-altas: comece em "&amp;V30,IF(Z30="HPF fora da faixa","Partida sugerida: "&amp;V30&amp;". Confira ouvindo",IF(Z30="Só realces","Procure o que cortar antes de realçar","Manter. Decida na mistura")))))</f>
        <v/>
      </c>
      <c r="AB30" s="5"/>
    </row>
    <row r="31" customFormat="false" ht="21.75" hidden="false" customHeight="true" outlineLevel="0" collapsed="false">
      <c r="B31" s="18" t="n">
        <v>18</v>
      </c>
      <c r="C31" s="5"/>
      <c r="D31" s="5"/>
      <c r="E31" s="19"/>
      <c r="F31" s="9"/>
      <c r="G31" s="19"/>
      <c r="H31" s="20"/>
      <c r="I31" s="21"/>
      <c r="J31" s="9"/>
      <c r="K31" s="19"/>
      <c r="L31" s="20"/>
      <c r="M31" s="21"/>
      <c r="N31" s="9"/>
      <c r="O31" s="19"/>
      <c r="P31" s="20"/>
      <c r="Q31" s="21"/>
      <c r="R31" s="9"/>
      <c r="S31" s="19"/>
      <c r="T31" s="20"/>
      <c r="U31" s="21"/>
      <c r="V31" s="22" t="str">
        <f aca="false">IF(D31="","",IFERROR(VLOOKUP(D31,'Guia por fonte'!$B$5:$I$16,5,0),"–"))</f>
        <v/>
      </c>
      <c r="W31" s="23" t="str">
        <f aca="false">IF(D31="","",IFERROR(IF(E31="",IF(VLOOKUP(D31,'Guia por fonte'!$B$5:$I$16,4,0)="Sim","Desligado","Sem HPF"),IF(E31&lt;VLOOKUP(D31,'Guia por fonte'!$B$5:$I$16,2,0),"Abaixo da faixa",IF(E31&gt;VLOOKUP(D31,'Guia por fonte'!$B$5:$I$16,3,0),"Acima da faixa","OK"))),"–"))</f>
        <v/>
      </c>
      <c r="X31" s="24" t="str">
        <f aca="false">IF(COUNT(H31,L31,P31,T31)=0,"",MAX(0,H31,L31,P31,T31))</f>
        <v/>
      </c>
      <c r="Y31" s="24" t="str">
        <f aca="false">IF(COUNT(H31,L31,P31,T31)=0,"",MIN(0,H31,L31,P31,T31))</f>
        <v/>
      </c>
      <c r="Z31" s="25" t="str">
        <f aca="false">IF(AND(C31="",D31="",COUNT(E31,G31,H31,I31,K31,L31,M31,O31,P31,Q31,S31,T31,U31)=0),"",IF(AND(X31&lt;&gt;"",X31&gt;$R$4),"Realce alto",IF(W31="Sem HPF","Sem HPF",IF(OR(W31="Abaixo da faixa",W31="Acima da faixa"),"HPF fora da faixa",IF(AND((H31&gt;0)+(L31&gt;0)+(P31&gt;0)+(T31&gt;0)&gt;0,(H31&lt;0)+(L31&lt;0)+(P31&lt;0)+(T31&lt;0)=0),"Só realces","OK")))))</f>
        <v/>
      </c>
      <c r="AA31" s="26" t="str">
        <f aca="false">IF(Z31="","",IF(Z31="Realce alto","Realce de "&amp;X31&amp;" dB: procure antes o que cortar e confira o microfone",IF(Z31="Sem HPF","Ligue o passa-altas: comece em "&amp;V31,IF(Z31="HPF fora da faixa","Partida sugerida: "&amp;V31&amp;". Confira ouvindo",IF(Z31="Só realces","Procure o que cortar antes de realçar","Manter. Decida na mistura")))))</f>
        <v/>
      </c>
      <c r="AB31" s="5"/>
    </row>
    <row r="32" customFormat="false" ht="21.75" hidden="false" customHeight="true" outlineLevel="0" collapsed="false">
      <c r="B32" s="18" t="n">
        <v>19</v>
      </c>
      <c r="C32" s="5"/>
      <c r="D32" s="5"/>
      <c r="E32" s="19"/>
      <c r="F32" s="9"/>
      <c r="G32" s="19"/>
      <c r="H32" s="20"/>
      <c r="I32" s="21"/>
      <c r="J32" s="9"/>
      <c r="K32" s="19"/>
      <c r="L32" s="20"/>
      <c r="M32" s="21"/>
      <c r="N32" s="9"/>
      <c r="O32" s="19"/>
      <c r="P32" s="20"/>
      <c r="Q32" s="21"/>
      <c r="R32" s="9"/>
      <c r="S32" s="19"/>
      <c r="T32" s="20"/>
      <c r="U32" s="21"/>
      <c r="V32" s="22" t="str">
        <f aca="false">IF(D32="","",IFERROR(VLOOKUP(D32,'Guia por fonte'!$B$5:$I$16,5,0),"–"))</f>
        <v/>
      </c>
      <c r="W32" s="23" t="str">
        <f aca="false">IF(D32="","",IFERROR(IF(E32="",IF(VLOOKUP(D32,'Guia por fonte'!$B$5:$I$16,4,0)="Sim","Desligado","Sem HPF"),IF(E32&lt;VLOOKUP(D32,'Guia por fonte'!$B$5:$I$16,2,0),"Abaixo da faixa",IF(E32&gt;VLOOKUP(D32,'Guia por fonte'!$B$5:$I$16,3,0),"Acima da faixa","OK"))),"–"))</f>
        <v/>
      </c>
      <c r="X32" s="24" t="str">
        <f aca="false">IF(COUNT(H32,L32,P32,T32)=0,"",MAX(0,H32,L32,P32,T32))</f>
        <v/>
      </c>
      <c r="Y32" s="24" t="str">
        <f aca="false">IF(COUNT(H32,L32,P32,T32)=0,"",MIN(0,H32,L32,P32,T32))</f>
        <v/>
      </c>
      <c r="Z32" s="25" t="str">
        <f aca="false">IF(AND(C32="",D32="",COUNT(E32,G32,H32,I32,K32,L32,M32,O32,P32,Q32,S32,T32,U32)=0),"",IF(AND(X32&lt;&gt;"",X32&gt;$R$4),"Realce alto",IF(W32="Sem HPF","Sem HPF",IF(OR(W32="Abaixo da faixa",W32="Acima da faixa"),"HPF fora da faixa",IF(AND((H32&gt;0)+(L32&gt;0)+(P32&gt;0)+(T32&gt;0)&gt;0,(H32&lt;0)+(L32&lt;0)+(P32&lt;0)+(T32&lt;0)=0),"Só realces","OK")))))</f>
        <v/>
      </c>
      <c r="AA32" s="26" t="str">
        <f aca="false">IF(Z32="","",IF(Z32="Realce alto","Realce de "&amp;X32&amp;" dB: procure antes o que cortar e confira o microfone",IF(Z32="Sem HPF","Ligue o passa-altas: comece em "&amp;V32,IF(Z32="HPF fora da faixa","Partida sugerida: "&amp;V32&amp;". Confira ouvindo",IF(Z32="Só realces","Procure o que cortar antes de realçar","Manter. Decida na mistura")))))</f>
        <v/>
      </c>
      <c r="AB32" s="5"/>
    </row>
    <row r="33" customFormat="false" ht="21.75" hidden="false" customHeight="true" outlineLevel="0" collapsed="false">
      <c r="B33" s="18" t="n">
        <v>20</v>
      </c>
      <c r="C33" s="5"/>
      <c r="D33" s="5"/>
      <c r="E33" s="19"/>
      <c r="F33" s="9"/>
      <c r="G33" s="19"/>
      <c r="H33" s="20"/>
      <c r="I33" s="21"/>
      <c r="J33" s="9"/>
      <c r="K33" s="19"/>
      <c r="L33" s="20"/>
      <c r="M33" s="21"/>
      <c r="N33" s="9"/>
      <c r="O33" s="19"/>
      <c r="P33" s="20"/>
      <c r="Q33" s="21"/>
      <c r="R33" s="9"/>
      <c r="S33" s="19"/>
      <c r="T33" s="20"/>
      <c r="U33" s="21"/>
      <c r="V33" s="22" t="str">
        <f aca="false">IF(D33="","",IFERROR(VLOOKUP(D33,'Guia por fonte'!$B$5:$I$16,5,0),"–"))</f>
        <v/>
      </c>
      <c r="W33" s="23" t="str">
        <f aca="false">IF(D33="","",IFERROR(IF(E33="",IF(VLOOKUP(D33,'Guia por fonte'!$B$5:$I$16,4,0)="Sim","Desligado","Sem HPF"),IF(E33&lt;VLOOKUP(D33,'Guia por fonte'!$B$5:$I$16,2,0),"Abaixo da faixa",IF(E33&gt;VLOOKUP(D33,'Guia por fonte'!$B$5:$I$16,3,0),"Acima da faixa","OK"))),"–"))</f>
        <v/>
      </c>
      <c r="X33" s="24" t="str">
        <f aca="false">IF(COUNT(H33,L33,P33,T33)=0,"",MAX(0,H33,L33,P33,T33))</f>
        <v/>
      </c>
      <c r="Y33" s="24" t="str">
        <f aca="false">IF(COUNT(H33,L33,P33,T33)=0,"",MIN(0,H33,L33,P33,T33))</f>
        <v/>
      </c>
      <c r="Z33" s="25" t="str">
        <f aca="false">IF(AND(C33="",D33="",COUNT(E33,G33,H33,I33,K33,L33,M33,O33,P33,Q33,S33,T33,U33)=0),"",IF(AND(X33&lt;&gt;"",X33&gt;$R$4),"Realce alto",IF(W33="Sem HPF","Sem HPF",IF(OR(W33="Abaixo da faixa",W33="Acima da faixa"),"HPF fora da faixa",IF(AND((H33&gt;0)+(L33&gt;0)+(P33&gt;0)+(T33&gt;0)&gt;0,(H33&lt;0)+(L33&lt;0)+(P33&lt;0)+(T33&lt;0)=0),"Só realces","OK")))))</f>
        <v/>
      </c>
      <c r="AA33" s="26" t="str">
        <f aca="false">IF(Z33="","",IF(Z33="Realce alto","Realce de "&amp;X33&amp;" dB: procure antes o que cortar e confira o microfone",IF(Z33="Sem HPF","Ligue o passa-altas: comece em "&amp;V33,IF(Z33="HPF fora da faixa","Partida sugerida: "&amp;V33&amp;". Confira ouvindo",IF(Z33="Só realces","Procure o que cortar antes de realçar","Manter. Decida na mistura")))))</f>
        <v/>
      </c>
      <c r="AB33" s="5"/>
    </row>
    <row r="34" customFormat="false" ht="21.75" hidden="false" customHeight="true" outlineLevel="0" collapsed="false">
      <c r="B34" s="18" t="n">
        <v>21</v>
      </c>
      <c r="C34" s="5"/>
      <c r="D34" s="5"/>
      <c r="E34" s="19"/>
      <c r="F34" s="9"/>
      <c r="G34" s="19"/>
      <c r="H34" s="20"/>
      <c r="I34" s="21"/>
      <c r="J34" s="9"/>
      <c r="K34" s="19"/>
      <c r="L34" s="20"/>
      <c r="M34" s="21"/>
      <c r="N34" s="9"/>
      <c r="O34" s="19"/>
      <c r="P34" s="20"/>
      <c r="Q34" s="21"/>
      <c r="R34" s="9"/>
      <c r="S34" s="19"/>
      <c r="T34" s="20"/>
      <c r="U34" s="21"/>
      <c r="V34" s="22" t="str">
        <f aca="false">IF(D34="","",IFERROR(VLOOKUP(D34,'Guia por fonte'!$B$5:$I$16,5,0),"–"))</f>
        <v/>
      </c>
      <c r="W34" s="23" t="str">
        <f aca="false">IF(D34="","",IFERROR(IF(E34="",IF(VLOOKUP(D34,'Guia por fonte'!$B$5:$I$16,4,0)="Sim","Desligado","Sem HPF"),IF(E34&lt;VLOOKUP(D34,'Guia por fonte'!$B$5:$I$16,2,0),"Abaixo da faixa",IF(E34&gt;VLOOKUP(D34,'Guia por fonte'!$B$5:$I$16,3,0),"Acima da faixa","OK"))),"–"))</f>
        <v/>
      </c>
      <c r="X34" s="24" t="str">
        <f aca="false">IF(COUNT(H34,L34,P34,T34)=0,"",MAX(0,H34,L34,P34,T34))</f>
        <v/>
      </c>
      <c r="Y34" s="24" t="str">
        <f aca="false">IF(COUNT(H34,L34,P34,T34)=0,"",MIN(0,H34,L34,P34,T34))</f>
        <v/>
      </c>
      <c r="Z34" s="25" t="str">
        <f aca="false">IF(AND(C34="",D34="",COUNT(E34,G34,H34,I34,K34,L34,M34,O34,P34,Q34,S34,T34,U34)=0),"",IF(AND(X34&lt;&gt;"",X34&gt;$R$4),"Realce alto",IF(W34="Sem HPF","Sem HPF",IF(OR(W34="Abaixo da faixa",W34="Acima da faixa"),"HPF fora da faixa",IF(AND((H34&gt;0)+(L34&gt;0)+(P34&gt;0)+(T34&gt;0)&gt;0,(H34&lt;0)+(L34&lt;0)+(P34&lt;0)+(T34&lt;0)=0),"Só realces","OK")))))</f>
        <v/>
      </c>
      <c r="AA34" s="26" t="str">
        <f aca="false">IF(Z34="","",IF(Z34="Realce alto","Realce de "&amp;X34&amp;" dB: procure antes o que cortar e confira o microfone",IF(Z34="Sem HPF","Ligue o passa-altas: comece em "&amp;V34,IF(Z34="HPF fora da faixa","Partida sugerida: "&amp;V34&amp;". Confira ouvindo",IF(Z34="Só realces","Procure o que cortar antes de realçar","Manter. Decida na mistura")))))</f>
        <v/>
      </c>
      <c r="AB34" s="5"/>
    </row>
    <row r="35" customFormat="false" ht="21.75" hidden="false" customHeight="true" outlineLevel="0" collapsed="false">
      <c r="B35" s="18" t="n">
        <v>22</v>
      </c>
      <c r="C35" s="5"/>
      <c r="D35" s="5"/>
      <c r="E35" s="19"/>
      <c r="F35" s="9"/>
      <c r="G35" s="19"/>
      <c r="H35" s="20"/>
      <c r="I35" s="21"/>
      <c r="J35" s="9"/>
      <c r="K35" s="19"/>
      <c r="L35" s="20"/>
      <c r="M35" s="21"/>
      <c r="N35" s="9"/>
      <c r="O35" s="19"/>
      <c r="P35" s="20"/>
      <c r="Q35" s="21"/>
      <c r="R35" s="9"/>
      <c r="S35" s="19"/>
      <c r="T35" s="20"/>
      <c r="U35" s="21"/>
      <c r="V35" s="22" t="str">
        <f aca="false">IF(D35="","",IFERROR(VLOOKUP(D35,'Guia por fonte'!$B$5:$I$16,5,0),"–"))</f>
        <v/>
      </c>
      <c r="W35" s="23" t="str">
        <f aca="false">IF(D35="","",IFERROR(IF(E35="",IF(VLOOKUP(D35,'Guia por fonte'!$B$5:$I$16,4,0)="Sim","Desligado","Sem HPF"),IF(E35&lt;VLOOKUP(D35,'Guia por fonte'!$B$5:$I$16,2,0),"Abaixo da faixa",IF(E35&gt;VLOOKUP(D35,'Guia por fonte'!$B$5:$I$16,3,0),"Acima da faixa","OK"))),"–"))</f>
        <v/>
      </c>
      <c r="X35" s="24" t="str">
        <f aca="false">IF(COUNT(H35,L35,P35,T35)=0,"",MAX(0,H35,L35,P35,T35))</f>
        <v/>
      </c>
      <c r="Y35" s="24" t="str">
        <f aca="false">IF(COUNT(H35,L35,P35,T35)=0,"",MIN(0,H35,L35,P35,T35))</f>
        <v/>
      </c>
      <c r="Z35" s="25" t="str">
        <f aca="false">IF(AND(C35="",D35="",COUNT(E35,G35,H35,I35,K35,L35,M35,O35,P35,Q35,S35,T35,U35)=0),"",IF(AND(X35&lt;&gt;"",X35&gt;$R$4),"Realce alto",IF(W35="Sem HPF","Sem HPF",IF(OR(W35="Abaixo da faixa",W35="Acima da faixa"),"HPF fora da faixa",IF(AND((H35&gt;0)+(L35&gt;0)+(P35&gt;0)+(T35&gt;0)&gt;0,(H35&lt;0)+(L35&lt;0)+(P35&lt;0)+(T35&lt;0)=0),"Só realces","OK")))))</f>
        <v/>
      </c>
      <c r="AA35" s="26" t="str">
        <f aca="false">IF(Z35="","",IF(Z35="Realce alto","Realce de "&amp;X35&amp;" dB: procure antes o que cortar e confira o microfone",IF(Z35="Sem HPF","Ligue o passa-altas: comece em "&amp;V35,IF(Z35="HPF fora da faixa","Partida sugerida: "&amp;V35&amp;". Confira ouvindo",IF(Z35="Só realces","Procure o que cortar antes de realçar","Manter. Decida na mistura")))))</f>
        <v/>
      </c>
      <c r="AB35" s="5"/>
    </row>
    <row r="36" customFormat="false" ht="21.75" hidden="false" customHeight="true" outlineLevel="0" collapsed="false">
      <c r="B36" s="18" t="n">
        <v>23</v>
      </c>
      <c r="C36" s="5"/>
      <c r="D36" s="5"/>
      <c r="E36" s="19"/>
      <c r="F36" s="9"/>
      <c r="G36" s="19"/>
      <c r="H36" s="20"/>
      <c r="I36" s="21"/>
      <c r="J36" s="9"/>
      <c r="K36" s="19"/>
      <c r="L36" s="20"/>
      <c r="M36" s="21"/>
      <c r="N36" s="9"/>
      <c r="O36" s="19"/>
      <c r="P36" s="20"/>
      <c r="Q36" s="21"/>
      <c r="R36" s="9"/>
      <c r="S36" s="19"/>
      <c r="T36" s="20"/>
      <c r="U36" s="21"/>
      <c r="V36" s="22" t="str">
        <f aca="false">IF(D36="","",IFERROR(VLOOKUP(D36,'Guia por fonte'!$B$5:$I$16,5,0),"–"))</f>
        <v/>
      </c>
      <c r="W36" s="23" t="str">
        <f aca="false">IF(D36="","",IFERROR(IF(E36="",IF(VLOOKUP(D36,'Guia por fonte'!$B$5:$I$16,4,0)="Sim","Desligado","Sem HPF"),IF(E36&lt;VLOOKUP(D36,'Guia por fonte'!$B$5:$I$16,2,0),"Abaixo da faixa",IF(E36&gt;VLOOKUP(D36,'Guia por fonte'!$B$5:$I$16,3,0),"Acima da faixa","OK"))),"–"))</f>
        <v/>
      </c>
      <c r="X36" s="24" t="str">
        <f aca="false">IF(COUNT(H36,L36,P36,T36)=0,"",MAX(0,H36,L36,P36,T36))</f>
        <v/>
      </c>
      <c r="Y36" s="24" t="str">
        <f aca="false">IF(COUNT(H36,L36,P36,T36)=0,"",MIN(0,H36,L36,P36,T36))</f>
        <v/>
      </c>
      <c r="Z36" s="25" t="str">
        <f aca="false">IF(AND(C36="",D36="",COUNT(E36,G36,H36,I36,K36,L36,M36,O36,P36,Q36,S36,T36,U36)=0),"",IF(AND(X36&lt;&gt;"",X36&gt;$R$4),"Realce alto",IF(W36="Sem HPF","Sem HPF",IF(OR(W36="Abaixo da faixa",W36="Acima da faixa"),"HPF fora da faixa",IF(AND((H36&gt;0)+(L36&gt;0)+(P36&gt;0)+(T36&gt;0)&gt;0,(H36&lt;0)+(L36&lt;0)+(P36&lt;0)+(T36&lt;0)=0),"Só realces","OK")))))</f>
        <v/>
      </c>
      <c r="AA36" s="26" t="str">
        <f aca="false">IF(Z36="","",IF(Z36="Realce alto","Realce de "&amp;X36&amp;" dB: procure antes o que cortar e confira o microfone",IF(Z36="Sem HPF","Ligue o passa-altas: comece em "&amp;V36,IF(Z36="HPF fora da faixa","Partida sugerida: "&amp;V36&amp;". Confira ouvindo",IF(Z36="Só realces","Procure o que cortar antes de realçar","Manter. Decida na mistura")))))</f>
        <v/>
      </c>
      <c r="AB36" s="5"/>
    </row>
    <row r="37" customFormat="false" ht="21.75" hidden="false" customHeight="true" outlineLevel="0" collapsed="false">
      <c r="B37" s="18" t="n">
        <v>24</v>
      </c>
      <c r="C37" s="5"/>
      <c r="D37" s="5"/>
      <c r="E37" s="19"/>
      <c r="F37" s="9"/>
      <c r="G37" s="19"/>
      <c r="H37" s="20"/>
      <c r="I37" s="21"/>
      <c r="J37" s="9"/>
      <c r="K37" s="19"/>
      <c r="L37" s="20"/>
      <c r="M37" s="21"/>
      <c r="N37" s="9"/>
      <c r="O37" s="19"/>
      <c r="P37" s="20"/>
      <c r="Q37" s="21"/>
      <c r="R37" s="9"/>
      <c r="S37" s="19"/>
      <c r="T37" s="20"/>
      <c r="U37" s="21"/>
      <c r="V37" s="22" t="str">
        <f aca="false">IF(D37="","",IFERROR(VLOOKUP(D37,'Guia por fonte'!$B$5:$I$16,5,0),"–"))</f>
        <v/>
      </c>
      <c r="W37" s="23" t="str">
        <f aca="false">IF(D37="","",IFERROR(IF(E37="",IF(VLOOKUP(D37,'Guia por fonte'!$B$5:$I$16,4,0)="Sim","Desligado","Sem HPF"),IF(E37&lt;VLOOKUP(D37,'Guia por fonte'!$B$5:$I$16,2,0),"Abaixo da faixa",IF(E37&gt;VLOOKUP(D37,'Guia por fonte'!$B$5:$I$16,3,0),"Acima da faixa","OK"))),"–"))</f>
        <v/>
      </c>
      <c r="X37" s="24" t="str">
        <f aca="false">IF(COUNT(H37,L37,P37,T37)=0,"",MAX(0,H37,L37,P37,T37))</f>
        <v/>
      </c>
      <c r="Y37" s="24" t="str">
        <f aca="false">IF(COUNT(H37,L37,P37,T37)=0,"",MIN(0,H37,L37,P37,T37))</f>
        <v/>
      </c>
      <c r="Z37" s="25" t="str">
        <f aca="false">IF(AND(C37="",D37="",COUNT(E37,G37,H37,I37,K37,L37,M37,O37,P37,Q37,S37,T37,U37)=0),"",IF(AND(X37&lt;&gt;"",X37&gt;$R$4),"Realce alto",IF(W37="Sem HPF","Sem HPF",IF(OR(W37="Abaixo da faixa",W37="Acima da faixa"),"HPF fora da faixa",IF(AND((H37&gt;0)+(L37&gt;0)+(P37&gt;0)+(T37&gt;0)&gt;0,(H37&lt;0)+(L37&lt;0)+(P37&lt;0)+(T37&lt;0)=0),"Só realces","OK")))))</f>
        <v/>
      </c>
      <c r="AA37" s="26" t="str">
        <f aca="false">IF(Z37="","",IF(Z37="Realce alto","Realce de "&amp;X37&amp;" dB: procure antes o que cortar e confira o microfone",IF(Z37="Sem HPF","Ligue o passa-altas: comece em "&amp;V37,IF(Z37="HPF fora da faixa","Partida sugerida: "&amp;V37&amp;". Confira ouvindo",IF(Z37="Só realces","Procure o que cortar antes de realçar","Manter. Decida na mistura")))))</f>
        <v/>
      </c>
      <c r="AB37" s="5"/>
    </row>
    <row r="39" customFormat="false" ht="21.75" hidden="false" customHeight="true" outlineLevel="0" collapsed="false">
      <c r="B39" s="12" t="s">
        <v>98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customFormat="false" ht="21.75" hidden="false" customHeight="true" outlineLevel="0" collapsed="false">
      <c r="B40" s="8" t="s">
        <v>99</v>
      </c>
      <c r="C40" s="8"/>
      <c r="D40" s="8" t="s">
        <v>100</v>
      </c>
      <c r="E40" s="8" t="s">
        <v>101</v>
      </c>
      <c r="F40" s="8" t="s">
        <v>102</v>
      </c>
      <c r="G40" s="8"/>
      <c r="H40" s="8"/>
      <c r="I40" s="8"/>
      <c r="J40" s="8" t="s">
        <v>103</v>
      </c>
      <c r="K40" s="8"/>
      <c r="L40" s="8"/>
      <c r="M40" s="8"/>
      <c r="N40" s="8" t="s">
        <v>104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customFormat="false" ht="19.5" hidden="false" customHeight="true" outlineLevel="0" collapsed="false">
      <c r="B41" s="4" t="s">
        <v>105</v>
      </c>
      <c r="C41" s="4"/>
      <c r="D41" s="27" t="n">
        <v>20</v>
      </c>
      <c r="E41" s="27" t="n">
        <v>60</v>
      </c>
      <c r="F41" s="8" t="n">
        <f aca="false">COUNTIFS(G$14:G$37,"&gt;="&amp;$D41,G$14:G$37,"&lt;"&amp;$E41,H$14:H$37,"&gt;0")+COUNTIFS(K$14:K$37,"&gt;="&amp;$D41,K$14:K$37,"&lt;"&amp;$E41,L$14:L$37,"&gt;0")+COUNTIFS(O$14:O$37,"&gt;="&amp;$D41,O$14:O$37,"&lt;"&amp;$E41,P$14:P$37,"&gt;0")+COUNTIFS(S$14:S$37,"&gt;="&amp;$D41,S$14:S$37,"&lt;"&amp;$E41,T$14:T$37,"&gt;0")</f>
        <v>0</v>
      </c>
      <c r="G41" s="8"/>
      <c r="H41" s="8"/>
      <c r="I41" s="8"/>
      <c r="J41" s="8" t="n">
        <f aca="false">COUNTIFS(G$14:G$37,"&gt;="&amp;$D41,G$14:G$37,"&lt;"&amp;$E41,H$14:H$37,"&lt;0")+COUNTIFS(K$14:K$37,"&gt;="&amp;$D41,K$14:K$37,"&lt;"&amp;$E41,L$14:L$37,"&lt;0")+COUNTIFS(O$14:O$37,"&gt;="&amp;$D41,O$14:O$37,"&lt;"&amp;$E41,P$14:P$37,"&lt;0")+COUNTIFS(S$14:S$37,"&gt;="&amp;$D41,S$14:S$37,"&lt;"&amp;$E41,T$14:T$37,"&lt;0")</f>
        <v>0</v>
      </c>
      <c r="K41" s="8"/>
      <c r="L41" s="8"/>
      <c r="M41" s="8"/>
      <c r="N41" s="28" t="str">
        <f aca="false">IF(F41+J41=0,"",IF(F41&gt;=$R$5,"Disputa: muitos realces nesta faixa. Corte nos canais que cobrem a fonte principal",IF(J41&gt;=$R$5,"Mesmo corte em muitos canais: teste o sistema com música gravada","OK")))</f>
        <v/>
      </c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customFormat="false" ht="19.5" hidden="false" customHeight="true" outlineLevel="0" collapsed="false">
      <c r="B42" s="4" t="s">
        <v>106</v>
      </c>
      <c r="C42" s="4"/>
      <c r="D42" s="27" t="n">
        <v>60</v>
      </c>
      <c r="E42" s="27" t="n">
        <v>250</v>
      </c>
      <c r="F42" s="8" t="n">
        <f aca="false">COUNTIFS(G$14:G$37,"&gt;="&amp;$D42,G$14:G$37,"&lt;"&amp;$E42,H$14:H$37,"&gt;0")+COUNTIFS(K$14:K$37,"&gt;="&amp;$D42,K$14:K$37,"&lt;"&amp;$E42,L$14:L$37,"&gt;0")+COUNTIFS(O$14:O$37,"&gt;="&amp;$D42,O$14:O$37,"&lt;"&amp;$E42,P$14:P$37,"&gt;0")+COUNTIFS(S$14:S$37,"&gt;="&amp;$D42,S$14:S$37,"&lt;"&amp;$E42,T$14:T$37,"&gt;0")</f>
        <v>0</v>
      </c>
      <c r="G42" s="8"/>
      <c r="H42" s="8"/>
      <c r="I42" s="8"/>
      <c r="J42" s="8" t="n">
        <f aca="false">COUNTIFS(G$14:G$37,"&gt;="&amp;$D42,G$14:G$37,"&lt;"&amp;$E42,H$14:H$37,"&lt;0")+COUNTIFS(K$14:K$37,"&gt;="&amp;$D42,K$14:K$37,"&lt;"&amp;$E42,L$14:L$37,"&lt;0")+COUNTIFS(O$14:O$37,"&gt;="&amp;$D42,O$14:O$37,"&lt;"&amp;$E42,P$14:P$37,"&lt;0")+COUNTIFS(S$14:S$37,"&gt;="&amp;$D42,S$14:S$37,"&lt;"&amp;$E42,T$14:T$37,"&lt;0")</f>
        <v>0</v>
      </c>
      <c r="K42" s="8"/>
      <c r="L42" s="8"/>
      <c r="M42" s="8"/>
      <c r="N42" s="28" t="str">
        <f aca="false">IF(F42+J42=0,"",IF(F42&gt;=$R$5,"Disputa: muitos realces nesta faixa. Corte nos canais que cobrem a fonte principal",IF(J42&gt;=$R$5,"Mesmo corte em muitos canais: teste o sistema com música gravada","OK")))</f>
        <v/>
      </c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customFormat="false" ht="19.5" hidden="false" customHeight="true" outlineLevel="0" collapsed="false">
      <c r="B43" s="4" t="s">
        <v>107</v>
      </c>
      <c r="C43" s="4"/>
      <c r="D43" s="27" t="n">
        <v>250</v>
      </c>
      <c r="E43" s="27" t="n">
        <v>500</v>
      </c>
      <c r="F43" s="8" t="n">
        <f aca="false">COUNTIFS(G$14:G$37,"&gt;="&amp;$D43,G$14:G$37,"&lt;"&amp;$E43,H$14:H$37,"&gt;0")+COUNTIFS(K$14:K$37,"&gt;="&amp;$D43,K$14:K$37,"&lt;"&amp;$E43,L$14:L$37,"&gt;0")+COUNTIFS(O$14:O$37,"&gt;="&amp;$D43,O$14:O$37,"&lt;"&amp;$E43,P$14:P$37,"&gt;0")+COUNTIFS(S$14:S$37,"&gt;="&amp;$D43,S$14:S$37,"&lt;"&amp;$E43,T$14:T$37,"&gt;0")</f>
        <v>0</v>
      </c>
      <c r="G43" s="8"/>
      <c r="H43" s="8"/>
      <c r="I43" s="8"/>
      <c r="J43" s="8" t="n">
        <f aca="false">COUNTIFS(G$14:G$37,"&gt;="&amp;$D43,G$14:G$37,"&lt;"&amp;$E43,H$14:H$37,"&lt;0")+COUNTIFS(K$14:K$37,"&gt;="&amp;$D43,K$14:K$37,"&lt;"&amp;$E43,L$14:L$37,"&lt;0")+COUNTIFS(O$14:O$37,"&gt;="&amp;$D43,O$14:O$37,"&lt;"&amp;$E43,P$14:P$37,"&lt;0")+COUNTIFS(S$14:S$37,"&gt;="&amp;$D43,S$14:S$37,"&lt;"&amp;$E43,T$14:T$37,"&lt;0")</f>
        <v>0</v>
      </c>
      <c r="K43" s="8"/>
      <c r="L43" s="8"/>
      <c r="M43" s="8"/>
      <c r="N43" s="28" t="str">
        <f aca="false">IF(F43+J43=0,"",IF(F43&gt;=$R$5,"Disputa: muitos realces nesta faixa. Corte nos canais que cobrem a fonte principal",IF(J43&gt;=$R$5,"Mesmo corte em muitos canais: teste o sistema com música gravada","OK")))</f>
        <v/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customFormat="false" ht="19.5" hidden="false" customHeight="true" outlineLevel="0" collapsed="false">
      <c r="B44" s="4" t="s">
        <v>108</v>
      </c>
      <c r="C44" s="4"/>
      <c r="D44" s="27" t="n">
        <v>500</v>
      </c>
      <c r="E44" s="27" t="n">
        <v>2000</v>
      </c>
      <c r="F44" s="8" t="n">
        <f aca="false">COUNTIFS(G$14:G$37,"&gt;="&amp;$D44,G$14:G$37,"&lt;"&amp;$E44,H$14:H$37,"&gt;0")+COUNTIFS(K$14:K$37,"&gt;="&amp;$D44,K$14:K$37,"&lt;"&amp;$E44,L$14:L$37,"&gt;0")+COUNTIFS(O$14:O$37,"&gt;="&amp;$D44,O$14:O$37,"&lt;"&amp;$E44,P$14:P$37,"&gt;0")+COUNTIFS(S$14:S$37,"&gt;="&amp;$D44,S$14:S$37,"&lt;"&amp;$E44,T$14:T$37,"&gt;0")</f>
        <v>0</v>
      </c>
      <c r="G44" s="8"/>
      <c r="H44" s="8"/>
      <c r="I44" s="8"/>
      <c r="J44" s="8" t="n">
        <f aca="false">COUNTIFS(G$14:G$37,"&gt;="&amp;$D44,G$14:G$37,"&lt;"&amp;$E44,H$14:H$37,"&lt;0")+COUNTIFS(K$14:K$37,"&gt;="&amp;$D44,K$14:K$37,"&lt;"&amp;$E44,L$14:L$37,"&lt;0")+COUNTIFS(O$14:O$37,"&gt;="&amp;$D44,O$14:O$37,"&lt;"&amp;$E44,P$14:P$37,"&lt;0")+COUNTIFS(S$14:S$37,"&gt;="&amp;$D44,S$14:S$37,"&lt;"&amp;$E44,T$14:T$37,"&lt;0")</f>
        <v>0</v>
      </c>
      <c r="K44" s="8"/>
      <c r="L44" s="8"/>
      <c r="M44" s="8"/>
      <c r="N44" s="28" t="str">
        <f aca="false">IF(F44+J44=0,"",IF(F44&gt;=$R$5,"Disputa: muitos realces nesta faixa. Corte nos canais que cobrem a fonte principal",IF(J44&gt;=$R$5,"Mesmo corte em muitos canais: teste o sistema com música gravada","OK")))</f>
        <v/>
      </c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customFormat="false" ht="19.5" hidden="false" customHeight="true" outlineLevel="0" collapsed="false">
      <c r="B45" s="4" t="s">
        <v>109</v>
      </c>
      <c r="C45" s="4"/>
      <c r="D45" s="27" t="n">
        <v>2000</v>
      </c>
      <c r="E45" s="27" t="n">
        <v>4000</v>
      </c>
      <c r="F45" s="8" t="n">
        <f aca="false">COUNTIFS(G$14:G$37,"&gt;="&amp;$D45,G$14:G$37,"&lt;"&amp;$E45,H$14:H$37,"&gt;0")+COUNTIFS(K$14:K$37,"&gt;="&amp;$D45,K$14:K$37,"&lt;"&amp;$E45,L$14:L$37,"&gt;0")+COUNTIFS(O$14:O$37,"&gt;="&amp;$D45,O$14:O$37,"&lt;"&amp;$E45,P$14:P$37,"&gt;0")+COUNTIFS(S$14:S$37,"&gt;="&amp;$D45,S$14:S$37,"&lt;"&amp;$E45,T$14:T$37,"&gt;0")</f>
        <v>0</v>
      </c>
      <c r="G45" s="8"/>
      <c r="H45" s="8"/>
      <c r="I45" s="8"/>
      <c r="J45" s="8" t="n">
        <f aca="false">COUNTIFS(G$14:G$37,"&gt;="&amp;$D45,G$14:G$37,"&lt;"&amp;$E45,H$14:H$37,"&lt;0")+COUNTIFS(K$14:K$37,"&gt;="&amp;$D45,K$14:K$37,"&lt;"&amp;$E45,L$14:L$37,"&lt;0")+COUNTIFS(O$14:O$37,"&gt;="&amp;$D45,O$14:O$37,"&lt;"&amp;$E45,P$14:P$37,"&lt;0")+COUNTIFS(S$14:S$37,"&gt;="&amp;$D45,S$14:S$37,"&lt;"&amp;$E45,T$14:T$37,"&lt;0")</f>
        <v>0</v>
      </c>
      <c r="K45" s="8"/>
      <c r="L45" s="8"/>
      <c r="M45" s="8"/>
      <c r="N45" s="28" t="str">
        <f aca="false">IF(F45+J45=0,"",IF(F45&gt;=$R$5,"Disputa: muitos realces nesta faixa. Corte nos canais que cobrem a fonte principal",IF(J45&gt;=$R$5,"Mesmo corte em muitos canais: teste o sistema com música gravada","OK")))</f>
        <v/>
      </c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customFormat="false" ht="19.5" hidden="false" customHeight="true" outlineLevel="0" collapsed="false">
      <c r="B46" s="4" t="s">
        <v>110</v>
      </c>
      <c r="C46" s="4"/>
      <c r="D46" s="27" t="n">
        <v>4000</v>
      </c>
      <c r="E46" s="27" t="n">
        <v>8000</v>
      </c>
      <c r="F46" s="8" t="n">
        <f aca="false">COUNTIFS(G$14:G$37,"&gt;="&amp;$D46,G$14:G$37,"&lt;"&amp;$E46,H$14:H$37,"&gt;0")+COUNTIFS(K$14:K$37,"&gt;="&amp;$D46,K$14:K$37,"&lt;"&amp;$E46,L$14:L$37,"&gt;0")+COUNTIFS(O$14:O$37,"&gt;="&amp;$D46,O$14:O$37,"&lt;"&amp;$E46,P$14:P$37,"&gt;0")+COUNTIFS(S$14:S$37,"&gt;="&amp;$D46,S$14:S$37,"&lt;"&amp;$E46,T$14:T$37,"&gt;0")</f>
        <v>0</v>
      </c>
      <c r="G46" s="8"/>
      <c r="H46" s="8"/>
      <c r="I46" s="8"/>
      <c r="J46" s="8" t="n">
        <f aca="false">COUNTIFS(G$14:G$37,"&gt;="&amp;$D46,G$14:G$37,"&lt;"&amp;$E46,H$14:H$37,"&lt;0")+COUNTIFS(K$14:K$37,"&gt;="&amp;$D46,K$14:K$37,"&lt;"&amp;$E46,L$14:L$37,"&lt;0")+COUNTIFS(O$14:O$37,"&gt;="&amp;$D46,O$14:O$37,"&lt;"&amp;$E46,P$14:P$37,"&lt;0")+COUNTIFS(S$14:S$37,"&gt;="&amp;$D46,S$14:S$37,"&lt;"&amp;$E46,T$14:T$37,"&lt;0")</f>
        <v>0</v>
      </c>
      <c r="K46" s="8"/>
      <c r="L46" s="8"/>
      <c r="M46" s="8"/>
      <c r="N46" s="28" t="str">
        <f aca="false">IF(F46+J46=0,"",IF(F46&gt;=$R$5,"Disputa: muitos realces nesta faixa. Corte nos canais que cobrem a fonte principal",IF(J46&gt;=$R$5,"Mesmo corte em muitos canais: teste o sistema com música gravada","OK")))</f>
        <v/>
      </c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customFormat="false" ht="19.5" hidden="false" customHeight="true" outlineLevel="0" collapsed="false">
      <c r="B47" s="4" t="s">
        <v>111</v>
      </c>
      <c r="C47" s="4"/>
      <c r="D47" s="27" t="n">
        <v>8000</v>
      </c>
      <c r="E47" s="27" t="n">
        <v>20000</v>
      </c>
      <c r="F47" s="8" t="n">
        <f aca="false">COUNTIFS(G$14:G$37,"&gt;="&amp;$D47,G$14:G$37,"&lt;="&amp;$E47,H$14:H$37,"&gt;0")+COUNTIFS(K$14:K$37,"&gt;="&amp;$D47,K$14:K$37,"&lt;="&amp;$E47,L$14:L$37,"&gt;0")+COUNTIFS(O$14:O$37,"&gt;="&amp;$D47,O$14:O$37,"&lt;="&amp;$E47,P$14:P$37,"&gt;0")+COUNTIFS(S$14:S$37,"&gt;="&amp;$D47,S$14:S$37,"&lt;="&amp;$E47,T$14:T$37,"&gt;0")</f>
        <v>0</v>
      </c>
      <c r="G47" s="8"/>
      <c r="H47" s="8"/>
      <c r="I47" s="8"/>
      <c r="J47" s="8" t="n">
        <f aca="false">COUNTIFS(G$14:G$37,"&gt;="&amp;$D47,G$14:G$37,"&lt;="&amp;$E47,H$14:H$37,"&lt;0")+COUNTIFS(K$14:K$37,"&gt;="&amp;$D47,K$14:K$37,"&lt;="&amp;$E47,L$14:L$37,"&lt;0")+COUNTIFS(O$14:O$37,"&gt;="&amp;$D47,O$14:O$37,"&lt;="&amp;$E47,P$14:P$37,"&lt;0")+COUNTIFS(S$14:S$37,"&gt;="&amp;$D47,S$14:S$37,"&lt;="&amp;$E47,T$14:T$37,"&lt;0")</f>
        <v>0</v>
      </c>
      <c r="K47" s="8"/>
      <c r="L47" s="8"/>
      <c r="M47" s="8"/>
      <c r="N47" s="28" t="str">
        <f aca="false">IF(F47+J47=0,"",IF(F47&gt;=$R$5,"Disputa: muitos realces nesta faixa. Corte nos canais que cobrem a fonte principal",IF(J47&gt;=$R$5,"Mesmo corte em muitos canais: teste o sistema com música gravada","OK")))</f>
        <v/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customFormat="false" ht="15" hidden="false" customHeight="true" outlineLevel="0" collapsed="false">
      <c r="B48" s="10" t="s">
        <v>112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50" customFormat="false" ht="21.75" hidden="false" customHeight="true" outlineLevel="0" collapsed="false">
      <c r="B50" s="12" t="s">
        <v>113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customFormat="false" ht="19.5" hidden="false" customHeight="true" outlineLevel="0" collapsed="false">
      <c r="B51" s="29" t="s">
        <v>114</v>
      </c>
      <c r="C51" s="29"/>
      <c r="D51" s="29"/>
      <c r="E51" s="29"/>
      <c r="F51" s="8" t="n">
        <f aca="false">COUNTA(C14:C37)</f>
        <v>0</v>
      </c>
      <c r="G51" s="8"/>
      <c r="H51" s="8"/>
      <c r="I51" s="8"/>
    </row>
    <row r="52" customFormat="false" ht="19.5" hidden="false" customHeight="true" outlineLevel="0" collapsed="false">
      <c r="B52" s="29" t="s">
        <v>115</v>
      </c>
      <c r="C52" s="29"/>
      <c r="D52" s="29"/>
      <c r="E52" s="29"/>
      <c r="F52" s="8" t="n">
        <f aca="false">COUNTIF(Z14:Z37,"OK")</f>
        <v>0</v>
      </c>
      <c r="G52" s="8"/>
      <c r="H52" s="8"/>
      <c r="I52" s="8"/>
    </row>
    <row r="53" customFormat="false" ht="19.5" hidden="false" customHeight="true" outlineLevel="0" collapsed="false">
      <c r="B53" s="29" t="s">
        <v>44</v>
      </c>
      <c r="C53" s="29"/>
      <c r="D53" s="29"/>
      <c r="E53" s="29"/>
      <c r="F53" s="8" t="n">
        <f aca="false">COUNTIF(Z14:Z37,"Realce alto")</f>
        <v>0</v>
      </c>
      <c r="G53" s="8"/>
      <c r="H53" s="8"/>
      <c r="I53" s="8"/>
    </row>
    <row r="54" customFormat="false" ht="19.5" hidden="false" customHeight="true" outlineLevel="0" collapsed="false">
      <c r="B54" s="29" t="s">
        <v>116</v>
      </c>
      <c r="C54" s="29"/>
      <c r="D54" s="29"/>
      <c r="E54" s="29"/>
      <c r="F54" s="8" t="n">
        <f aca="false">COUNTIF(Z14:Z37,"Sem HPF")</f>
        <v>0</v>
      </c>
      <c r="G54" s="8"/>
      <c r="H54" s="8"/>
      <c r="I54" s="8"/>
    </row>
    <row r="55" customFormat="false" ht="19.5" hidden="false" customHeight="true" outlineLevel="0" collapsed="false">
      <c r="B55" s="29" t="s">
        <v>117</v>
      </c>
      <c r="C55" s="29"/>
      <c r="D55" s="29"/>
      <c r="E55" s="29"/>
      <c r="F55" s="8" t="n">
        <f aca="false">COUNTIF(Z14:Z37,"HPF fora da faixa")</f>
        <v>0</v>
      </c>
      <c r="G55" s="8"/>
      <c r="H55" s="8"/>
      <c r="I55" s="8"/>
    </row>
    <row r="56" customFormat="false" ht="19.5" hidden="false" customHeight="true" outlineLevel="0" collapsed="false">
      <c r="B56" s="29" t="s">
        <v>46</v>
      </c>
      <c r="C56" s="29"/>
      <c r="D56" s="29"/>
      <c r="E56" s="29"/>
      <c r="F56" s="8" t="n">
        <f aca="false">COUNTIF(Z14:Z37,"Só realces")</f>
        <v>0</v>
      </c>
      <c r="G56" s="8"/>
      <c r="H56" s="8"/>
      <c r="I56" s="8"/>
    </row>
    <row r="57" customFormat="false" ht="19.5" hidden="false" customHeight="true" outlineLevel="0" collapsed="false">
      <c r="B57" s="29" t="s">
        <v>118</v>
      </c>
      <c r="C57" s="29"/>
      <c r="D57" s="29"/>
      <c r="E57" s="29"/>
      <c r="F57" s="8" t="n">
        <f aca="false">COUNTIF(N41:N47,"Disputa: muitos realces nesta faixa. Corte nos canais que cobrem a fonte principal")</f>
        <v>0</v>
      </c>
      <c r="G57" s="8"/>
      <c r="H57" s="8"/>
      <c r="I57" s="8"/>
    </row>
    <row r="58" customFormat="false" ht="19.5" hidden="false" customHeight="true" outlineLevel="0" collapsed="false">
      <c r="B58" s="29" t="s">
        <v>119</v>
      </c>
      <c r="C58" s="29"/>
      <c r="D58" s="29"/>
      <c r="E58" s="29"/>
      <c r="F58" s="8" t="n">
        <f aca="false">COUNTIF(N41:N47,"Mesmo corte em muitos canais: teste o sistema com música gravada")</f>
        <v>0</v>
      </c>
      <c r="G58" s="8"/>
      <c r="H58" s="8"/>
      <c r="I58" s="8"/>
    </row>
    <row r="59" customFormat="false" ht="21.75" hidden="false" customHeight="true" outlineLevel="0" collapsed="false">
      <c r="B59" s="29" t="s">
        <v>104</v>
      </c>
      <c r="C59" s="29"/>
      <c r="D59" s="29"/>
      <c r="E59" s="29"/>
      <c r="F59" s="28" t="str">
        <f aca="false">IF(COUNT($R$4:$R$5)&lt;2,"Informe os dois limites no alto da aba",IF(F51=0,"Liste os canais",IF(F58&gt;0,"Mesmo corte em muitos canais: o defeito pode ser do sistema ou da sala",IF(F57&gt;0,"Há faixa disputada: abra espaço com cortes nos canais que cobrem a voz",IF(F53+F54+F55+F56&gt;0,"Há canais a conferir: veja a coluna O que fazer","OK")))))</f>
        <v>Liste os canais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</sheetData>
  <mergeCells count="76">
    <mergeCell ref="B1:AB1"/>
    <mergeCell ref="B2:AB2"/>
    <mergeCell ref="B4:C4"/>
    <mergeCell ref="D4:I4"/>
    <mergeCell ref="K4:Q4"/>
    <mergeCell ref="S4:AB4"/>
    <mergeCell ref="B5:C5"/>
    <mergeCell ref="D5:I5"/>
    <mergeCell ref="K5:Q5"/>
    <mergeCell ref="S5:AB5"/>
    <mergeCell ref="B6:C6"/>
    <mergeCell ref="D6:I6"/>
    <mergeCell ref="B7:C7"/>
    <mergeCell ref="D7:I7"/>
    <mergeCell ref="K7:AB7"/>
    <mergeCell ref="B8:C8"/>
    <mergeCell ref="D8:I8"/>
    <mergeCell ref="K8:AB8"/>
    <mergeCell ref="B10:AB10"/>
    <mergeCell ref="F11:I11"/>
    <mergeCell ref="J11:M11"/>
    <mergeCell ref="N11:Q11"/>
    <mergeCell ref="R11:U11"/>
    <mergeCell ref="B39:AB39"/>
    <mergeCell ref="B40:C40"/>
    <mergeCell ref="F40:I40"/>
    <mergeCell ref="J40:M40"/>
    <mergeCell ref="N40:AB40"/>
    <mergeCell ref="B41:C41"/>
    <mergeCell ref="F41:I41"/>
    <mergeCell ref="J41:M41"/>
    <mergeCell ref="N41:AB41"/>
    <mergeCell ref="B42:C42"/>
    <mergeCell ref="F42:I42"/>
    <mergeCell ref="J42:M42"/>
    <mergeCell ref="N42:AB42"/>
    <mergeCell ref="B43:C43"/>
    <mergeCell ref="F43:I43"/>
    <mergeCell ref="J43:M43"/>
    <mergeCell ref="N43:AB43"/>
    <mergeCell ref="B44:C44"/>
    <mergeCell ref="F44:I44"/>
    <mergeCell ref="J44:M44"/>
    <mergeCell ref="N44:AB44"/>
    <mergeCell ref="B45:C45"/>
    <mergeCell ref="F45:I45"/>
    <mergeCell ref="J45:M45"/>
    <mergeCell ref="N45:AB45"/>
    <mergeCell ref="B46:C46"/>
    <mergeCell ref="F46:I46"/>
    <mergeCell ref="J46:M46"/>
    <mergeCell ref="N46:AB46"/>
    <mergeCell ref="B47:C47"/>
    <mergeCell ref="F47:I47"/>
    <mergeCell ref="J47:M47"/>
    <mergeCell ref="N47:AB47"/>
    <mergeCell ref="B48:AB48"/>
    <mergeCell ref="B50:AB50"/>
    <mergeCell ref="B51:E51"/>
    <mergeCell ref="F51:I51"/>
    <mergeCell ref="B52:E52"/>
    <mergeCell ref="F52:I52"/>
    <mergeCell ref="B53:E53"/>
    <mergeCell ref="F53:I53"/>
    <mergeCell ref="B54:E54"/>
    <mergeCell ref="F54:I54"/>
    <mergeCell ref="B55:E55"/>
    <mergeCell ref="F55:I55"/>
    <mergeCell ref="B56:E56"/>
    <mergeCell ref="F56:I56"/>
    <mergeCell ref="B57:E57"/>
    <mergeCell ref="F57:I57"/>
    <mergeCell ref="B58:E58"/>
    <mergeCell ref="F58:I58"/>
    <mergeCell ref="B59:E59"/>
    <mergeCell ref="F59:AB59"/>
  </mergeCells>
  <conditionalFormatting sqref="W14:W3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0">
      <formula>"Desligado"</formula>
    </cfRule>
    <cfRule type="cellIs" priority="4" operator="equal" aboveAverage="0" equalAverage="0" bottom="0" percent="0" rank="0" text="" dxfId="1">
      <formula>"Sem HPF"</formula>
    </cfRule>
    <cfRule type="cellIs" priority="5" operator="equal" aboveAverage="0" equalAverage="0" bottom="0" percent="0" rank="0" text="" dxfId="1">
      <formula>"Abaixo da faixa"</formula>
    </cfRule>
    <cfRule type="cellIs" priority="6" operator="equal" aboveAverage="0" equalAverage="0" bottom="0" percent="0" rank="0" text="" dxfId="1">
      <formula>"Acima da faixa"</formula>
    </cfRule>
  </conditionalFormatting>
  <conditionalFormatting sqref="Z14:Z37">
    <cfRule type="cellIs" priority="7" operator="equal" aboveAverage="0" equalAverage="0" bottom="0" percent="0" rank="0" text="" dxfId="0">
      <formula>"OK"</formula>
    </cfRule>
    <cfRule type="cellIs" priority="8" operator="equal" aboveAverage="0" equalAverage="0" bottom="0" percent="0" rank="0" text="" dxfId="1">
      <formula>"Realce alto"</formula>
    </cfRule>
    <cfRule type="cellIs" priority="9" operator="equal" aboveAverage="0" equalAverage="0" bottom="0" percent="0" rank="0" text="" dxfId="1">
      <formula>"Sem HPF"</formula>
    </cfRule>
    <cfRule type="cellIs" priority="10" operator="equal" aboveAverage="0" equalAverage="0" bottom="0" percent="0" rank="0" text="" dxfId="1">
      <formula>"HPF fora da faixa"</formula>
    </cfRule>
    <cfRule type="cellIs" priority="11" operator="equal" aboveAverage="0" equalAverage="0" bottom="0" percent="0" rank="0" text="" dxfId="1">
      <formula>"Só realces"</formula>
    </cfRule>
  </conditionalFormatting>
  <conditionalFormatting sqref="N41:AB47">
    <cfRule type="cellIs" priority="12" operator="equal" aboveAverage="0" equalAverage="0" bottom="0" percent="0" rank="0" text="" dxfId="0">
      <formula>"OK"</formula>
    </cfRule>
    <cfRule type="expression" priority="13" aboveAverage="0" equalAverage="0" bottom="0" percent="0" rank="0" text="" dxfId="1">
      <formula>AND(LEN($N41)&gt;0,$N41&lt;&gt;"OK")</formula>
    </cfRule>
  </conditionalFormatting>
  <conditionalFormatting sqref="F59:AB59">
    <cfRule type="cellIs" priority="14" operator="equal" aboveAverage="0" equalAverage="0" bottom="0" percent="0" rank="0" text="" dxfId="0">
      <formula>"OK"</formula>
    </cfRule>
    <cfRule type="cellIs" priority="15" operator="notEqual" aboveAverage="0" equalAverage="0" bottom="0" percent="0" rank="0" text="" dxfId="1">
      <formula>"OK"</formula>
    </cfRule>
  </conditionalFormatting>
  <dataValidations count="12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R4:R5" type="decimal">
      <formula1>-1000000000</formula1>
      <formula2>1000000000</formula2>
    </dataValidation>
    <dataValidation allowBlank="true" error="Escolha uma das opções da lista." errorStyle="stop" errorTitle="Valor inválido" operator="between" prompt="Escolha o tipo de fonte. Outra, se não estiver na lista." promptTitle="Opções" showDropDown="false" showErrorMessage="true" showInputMessage="true" sqref="D14:D37" type="list">
      <formula1>"Voz masculina,Voz feminina,Coral,Violão,Guitarra,Caixa da bateria,Tons e surdo,Pratos e chimbal,Teclado,Baixo,Bumbo,Computador e mídia,Outra"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4:E37" type="decimal">
      <formula1>-1000000000</formula1>
      <formula2>1000000000</formula2>
    </dataValidation>
    <dataValidation allowBlank="true" error="Escolha uma das opções da lista." errorStyle="stop" errorTitle="Valor inválido" operator="between" prompt="Bell (sino) ou Shelf (prateleira)." promptTitle="Opções" showDropDown="false" showErrorMessage="true" showInputMessage="true" sqref="F14:F37" type="list">
      <formula1>"Bell,Shelf"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G14:I37" type="decimal">
      <formula1>-1000000000</formula1>
      <formula2>1000000000</formula2>
    </dataValidation>
    <dataValidation allowBlank="true" error="Escolha uma das opções da lista." errorStyle="stop" errorTitle="Valor inválido" operator="between" prompt="Bell (sino) ou Shelf (prateleira)." promptTitle="Opções" showDropDown="false" showErrorMessage="true" showInputMessage="true" sqref="J14:J37" type="list">
      <formula1>"Bell,Shelf"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K14:M37" type="decimal">
      <formula1>-1000000000</formula1>
      <formula2>1000000000</formula2>
    </dataValidation>
    <dataValidation allowBlank="true" error="Escolha uma das opções da lista." errorStyle="stop" errorTitle="Valor inválido" operator="between" prompt="Bell (sino) ou Shelf (prateleira)." promptTitle="Opções" showDropDown="false" showErrorMessage="true" showInputMessage="true" sqref="N14:N37" type="list">
      <formula1>"Bell,Shelf"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O14:Q37" type="decimal">
      <formula1>-1000000000</formula1>
      <formula2>1000000000</formula2>
    </dataValidation>
    <dataValidation allowBlank="true" error="Escolha uma das opções da lista." errorStyle="stop" errorTitle="Valor inválido" operator="between" prompt="Bell (sino) ou Shelf (prateleira)." promptTitle="Opções" showDropDown="false" showErrorMessage="true" showInputMessage="true" sqref="R14:R37" type="list">
      <formula1>"Bell,Shelf"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S14:U37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7" min="6" style="0" width="30"/>
    <col collapsed="false" customWidth="true" hidden="false" outlineLevel="0" max="8" min="8" style="0" width="34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120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121</v>
      </c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B4" s="12" t="s">
        <v>122</v>
      </c>
      <c r="C4" s="12"/>
      <c r="D4" s="12"/>
      <c r="E4" s="12"/>
      <c r="F4" s="12"/>
      <c r="G4" s="12"/>
      <c r="H4" s="12"/>
    </row>
    <row r="5" customFormat="false" ht="15" hidden="false" customHeight="false" outlineLevel="0" collapsed="false">
      <c r="B5" s="13" t="s">
        <v>123</v>
      </c>
      <c r="C5" s="14" t="s">
        <v>124</v>
      </c>
      <c r="D5" s="15" t="s">
        <v>99</v>
      </c>
      <c r="E5" s="15" t="s">
        <v>125</v>
      </c>
      <c r="F5" s="13" t="s">
        <v>126</v>
      </c>
      <c r="G5" s="15" t="s">
        <v>127</v>
      </c>
      <c r="H5" s="13" t="s">
        <v>81</v>
      </c>
    </row>
    <row r="6" customFormat="false" ht="15" hidden="false" customHeight="false" outlineLevel="0" collapsed="false">
      <c r="B6" s="16"/>
      <c r="C6" s="16" t="s">
        <v>85</v>
      </c>
      <c r="D6" s="16"/>
      <c r="E6" s="16"/>
      <c r="F6" s="16"/>
      <c r="G6" s="16"/>
      <c r="H6" s="16"/>
    </row>
    <row r="7" customFormat="false" ht="21.75" hidden="false" customHeight="true" outlineLevel="0" collapsed="false">
      <c r="B7" s="4" t="s">
        <v>128</v>
      </c>
      <c r="C7" s="19"/>
      <c r="D7" s="8" t="str">
        <f aca="false">IF(C7="","",IF(OR(C7&lt;20,C7&gt;20000),"Fora de 20 Hz a 20 kHz",INDEX($B$27:$B$33,MATCH(C7,$C$27:$C$33,1))))</f>
        <v/>
      </c>
      <c r="E7" s="22" t="str">
        <f aca="false">IF(C7="","",IF(OR(C7&lt;20,C7&gt;20000),"",INDEX($F$27:$F$33,MATCH(C7,$C$27:$C$33,1))))</f>
        <v/>
      </c>
      <c r="F7" s="30" t="s">
        <v>129</v>
      </c>
      <c r="G7" s="22" t="str">
        <f aca="false">IF(C7="","",IF(AND(C7&gt;=100,C7&lt;=250),"Dentro da região típica","Fora da região típica: confira"))</f>
        <v/>
      </c>
      <c r="H7" s="5"/>
    </row>
    <row r="8" customFormat="false" ht="21.75" hidden="false" customHeight="true" outlineLevel="0" collapsed="false">
      <c r="B8" s="4" t="s">
        <v>130</v>
      </c>
      <c r="C8" s="19"/>
      <c r="D8" s="8" t="str">
        <f aca="false">IF(C8="","",IF(OR(C8&lt;20,C8&gt;20000),"Fora de 20 Hz a 20 kHz",INDEX($B$27:$B$33,MATCH(C8,$C$27:$C$33,1))))</f>
        <v/>
      </c>
      <c r="E8" s="22" t="str">
        <f aca="false">IF(C8="","",IF(OR(C8&lt;20,C8&gt;20000),"",INDEX($F$27:$F$33,MATCH(C8,$C$27:$C$33,1))))</f>
        <v/>
      </c>
      <c r="F8" s="30" t="s">
        <v>131</v>
      </c>
      <c r="G8" s="22" t="str">
        <f aca="false">IF(C8="","",IF(AND(C8&gt;=200,C8&lt;=400),"Dentro da região típica","Fora da região típica: confira"))</f>
        <v/>
      </c>
      <c r="H8" s="5"/>
    </row>
    <row r="9" customFormat="false" ht="21.75" hidden="false" customHeight="true" outlineLevel="0" collapsed="false">
      <c r="B9" s="4" t="s">
        <v>132</v>
      </c>
      <c r="C9" s="19"/>
      <c r="D9" s="8" t="str">
        <f aca="false">IF(C9="","",IF(OR(C9&lt;20,C9&gt;20000),"Fora de 20 Hz a 20 kHz",INDEX($B$27:$B$33,MATCH(C9,$C$27:$C$33,1))))</f>
        <v/>
      </c>
      <c r="E9" s="22" t="str">
        <f aca="false">IF(C9="","",IF(OR(C9&lt;20,C9&gt;20000),"",INDEX($F$27:$F$33,MATCH(C9,$C$27:$C$33,1))))</f>
        <v/>
      </c>
      <c r="F9" s="30" t="s">
        <v>133</v>
      </c>
      <c r="G9" s="22" t="str">
        <f aca="false">IF(C9="","",IF(AND(C9&gt;=800,C9&lt;=1500),"Dentro da região típica","Fora da região típica: confira"))</f>
        <v/>
      </c>
      <c r="H9" s="5"/>
    </row>
    <row r="10" customFormat="false" ht="21.75" hidden="false" customHeight="true" outlineLevel="0" collapsed="false">
      <c r="B10" s="4" t="s">
        <v>134</v>
      </c>
      <c r="C10" s="19"/>
      <c r="D10" s="8" t="str">
        <f aca="false">IF(C10="","",IF(OR(C10&lt;20,C10&gt;20000),"Fora de 20 Hz a 20 kHz",INDEX($B$27:$B$33,MATCH(C10,$C$27:$C$33,1))))</f>
        <v/>
      </c>
      <c r="E10" s="22" t="str">
        <f aca="false">IF(C10="","",IF(OR(C10&lt;20,C10&gt;20000),"",INDEX($F$27:$F$33,MATCH(C10,$C$27:$C$33,1))))</f>
        <v/>
      </c>
      <c r="F10" s="30" t="s">
        <v>135</v>
      </c>
      <c r="G10" s="22" t="str">
        <f aca="false">IF(C10="","",IF(AND(C10&gt;=2000,C10&lt;=5000),"Dentro da região típica","Fora da região típica: confira"))</f>
        <v/>
      </c>
      <c r="H10" s="5"/>
    </row>
    <row r="11" customFormat="false" ht="21.75" hidden="false" customHeight="true" outlineLevel="0" collapsed="false">
      <c r="B11" s="4" t="s">
        <v>136</v>
      </c>
      <c r="C11" s="19"/>
      <c r="D11" s="8" t="str">
        <f aca="false">IF(C11="","",IF(OR(C11&lt;20,C11&gt;20000),"Fora de 20 Hz a 20 kHz",INDEX($B$27:$B$33,MATCH(C11,$C$27:$C$33,1))))</f>
        <v/>
      </c>
      <c r="E11" s="22" t="str">
        <f aca="false">IF(C11="","",IF(OR(C11&lt;20,C11&gt;20000),"",INDEX($F$27:$F$33,MATCH(C11,$C$27:$C$33,1))))</f>
        <v/>
      </c>
      <c r="F11" s="30" t="s">
        <v>137</v>
      </c>
      <c r="G11" s="22" t="str">
        <f aca="false">IF(C11="","",IF(AND(C11&gt;=5000,C11&lt;=8000),"Dentro da região típica","Fora da região típica: confira"))</f>
        <v/>
      </c>
      <c r="H11" s="5"/>
    </row>
    <row r="12" customFormat="false" ht="21.75" hidden="false" customHeight="true" outlineLevel="0" collapsed="false">
      <c r="B12" s="5"/>
      <c r="C12" s="19"/>
      <c r="D12" s="8" t="str">
        <f aca="false">IF(C12="","",IF(OR(C12&lt;20,C12&gt;20000),"Fora de 20 Hz a 20 kHz",INDEX($B$27:$B$33,MATCH(C12,$C$27:$C$33,1))))</f>
        <v/>
      </c>
      <c r="E12" s="22" t="str">
        <f aca="false">IF(C12="","",IF(OR(C12&lt;20,C12&gt;20000),"",INDEX($F$27:$F$33,MATCH(C12,$C$27:$C$33,1))))</f>
        <v/>
      </c>
      <c r="F12" s="30" t="s">
        <v>138</v>
      </c>
      <c r="G12" s="6"/>
      <c r="H12" s="5"/>
    </row>
    <row r="13" customFormat="false" ht="21.75" hidden="false" customHeight="true" outlineLevel="0" collapsed="false">
      <c r="B13" s="5"/>
      <c r="C13" s="19"/>
      <c r="D13" s="8" t="str">
        <f aca="false">IF(C13="","",IF(OR(C13&lt;20,C13&gt;20000),"Fora de 20 Hz a 20 kHz",INDEX($B$27:$B$33,MATCH(C13,$C$27:$C$33,1))))</f>
        <v/>
      </c>
      <c r="E13" s="22" t="str">
        <f aca="false">IF(C13="","",IF(OR(C13&lt;20,C13&gt;20000),"",INDEX($F$27:$F$33,MATCH(C13,$C$27:$C$33,1))))</f>
        <v/>
      </c>
      <c r="F13" s="30" t="s">
        <v>138</v>
      </c>
      <c r="G13" s="6"/>
      <c r="H13" s="5"/>
    </row>
    <row r="14" customFormat="false" ht="21.75" hidden="false" customHeight="true" outlineLevel="0" collapsed="false">
      <c r="B14" s="5"/>
      <c r="C14" s="19"/>
      <c r="D14" s="8" t="str">
        <f aca="false">IF(C14="","",IF(OR(C14&lt;20,C14&gt;20000),"Fora de 20 Hz a 20 kHz",INDEX($B$27:$B$33,MATCH(C14,$C$27:$C$33,1))))</f>
        <v/>
      </c>
      <c r="E14" s="22" t="str">
        <f aca="false">IF(C14="","",IF(OR(C14&lt;20,C14&gt;20000),"",INDEX($F$27:$F$33,MATCH(C14,$C$27:$C$33,1))))</f>
        <v/>
      </c>
      <c r="F14" s="30" t="s">
        <v>138</v>
      </c>
      <c r="G14" s="6"/>
      <c r="H14" s="5"/>
    </row>
    <row r="15" customFormat="false" ht="15" hidden="false" customHeight="true" outlineLevel="0" collapsed="false">
      <c r="B15" s="10" t="s">
        <v>139</v>
      </c>
      <c r="C15" s="10"/>
      <c r="D15" s="10"/>
      <c r="E15" s="10"/>
      <c r="F15" s="10"/>
      <c r="G15" s="10"/>
      <c r="H15" s="10"/>
    </row>
    <row r="17" customFormat="false" ht="21.75" hidden="false" customHeight="true" outlineLevel="0" collapsed="false">
      <c r="B17" s="12" t="s">
        <v>140</v>
      </c>
      <c r="C17" s="12"/>
      <c r="D17" s="12"/>
      <c r="E17" s="12"/>
      <c r="F17" s="12"/>
      <c r="G17" s="12"/>
      <c r="H17" s="12"/>
    </row>
    <row r="18" customFormat="false" ht="15" hidden="false" customHeight="false" outlineLevel="0" collapsed="false">
      <c r="B18" s="13" t="s">
        <v>141</v>
      </c>
      <c r="C18" s="14" t="s">
        <v>124</v>
      </c>
      <c r="D18" s="14" t="s">
        <v>88</v>
      </c>
      <c r="E18" s="15" t="s">
        <v>142</v>
      </c>
      <c r="F18" s="15" t="s">
        <v>100</v>
      </c>
      <c r="G18" s="15" t="s">
        <v>101</v>
      </c>
      <c r="H18" s="13" t="s">
        <v>81</v>
      </c>
    </row>
    <row r="19" customFormat="false" ht="21.75" hidden="false" customHeight="true" outlineLevel="0" collapsed="false">
      <c r="B19" s="4" t="s">
        <v>143</v>
      </c>
      <c r="C19" s="19"/>
      <c r="D19" s="21" t="n">
        <v>0.7</v>
      </c>
      <c r="E19" s="31" t="n">
        <f aca="false">IF(OR(D19="",D19&lt;=0),"",ROUND(2*LOG10((1/(2*D19)+(1/(4*D19^2)+1)^0.5))/LOG10(2),2))</f>
        <v>1.92</v>
      </c>
      <c r="F19" s="32" t="str">
        <f aca="false">IF(OR(C19="",E19=""),"",ROUND(C19/2^(E19/2),0))</f>
        <v/>
      </c>
      <c r="G19" s="32" t="str">
        <f aca="false">IF(OR(C19="",E19=""),"",ROUND(C19*2^(E19/2),0))</f>
        <v/>
      </c>
      <c r="H19" s="5"/>
    </row>
    <row r="20" customFormat="false" ht="21.75" hidden="false" customHeight="true" outlineLevel="0" collapsed="false">
      <c r="B20" s="4" t="s">
        <v>144</v>
      </c>
      <c r="C20" s="19"/>
      <c r="D20" s="21" t="n">
        <v>2</v>
      </c>
      <c r="E20" s="31" t="n">
        <f aca="false">IF(OR(D20="",D20&lt;=0),"",ROUND(2*LOG10((1/(2*D20)+(1/(4*D20^2)+1)^0.5))/LOG10(2),2))</f>
        <v>0.71</v>
      </c>
      <c r="F20" s="32" t="str">
        <f aca="false">IF(OR(C20="",E20=""),"",ROUND(C20/2^(E20/2),0))</f>
        <v/>
      </c>
      <c r="G20" s="32" t="str">
        <f aca="false">IF(OR(C20="",E20=""),"",ROUND(C20*2^(E20/2),0))</f>
        <v/>
      </c>
      <c r="H20" s="5"/>
    </row>
    <row r="21" customFormat="false" ht="21.75" hidden="false" customHeight="true" outlineLevel="0" collapsed="false">
      <c r="B21" s="4" t="s">
        <v>145</v>
      </c>
      <c r="C21" s="19"/>
      <c r="D21" s="21" t="n">
        <v>8</v>
      </c>
      <c r="E21" s="31" t="n">
        <f aca="false">IF(OR(D21="",D21&lt;=0),"",ROUND(2*LOG10((1/(2*D21)+(1/(4*D21^2)+1)^0.5))/LOG10(2),2))</f>
        <v>0.18</v>
      </c>
      <c r="F21" s="32" t="str">
        <f aca="false">IF(OR(C21="",E21=""),"",ROUND(C21/2^(E21/2),0))</f>
        <v/>
      </c>
      <c r="G21" s="32" t="str">
        <f aca="false">IF(OR(C21="",E21=""),"",ROUND(C21*2^(E21/2),0))</f>
        <v/>
      </c>
      <c r="H21" s="5"/>
    </row>
    <row r="22" customFormat="false" ht="21.75" hidden="false" customHeight="true" outlineLevel="0" collapsed="false">
      <c r="B22" s="4" t="s">
        <v>146</v>
      </c>
      <c r="C22" s="19"/>
      <c r="D22" s="21"/>
      <c r="E22" s="31" t="str">
        <f aca="false">IF(OR(D22="",D22&lt;=0),"",ROUND(2*LOG10((1/(2*D22)+(1/(4*D22^2)+1)^0.5))/LOG10(2),2))</f>
        <v/>
      </c>
      <c r="F22" s="32" t="str">
        <f aca="false">IF(OR(C22="",E22=""),"",ROUND(C22/2^(E22/2),0))</f>
        <v/>
      </c>
      <c r="G22" s="32" t="str">
        <f aca="false">IF(OR(C22="",E22=""),"",ROUND(C22*2^(E22/2),0))</f>
        <v/>
      </c>
      <c r="H22" s="5"/>
    </row>
    <row r="23" customFormat="false" ht="15" hidden="false" customHeight="true" outlineLevel="0" collapsed="false">
      <c r="B23" s="10" t="s">
        <v>147</v>
      </c>
      <c r="C23" s="10"/>
      <c r="D23" s="10"/>
      <c r="E23" s="10"/>
      <c r="F23" s="10"/>
      <c r="G23" s="10"/>
      <c r="H23" s="10"/>
    </row>
    <row r="25" customFormat="false" ht="21.75" hidden="false" customHeight="true" outlineLevel="0" collapsed="false">
      <c r="B25" s="12" t="s">
        <v>148</v>
      </c>
      <c r="C25" s="12"/>
      <c r="D25" s="12"/>
      <c r="E25" s="12"/>
      <c r="F25" s="12"/>
      <c r="G25" s="12"/>
      <c r="H25" s="12"/>
    </row>
    <row r="26" customFormat="false" ht="15" hidden="false" customHeight="true" outlineLevel="0" collapsed="false">
      <c r="B26" s="8" t="s">
        <v>99</v>
      </c>
      <c r="C26" s="8" t="s">
        <v>100</v>
      </c>
      <c r="D26" s="8" t="s">
        <v>101</v>
      </c>
      <c r="E26" s="8" t="s">
        <v>149</v>
      </c>
      <c r="F26" s="8" t="s">
        <v>125</v>
      </c>
      <c r="G26" s="8" t="s">
        <v>150</v>
      </c>
      <c r="H26" s="8"/>
    </row>
    <row r="27" customFormat="false" ht="31.5" hidden="false" customHeight="true" outlineLevel="0" collapsed="false">
      <c r="B27" s="33" t="s">
        <v>105</v>
      </c>
      <c r="C27" s="34" t="n">
        <v>20</v>
      </c>
      <c r="D27" s="34" t="n">
        <v>60</v>
      </c>
      <c r="E27" s="7" t="s">
        <v>151</v>
      </c>
      <c r="F27" s="7" t="s">
        <v>152</v>
      </c>
      <c r="G27" s="7" t="s">
        <v>153</v>
      </c>
      <c r="H27" s="7"/>
    </row>
    <row r="28" customFormat="false" ht="31.5" hidden="false" customHeight="true" outlineLevel="0" collapsed="false">
      <c r="B28" s="33" t="s">
        <v>106</v>
      </c>
      <c r="C28" s="34" t="n">
        <v>60</v>
      </c>
      <c r="D28" s="34" t="n">
        <v>250</v>
      </c>
      <c r="E28" s="7" t="s">
        <v>154</v>
      </c>
      <c r="F28" s="7" t="s">
        <v>155</v>
      </c>
      <c r="G28" s="7" t="s">
        <v>156</v>
      </c>
      <c r="H28" s="7"/>
    </row>
    <row r="29" customFormat="false" ht="31.5" hidden="false" customHeight="true" outlineLevel="0" collapsed="false">
      <c r="B29" s="33" t="s">
        <v>107</v>
      </c>
      <c r="C29" s="34" t="n">
        <v>250</v>
      </c>
      <c r="D29" s="34" t="n">
        <v>500</v>
      </c>
      <c r="E29" s="7" t="s">
        <v>157</v>
      </c>
      <c r="F29" s="7" t="s">
        <v>158</v>
      </c>
      <c r="G29" s="7" t="s">
        <v>159</v>
      </c>
      <c r="H29" s="7"/>
    </row>
    <row r="30" customFormat="false" ht="31.5" hidden="false" customHeight="true" outlineLevel="0" collapsed="false">
      <c r="B30" s="33" t="s">
        <v>108</v>
      </c>
      <c r="C30" s="34" t="n">
        <v>500</v>
      </c>
      <c r="D30" s="34" t="n">
        <v>2000</v>
      </c>
      <c r="E30" s="7" t="s">
        <v>160</v>
      </c>
      <c r="F30" s="7" t="s">
        <v>161</v>
      </c>
      <c r="G30" s="7" t="s">
        <v>162</v>
      </c>
      <c r="H30" s="7"/>
    </row>
    <row r="31" customFormat="false" ht="31.5" hidden="false" customHeight="true" outlineLevel="0" collapsed="false">
      <c r="B31" s="33" t="s">
        <v>109</v>
      </c>
      <c r="C31" s="34" t="n">
        <v>2000</v>
      </c>
      <c r="D31" s="34" t="n">
        <v>4000</v>
      </c>
      <c r="E31" s="7" t="s">
        <v>163</v>
      </c>
      <c r="F31" s="7" t="s">
        <v>164</v>
      </c>
      <c r="G31" s="7" t="s">
        <v>165</v>
      </c>
      <c r="H31" s="7"/>
    </row>
    <row r="32" customFormat="false" ht="31.5" hidden="false" customHeight="true" outlineLevel="0" collapsed="false">
      <c r="B32" s="33" t="s">
        <v>110</v>
      </c>
      <c r="C32" s="34" t="n">
        <v>4000</v>
      </c>
      <c r="D32" s="34" t="n">
        <v>8000</v>
      </c>
      <c r="E32" s="7" t="s">
        <v>166</v>
      </c>
      <c r="F32" s="7" t="s">
        <v>167</v>
      </c>
      <c r="G32" s="7" t="s">
        <v>168</v>
      </c>
      <c r="H32" s="7"/>
    </row>
    <row r="33" customFormat="false" ht="31.5" hidden="false" customHeight="true" outlineLevel="0" collapsed="false">
      <c r="B33" s="33" t="s">
        <v>111</v>
      </c>
      <c r="C33" s="34" t="n">
        <v>8000</v>
      </c>
      <c r="D33" s="34" t="n">
        <v>20000</v>
      </c>
      <c r="E33" s="7" t="s">
        <v>169</v>
      </c>
      <c r="F33" s="7" t="s">
        <v>170</v>
      </c>
      <c r="G33" s="7" t="s">
        <v>171</v>
      </c>
      <c r="H33" s="7"/>
    </row>
    <row r="35" customFormat="false" ht="21.75" hidden="false" customHeight="true" outlineLevel="0" collapsed="false">
      <c r="B35" s="12" t="s">
        <v>172</v>
      </c>
      <c r="C35" s="12"/>
      <c r="D35" s="12"/>
      <c r="E35" s="12"/>
      <c r="F35" s="12"/>
      <c r="G35" s="12"/>
      <c r="H35" s="12"/>
    </row>
    <row r="36" customFormat="false" ht="15" hidden="false" customHeight="true" outlineLevel="0" collapsed="false">
      <c r="B36" s="8" t="s">
        <v>173</v>
      </c>
      <c r="C36" s="8" t="s">
        <v>174</v>
      </c>
      <c r="D36" s="8"/>
      <c r="E36" s="8" t="s">
        <v>175</v>
      </c>
      <c r="F36" s="8"/>
      <c r="G36" s="8"/>
      <c r="H36" s="8"/>
    </row>
    <row r="37" customFormat="false" ht="31.5" hidden="false" customHeight="true" outlineLevel="0" collapsed="false">
      <c r="B37" s="33" t="s">
        <v>176</v>
      </c>
      <c r="C37" s="35" t="s">
        <v>177</v>
      </c>
      <c r="D37" s="35"/>
      <c r="E37" s="7" t="s">
        <v>178</v>
      </c>
      <c r="F37" s="7"/>
      <c r="G37" s="7"/>
      <c r="H37" s="7"/>
    </row>
    <row r="38" customFormat="false" ht="31.5" hidden="false" customHeight="true" outlineLevel="0" collapsed="false">
      <c r="B38" s="33" t="s">
        <v>179</v>
      </c>
      <c r="C38" s="35" t="s">
        <v>129</v>
      </c>
      <c r="D38" s="35"/>
      <c r="E38" s="7" t="s">
        <v>180</v>
      </c>
      <c r="F38" s="7"/>
      <c r="G38" s="7"/>
      <c r="H38" s="7"/>
    </row>
    <row r="39" customFormat="false" ht="31.5" hidden="false" customHeight="true" outlineLevel="0" collapsed="false">
      <c r="B39" s="33" t="s">
        <v>181</v>
      </c>
      <c r="C39" s="35" t="s">
        <v>131</v>
      </c>
      <c r="D39" s="35"/>
      <c r="E39" s="7" t="s">
        <v>182</v>
      </c>
      <c r="F39" s="7"/>
      <c r="G39" s="7"/>
      <c r="H39" s="7"/>
    </row>
    <row r="40" customFormat="false" ht="31.5" hidden="false" customHeight="true" outlineLevel="0" collapsed="false">
      <c r="B40" s="33" t="s">
        <v>183</v>
      </c>
      <c r="C40" s="35" t="s">
        <v>184</v>
      </c>
      <c r="D40" s="35"/>
      <c r="E40" s="7" t="s">
        <v>185</v>
      </c>
      <c r="F40" s="7"/>
      <c r="G40" s="7"/>
      <c r="H40" s="7"/>
    </row>
    <row r="41" customFormat="false" ht="31.5" hidden="false" customHeight="true" outlineLevel="0" collapsed="false">
      <c r="B41" s="33" t="s">
        <v>186</v>
      </c>
      <c r="C41" s="35" t="s">
        <v>133</v>
      </c>
      <c r="D41" s="35"/>
      <c r="E41" s="7" t="s">
        <v>182</v>
      </c>
      <c r="F41" s="7"/>
      <c r="G41" s="7"/>
      <c r="H41" s="7"/>
    </row>
    <row r="42" customFormat="false" ht="31.5" hidden="false" customHeight="true" outlineLevel="0" collapsed="false">
      <c r="B42" s="33" t="s">
        <v>187</v>
      </c>
      <c r="C42" s="35" t="s">
        <v>135</v>
      </c>
      <c r="D42" s="35"/>
      <c r="E42" s="7" t="s">
        <v>188</v>
      </c>
      <c r="F42" s="7"/>
      <c r="G42" s="7"/>
      <c r="H42" s="7"/>
    </row>
    <row r="43" customFormat="false" ht="31.5" hidden="false" customHeight="true" outlineLevel="0" collapsed="false">
      <c r="B43" s="33" t="s">
        <v>189</v>
      </c>
      <c r="C43" s="35" t="s">
        <v>137</v>
      </c>
      <c r="D43" s="35"/>
      <c r="E43" s="7" t="s">
        <v>190</v>
      </c>
      <c r="F43" s="7"/>
      <c r="G43" s="7"/>
      <c r="H43" s="7"/>
    </row>
    <row r="44" customFormat="false" ht="31.5" hidden="false" customHeight="true" outlineLevel="0" collapsed="false">
      <c r="B44" s="33" t="s">
        <v>191</v>
      </c>
      <c r="C44" s="35" t="s">
        <v>192</v>
      </c>
      <c r="D44" s="35"/>
      <c r="E44" s="7" t="s">
        <v>193</v>
      </c>
      <c r="F44" s="7"/>
      <c r="G44" s="7"/>
      <c r="H44" s="7"/>
    </row>
    <row r="45" customFormat="false" ht="15" hidden="false" customHeight="true" outlineLevel="0" collapsed="false">
      <c r="B45" s="10" t="s">
        <v>194</v>
      </c>
      <c r="C45" s="10"/>
      <c r="D45" s="10"/>
      <c r="E45" s="10"/>
      <c r="F45" s="10"/>
      <c r="G45" s="10"/>
      <c r="H45" s="10"/>
    </row>
  </sheetData>
  <mergeCells count="35">
    <mergeCell ref="B1:H1"/>
    <mergeCell ref="B2:H2"/>
    <mergeCell ref="B4:H4"/>
    <mergeCell ref="B15:H15"/>
    <mergeCell ref="B17:H17"/>
    <mergeCell ref="B23:H23"/>
    <mergeCell ref="B25:H25"/>
    <mergeCell ref="G26:H26"/>
    <mergeCell ref="G27:H27"/>
    <mergeCell ref="G28:H28"/>
    <mergeCell ref="G29:H29"/>
    <mergeCell ref="G30:H30"/>
    <mergeCell ref="G31:H31"/>
    <mergeCell ref="G32:H32"/>
    <mergeCell ref="G33:H33"/>
    <mergeCell ref="B35:H35"/>
    <mergeCell ref="C36:D36"/>
    <mergeCell ref="E36:H36"/>
    <mergeCell ref="C37:D37"/>
    <mergeCell ref="E37:H37"/>
    <mergeCell ref="C38:D38"/>
    <mergeCell ref="E38:H38"/>
    <mergeCell ref="C39:D39"/>
    <mergeCell ref="E39:H39"/>
    <mergeCell ref="C40:D40"/>
    <mergeCell ref="E40:H40"/>
    <mergeCell ref="C41:D41"/>
    <mergeCell ref="E41:H41"/>
    <mergeCell ref="C42:D42"/>
    <mergeCell ref="E42:H42"/>
    <mergeCell ref="C43:D43"/>
    <mergeCell ref="E43:H43"/>
    <mergeCell ref="C44:D44"/>
    <mergeCell ref="E44:H44"/>
    <mergeCell ref="B45:H45"/>
  </mergeCells>
  <conditionalFormatting sqref="G7:G11">
    <cfRule type="cellIs" priority="2" operator="equal" aboveAverage="0" equalAverage="0" bottom="0" percent="0" rank="0" text="" dxfId="0">
      <formula>"Dentro da região típica"</formula>
    </cfRule>
    <cfRule type="cellIs" priority="3" operator="equal" aboveAverage="0" equalAverage="0" bottom="0" percent="0" rank="0" text="" dxfId="1">
      <formula>"Fora da região típica: confira"</formula>
    </cfRule>
  </conditionalFormatting>
  <dataValidations count="2">
    <dataValidation allowBlank="true" error="Digite apenas o número, sem texto nem unidade." errorStyle="stop" errorTitle="Valor inválido" operator="between" showDropDown="false" showErrorMessage="true" showInputMessage="false" sqref="C7:C14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19:D22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4" min="3" style="0" width="9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44"/>
    <col collapsed="false" customWidth="true" hidden="false" outlineLevel="0" max="8" min="8" style="0" width="38"/>
    <col collapsed="false" customWidth="true" hidden="false" outlineLevel="0" max="9" min="9" style="0" width="44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195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196</v>
      </c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B4" s="13" t="s">
        <v>69</v>
      </c>
      <c r="C4" s="14" t="s">
        <v>197</v>
      </c>
      <c r="D4" s="14" t="s">
        <v>198</v>
      </c>
      <c r="E4" s="14" t="s">
        <v>199</v>
      </c>
      <c r="F4" s="14" t="s">
        <v>200</v>
      </c>
      <c r="G4" s="15" t="s">
        <v>201</v>
      </c>
      <c r="H4" s="15" t="s">
        <v>202</v>
      </c>
      <c r="I4" s="13" t="s">
        <v>81</v>
      </c>
    </row>
    <row r="5" customFormat="false" ht="31.5" hidden="false" customHeight="true" outlineLevel="0" collapsed="false">
      <c r="B5" s="33" t="s">
        <v>93</v>
      </c>
      <c r="C5" s="34" t="n">
        <v>80</v>
      </c>
      <c r="D5" s="34" t="n">
        <v>120</v>
      </c>
      <c r="E5" s="35" t="s">
        <v>203</v>
      </c>
      <c r="F5" s="35" t="s">
        <v>95</v>
      </c>
      <c r="G5" s="7" t="s">
        <v>204</v>
      </c>
      <c r="H5" s="7" t="s">
        <v>205</v>
      </c>
      <c r="I5" s="7" t="s">
        <v>206</v>
      </c>
    </row>
    <row r="6" customFormat="false" ht="31.5" hidden="false" customHeight="true" outlineLevel="0" collapsed="false">
      <c r="B6" s="33" t="s">
        <v>207</v>
      </c>
      <c r="C6" s="34" t="n">
        <v>100</v>
      </c>
      <c r="D6" s="34" t="n">
        <v>180</v>
      </c>
      <c r="E6" s="35" t="s">
        <v>203</v>
      </c>
      <c r="F6" s="35" t="s">
        <v>208</v>
      </c>
      <c r="G6" s="7" t="s">
        <v>209</v>
      </c>
      <c r="H6" s="7" t="s">
        <v>210</v>
      </c>
      <c r="I6" s="7" t="s">
        <v>211</v>
      </c>
    </row>
    <row r="7" customFormat="false" ht="31.5" hidden="false" customHeight="true" outlineLevel="0" collapsed="false">
      <c r="B7" s="33" t="s">
        <v>212</v>
      </c>
      <c r="C7" s="34" t="n">
        <v>100</v>
      </c>
      <c r="D7" s="34" t="n">
        <v>180</v>
      </c>
      <c r="E7" s="35" t="s">
        <v>203</v>
      </c>
      <c r="F7" s="35" t="s">
        <v>208</v>
      </c>
      <c r="G7" s="7" t="s">
        <v>213</v>
      </c>
      <c r="H7" s="7" t="s">
        <v>214</v>
      </c>
      <c r="I7" s="7" t="s">
        <v>215</v>
      </c>
    </row>
    <row r="8" customFormat="false" ht="31.5" hidden="false" customHeight="true" outlineLevel="0" collapsed="false">
      <c r="B8" s="33" t="s">
        <v>216</v>
      </c>
      <c r="C8" s="34" t="n">
        <v>80</v>
      </c>
      <c r="D8" s="34" t="n">
        <v>150</v>
      </c>
      <c r="E8" s="35" t="s">
        <v>203</v>
      </c>
      <c r="F8" s="35" t="s">
        <v>217</v>
      </c>
      <c r="G8" s="7" t="s">
        <v>218</v>
      </c>
      <c r="H8" s="7" t="s">
        <v>219</v>
      </c>
      <c r="I8" s="7" t="s">
        <v>220</v>
      </c>
    </row>
    <row r="9" customFormat="false" ht="31.5" hidden="false" customHeight="true" outlineLevel="0" collapsed="false">
      <c r="B9" s="33" t="s">
        <v>221</v>
      </c>
      <c r="C9" s="34" t="n">
        <v>80</v>
      </c>
      <c r="D9" s="34" t="n">
        <v>120</v>
      </c>
      <c r="E9" s="35" t="s">
        <v>203</v>
      </c>
      <c r="F9" s="35" t="s">
        <v>95</v>
      </c>
      <c r="G9" s="7" t="s">
        <v>222</v>
      </c>
      <c r="H9" s="7" t="s">
        <v>223</v>
      </c>
      <c r="I9" s="7" t="s">
        <v>224</v>
      </c>
    </row>
    <row r="10" customFormat="false" ht="31.5" hidden="false" customHeight="true" outlineLevel="0" collapsed="false">
      <c r="B10" s="33" t="s">
        <v>225</v>
      </c>
      <c r="C10" s="34" t="n">
        <v>80</v>
      </c>
      <c r="D10" s="34" t="n">
        <v>120</v>
      </c>
      <c r="E10" s="35" t="s">
        <v>203</v>
      </c>
      <c r="F10" s="35" t="s">
        <v>95</v>
      </c>
      <c r="G10" s="7" t="s">
        <v>226</v>
      </c>
      <c r="H10" s="7" t="s">
        <v>227</v>
      </c>
      <c r="I10" s="7" t="s">
        <v>228</v>
      </c>
    </row>
    <row r="11" customFormat="false" ht="31.5" hidden="false" customHeight="true" outlineLevel="0" collapsed="false">
      <c r="B11" s="33" t="s">
        <v>229</v>
      </c>
      <c r="C11" s="34" t="n">
        <v>40</v>
      </c>
      <c r="D11" s="34" t="n">
        <v>100</v>
      </c>
      <c r="E11" s="35" t="s">
        <v>203</v>
      </c>
      <c r="F11" s="35" t="s">
        <v>230</v>
      </c>
      <c r="G11" s="7" t="s">
        <v>231</v>
      </c>
      <c r="H11" s="7" t="s">
        <v>232</v>
      </c>
      <c r="I11" s="7" t="s">
        <v>233</v>
      </c>
    </row>
    <row r="12" customFormat="false" ht="31.5" hidden="false" customHeight="true" outlineLevel="0" collapsed="false">
      <c r="B12" s="33" t="s">
        <v>234</v>
      </c>
      <c r="C12" s="34" t="n">
        <v>200</v>
      </c>
      <c r="D12" s="34" t="n">
        <v>400</v>
      </c>
      <c r="E12" s="35" t="s">
        <v>203</v>
      </c>
      <c r="F12" s="35" t="s">
        <v>131</v>
      </c>
      <c r="G12" s="7" t="s">
        <v>235</v>
      </c>
      <c r="H12" s="7" t="s">
        <v>236</v>
      </c>
      <c r="I12" s="7" t="s">
        <v>237</v>
      </c>
    </row>
    <row r="13" customFormat="false" ht="31.5" hidden="false" customHeight="true" outlineLevel="0" collapsed="false">
      <c r="B13" s="33" t="s">
        <v>238</v>
      </c>
      <c r="C13" s="34" t="n">
        <v>40</v>
      </c>
      <c r="D13" s="34" t="n">
        <v>120</v>
      </c>
      <c r="E13" s="35" t="s">
        <v>239</v>
      </c>
      <c r="F13" s="35" t="s">
        <v>240</v>
      </c>
      <c r="G13" s="7" t="s">
        <v>241</v>
      </c>
      <c r="H13" s="7" t="s">
        <v>223</v>
      </c>
      <c r="I13" s="7" t="s">
        <v>242</v>
      </c>
    </row>
    <row r="14" customFormat="false" ht="31.5" hidden="false" customHeight="true" outlineLevel="0" collapsed="false">
      <c r="B14" s="33" t="s">
        <v>243</v>
      </c>
      <c r="C14" s="34" t="n">
        <v>30</v>
      </c>
      <c r="D14" s="34" t="n">
        <v>40</v>
      </c>
      <c r="E14" s="35" t="s">
        <v>239</v>
      </c>
      <c r="F14" s="35" t="s">
        <v>244</v>
      </c>
      <c r="G14" s="7" t="s">
        <v>245</v>
      </c>
      <c r="H14" s="7" t="s">
        <v>246</v>
      </c>
      <c r="I14" s="7" t="s">
        <v>247</v>
      </c>
    </row>
    <row r="15" customFormat="false" ht="31.5" hidden="false" customHeight="true" outlineLevel="0" collapsed="false">
      <c r="B15" s="33" t="s">
        <v>248</v>
      </c>
      <c r="C15" s="34" t="n">
        <v>30</v>
      </c>
      <c r="D15" s="34" t="n">
        <v>40</v>
      </c>
      <c r="E15" s="35" t="s">
        <v>239</v>
      </c>
      <c r="F15" s="35" t="s">
        <v>244</v>
      </c>
      <c r="G15" s="7" t="s">
        <v>249</v>
      </c>
      <c r="H15" s="7" t="s">
        <v>250</v>
      </c>
      <c r="I15" s="7" t="s">
        <v>251</v>
      </c>
    </row>
    <row r="16" customFormat="false" ht="31.5" hidden="false" customHeight="true" outlineLevel="0" collapsed="false">
      <c r="B16" s="33" t="s">
        <v>252</v>
      </c>
      <c r="C16" s="34" t="n">
        <v>30</v>
      </c>
      <c r="D16" s="34" t="n">
        <v>40</v>
      </c>
      <c r="E16" s="35" t="s">
        <v>239</v>
      </c>
      <c r="F16" s="35" t="s">
        <v>244</v>
      </c>
      <c r="G16" s="7" t="s">
        <v>253</v>
      </c>
      <c r="H16" s="7" t="s">
        <v>254</v>
      </c>
      <c r="I16" s="7" t="s">
        <v>255</v>
      </c>
    </row>
    <row r="17" customFormat="false" ht="15" hidden="false" customHeight="true" outlineLevel="0" collapsed="false">
      <c r="B17" s="10" t="s">
        <v>256</v>
      </c>
      <c r="C17" s="10"/>
      <c r="D17" s="10"/>
      <c r="E17" s="10"/>
      <c r="F17" s="10"/>
      <c r="G17" s="10"/>
      <c r="H17" s="10"/>
      <c r="I17" s="10"/>
    </row>
  </sheetData>
  <mergeCells count="3">
    <mergeCell ref="B1:I1"/>
    <mergeCell ref="B2:I2"/>
    <mergeCell ref="B17:I17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257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258</v>
      </c>
      <c r="C2" s="2"/>
      <c r="D2" s="2"/>
      <c r="E2" s="2"/>
      <c r="F2" s="2"/>
    </row>
    <row r="4" customFormat="false" ht="21.75" hidden="false" customHeight="true" outlineLevel="0" collapsed="false">
      <c r="B4" s="13" t="s">
        <v>259</v>
      </c>
      <c r="C4" s="13" t="s">
        <v>260</v>
      </c>
      <c r="D4" s="13" t="s">
        <v>261</v>
      </c>
      <c r="E4" s="13" t="s">
        <v>79</v>
      </c>
      <c r="F4" s="13" t="s">
        <v>81</v>
      </c>
    </row>
    <row r="5" customFormat="false" ht="19.5" hidden="false" customHeight="true" outlineLevel="0" collapsed="false">
      <c r="B5" s="18" t="n">
        <v>1</v>
      </c>
      <c r="C5" s="6" t="s">
        <v>262</v>
      </c>
      <c r="D5" s="7" t="s">
        <v>263</v>
      </c>
      <c r="E5" s="9"/>
      <c r="F5" s="5"/>
    </row>
    <row r="6" customFormat="false" ht="19.5" hidden="false" customHeight="true" outlineLevel="0" collapsed="false">
      <c r="B6" s="18" t="n">
        <v>2</v>
      </c>
      <c r="C6" s="6" t="s">
        <v>262</v>
      </c>
      <c r="D6" s="7" t="s">
        <v>264</v>
      </c>
      <c r="E6" s="9"/>
      <c r="F6" s="5"/>
    </row>
    <row r="7" customFormat="false" ht="31.5" hidden="false" customHeight="true" outlineLevel="0" collapsed="false">
      <c r="B7" s="18" t="n">
        <v>3</v>
      </c>
      <c r="C7" s="6" t="s">
        <v>68</v>
      </c>
      <c r="D7" s="7" t="s">
        <v>265</v>
      </c>
      <c r="E7" s="9"/>
      <c r="F7" s="5"/>
    </row>
    <row r="8" customFormat="false" ht="19.5" hidden="false" customHeight="true" outlineLevel="0" collapsed="false">
      <c r="B8" s="18" t="n">
        <v>4</v>
      </c>
      <c r="C8" s="6" t="s">
        <v>68</v>
      </c>
      <c r="D8" s="7" t="s">
        <v>266</v>
      </c>
      <c r="E8" s="9"/>
      <c r="F8" s="5"/>
    </row>
    <row r="9" customFormat="false" ht="31.5" hidden="false" customHeight="true" outlineLevel="0" collapsed="false">
      <c r="B9" s="18" t="n">
        <v>5</v>
      </c>
      <c r="C9" s="6" t="s">
        <v>68</v>
      </c>
      <c r="D9" s="7" t="s">
        <v>267</v>
      </c>
      <c r="E9" s="9"/>
      <c r="F9" s="5"/>
    </row>
    <row r="10" customFormat="false" ht="31.5" hidden="false" customHeight="true" outlineLevel="0" collapsed="false">
      <c r="B10" s="18" t="n">
        <v>6</v>
      </c>
      <c r="C10" s="6" t="s">
        <v>68</v>
      </c>
      <c r="D10" s="7" t="s">
        <v>268</v>
      </c>
      <c r="E10" s="9"/>
      <c r="F10" s="5"/>
    </row>
    <row r="11" customFormat="false" ht="31.5" hidden="false" customHeight="true" outlineLevel="0" collapsed="false">
      <c r="B11" s="18" t="n">
        <v>7</v>
      </c>
      <c r="C11" s="6" t="s">
        <v>68</v>
      </c>
      <c r="D11" s="7" t="s">
        <v>269</v>
      </c>
      <c r="E11" s="9"/>
      <c r="F11" s="5"/>
    </row>
    <row r="12" customFormat="false" ht="19.5" hidden="false" customHeight="true" outlineLevel="0" collapsed="false">
      <c r="B12" s="18" t="n">
        <v>8</v>
      </c>
      <c r="C12" s="6" t="s">
        <v>68</v>
      </c>
      <c r="D12" s="7" t="s">
        <v>270</v>
      </c>
      <c r="E12" s="9"/>
      <c r="F12" s="5"/>
    </row>
    <row r="13" customFormat="false" ht="31.5" hidden="false" customHeight="true" outlineLevel="0" collapsed="false">
      <c r="B13" s="18" t="n">
        <v>9</v>
      </c>
      <c r="C13" s="6" t="s">
        <v>271</v>
      </c>
      <c r="D13" s="7" t="s">
        <v>272</v>
      </c>
      <c r="E13" s="9"/>
      <c r="F13" s="5"/>
    </row>
    <row r="14" customFormat="false" ht="31.5" hidden="false" customHeight="true" outlineLevel="0" collapsed="false">
      <c r="B14" s="18" t="n">
        <v>10</v>
      </c>
      <c r="C14" s="6" t="s">
        <v>273</v>
      </c>
      <c r="D14" s="7" t="s">
        <v>274</v>
      </c>
      <c r="E14" s="9"/>
      <c r="F14" s="5"/>
    </row>
    <row r="15" customFormat="false" ht="31.5" hidden="false" customHeight="true" outlineLevel="0" collapsed="false">
      <c r="B15" s="18" t="n">
        <v>11</v>
      </c>
      <c r="C15" s="6" t="s">
        <v>275</v>
      </c>
      <c r="D15" s="7" t="s">
        <v>276</v>
      </c>
      <c r="E15" s="9"/>
      <c r="F15" s="5"/>
    </row>
    <row r="16" customFormat="false" ht="31.5" hidden="false" customHeight="true" outlineLevel="0" collapsed="false">
      <c r="B16" s="18" t="n">
        <v>12</v>
      </c>
      <c r="C16" s="6" t="s">
        <v>277</v>
      </c>
      <c r="D16" s="7" t="s">
        <v>278</v>
      </c>
      <c r="E16" s="9"/>
      <c r="F16" s="5"/>
    </row>
    <row r="18" customFormat="false" ht="19.5" hidden="false" customHeight="true" outlineLevel="0" collapsed="false">
      <c r="B18" s="29" t="s">
        <v>279</v>
      </c>
      <c r="C18" s="29"/>
      <c r="D18" s="29"/>
      <c r="E18" s="8" t="n">
        <f aca="false">COUNTA(E5:E16)</f>
        <v>0</v>
      </c>
    </row>
    <row r="19" customFormat="false" ht="19.5" hidden="false" customHeight="true" outlineLevel="0" collapsed="false">
      <c r="B19" s="29" t="s">
        <v>280</v>
      </c>
      <c r="C19" s="29"/>
      <c r="D19" s="29"/>
      <c r="E19" s="36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29" t="s">
        <v>79</v>
      </c>
      <c r="C20" s="29"/>
      <c r="D20" s="29"/>
      <c r="E20" s="25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E2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AB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3" topLeftCell="F14" activePane="bottomRight" state="frozen"/>
      <selection pane="topLeft" activeCell="A1" activeCellId="0" sqref="A1"/>
      <selection pane="topRight" activeCell="F1" activeCellId="0" sqref="F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6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2" min="12" style="0" width="7"/>
    <col collapsed="false" customWidth="true" hidden="false" outlineLevel="0" max="13" min="13" style="0" width="6"/>
    <col collapsed="false" customWidth="true" hidden="false" outlineLevel="0" max="14" min="14" style="0" width="7"/>
    <col collapsed="false" customWidth="true" hidden="false" outlineLevel="0" max="15" min="15" style="0" width="8"/>
    <col collapsed="false" customWidth="true" hidden="false" outlineLevel="0" max="16" min="16" style="0" width="7"/>
    <col collapsed="false" customWidth="true" hidden="false" outlineLevel="0" max="17" min="17" style="0" width="6"/>
    <col collapsed="false" customWidth="true" hidden="false" outlineLevel="0" max="18" min="18" style="0" width="7"/>
    <col collapsed="false" customWidth="true" hidden="false" outlineLevel="0" max="19" min="19" style="0" width="8"/>
    <col collapsed="false" customWidth="true" hidden="false" outlineLevel="0" max="20" min="20" style="0" width="7"/>
    <col collapsed="false" customWidth="true" hidden="false" outlineLevel="0" max="21" min="21" style="0" width="6"/>
    <col collapsed="false" customWidth="true" hidden="false" outlineLevel="0" max="22" min="22" style="0" width="16"/>
    <col collapsed="false" customWidth="true" hidden="false" outlineLevel="0" max="23" min="23" style="0" width="15"/>
    <col collapsed="false" customWidth="true" hidden="false" outlineLevel="0" max="25" min="24" style="0" width="9"/>
    <col collapsed="false" customWidth="true" hidden="false" outlineLevel="0" max="26" min="26" style="0" width="16"/>
    <col collapsed="false" customWidth="true" hidden="false" outlineLevel="0" max="27" min="27" style="0" width="42"/>
    <col collapsed="false" customWidth="true" hidden="false" outlineLevel="0" max="28" min="28" style="0" width="26"/>
    <col collapsed="false" customWidth="true" hidden="false" outlineLevel="0" max="29" min="29" style="0" width="2"/>
  </cols>
  <sheetData>
    <row r="1" customFormat="false" ht="31.5" hidden="false" customHeight="true" outlineLevel="0" collapsed="false">
      <c r="B1" s="1" t="s">
        <v>54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9.5" hidden="false" customHeight="true" outlineLevel="0" collapsed="false">
      <c r="B2" s="2" t="s">
        <v>281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4" customFormat="false" ht="21.75" hidden="false" customHeight="true" outlineLevel="0" collapsed="false">
      <c r="B4" s="4" t="s">
        <v>56</v>
      </c>
      <c r="C4" s="4"/>
      <c r="D4" s="37" t="s">
        <v>282</v>
      </c>
      <c r="E4" s="37"/>
      <c r="F4" s="37"/>
      <c r="G4" s="37"/>
      <c r="H4" s="37"/>
      <c r="I4" s="37"/>
      <c r="K4" s="4" t="s">
        <v>57</v>
      </c>
      <c r="L4" s="4"/>
      <c r="M4" s="4"/>
      <c r="N4" s="4"/>
      <c r="O4" s="4"/>
      <c r="P4" s="4"/>
      <c r="Q4" s="4"/>
      <c r="R4" s="38" t="n">
        <v>6</v>
      </c>
      <c r="S4" s="10" t="s">
        <v>58</v>
      </c>
      <c r="T4" s="10"/>
      <c r="U4" s="10"/>
      <c r="V4" s="10"/>
      <c r="W4" s="10"/>
      <c r="X4" s="10"/>
      <c r="Y4" s="10"/>
      <c r="Z4" s="10"/>
      <c r="AA4" s="10"/>
      <c r="AB4" s="10"/>
    </row>
    <row r="5" customFormat="false" ht="21.75" hidden="false" customHeight="true" outlineLevel="0" collapsed="false">
      <c r="B5" s="4" t="s">
        <v>59</v>
      </c>
      <c r="C5" s="4"/>
      <c r="D5" s="37" t="s">
        <v>283</v>
      </c>
      <c r="E5" s="37"/>
      <c r="F5" s="37"/>
      <c r="G5" s="37"/>
      <c r="H5" s="37"/>
      <c r="I5" s="37"/>
      <c r="K5" s="4" t="s">
        <v>60</v>
      </c>
      <c r="L5" s="4"/>
      <c r="M5" s="4"/>
      <c r="N5" s="4"/>
      <c r="O5" s="4"/>
      <c r="P5" s="4"/>
      <c r="Q5" s="4"/>
      <c r="R5" s="38" t="n">
        <v>4</v>
      </c>
      <c r="S5" s="10" t="s">
        <v>61</v>
      </c>
      <c r="T5" s="10"/>
      <c r="U5" s="10"/>
      <c r="V5" s="10"/>
      <c r="W5" s="10"/>
      <c r="X5" s="10"/>
      <c r="Y5" s="10"/>
      <c r="Z5" s="10"/>
      <c r="AA5" s="10"/>
      <c r="AB5" s="10"/>
    </row>
    <row r="6" customFormat="false" ht="21.75" hidden="false" customHeight="true" outlineLevel="0" collapsed="false">
      <c r="B6" s="4" t="s">
        <v>62</v>
      </c>
      <c r="C6" s="4"/>
      <c r="D6" s="39" t="n">
        <v>46299</v>
      </c>
      <c r="E6" s="39"/>
      <c r="F6" s="39"/>
      <c r="G6" s="39"/>
      <c r="H6" s="39"/>
      <c r="I6" s="39"/>
    </row>
    <row r="7" customFormat="false" ht="21.75" hidden="false" customHeight="true" outlineLevel="0" collapsed="false">
      <c r="B7" s="4" t="s">
        <v>63</v>
      </c>
      <c r="C7" s="4"/>
      <c r="D7" s="37" t="s">
        <v>284</v>
      </c>
      <c r="E7" s="37"/>
      <c r="F7" s="37"/>
      <c r="G7" s="37"/>
      <c r="H7" s="37"/>
      <c r="I7" s="37"/>
      <c r="K7" s="10" t="s">
        <v>64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customFormat="false" ht="21.75" hidden="false" customHeight="true" outlineLevel="0" collapsed="false">
      <c r="B8" s="4" t="s">
        <v>65</v>
      </c>
      <c r="C8" s="4"/>
      <c r="D8" s="37" t="s">
        <v>285</v>
      </c>
      <c r="E8" s="37"/>
      <c r="F8" s="37"/>
      <c r="G8" s="37"/>
      <c r="H8" s="37"/>
      <c r="I8" s="37"/>
      <c r="K8" s="10" t="s">
        <v>66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10" customFormat="false" ht="21.75" hidden="false" customHeight="true" outlineLevel="0" collapsed="false">
      <c r="B10" s="12" t="s">
        <v>67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customFormat="false" ht="30" hidden="false" customHeight="true" outlineLevel="0" collapsed="false">
      <c r="B11" s="13" t="s">
        <v>68</v>
      </c>
      <c r="C11" s="13" t="s">
        <v>69</v>
      </c>
      <c r="D11" s="13" t="s">
        <v>70</v>
      </c>
      <c r="E11" s="14" t="s">
        <v>71</v>
      </c>
      <c r="F11" s="14" t="s">
        <v>72</v>
      </c>
      <c r="G11" s="14"/>
      <c r="H11" s="14"/>
      <c r="I11" s="14"/>
      <c r="J11" s="14" t="s">
        <v>73</v>
      </c>
      <c r="K11" s="14"/>
      <c r="L11" s="14"/>
      <c r="M11" s="14"/>
      <c r="N11" s="14" t="s">
        <v>74</v>
      </c>
      <c r="O11" s="14"/>
      <c r="P11" s="14"/>
      <c r="Q11" s="14"/>
      <c r="R11" s="14" t="s">
        <v>75</v>
      </c>
      <c r="S11" s="14"/>
      <c r="T11" s="14"/>
      <c r="U11" s="14"/>
      <c r="V11" s="15" t="s">
        <v>76</v>
      </c>
      <c r="W11" s="15" t="s">
        <v>42</v>
      </c>
      <c r="X11" s="15" t="s">
        <v>77</v>
      </c>
      <c r="Y11" s="15" t="s">
        <v>78</v>
      </c>
      <c r="Z11" s="15" t="s">
        <v>79</v>
      </c>
      <c r="AA11" s="15" t="s">
        <v>80</v>
      </c>
      <c r="AB11" s="13" t="s">
        <v>81</v>
      </c>
    </row>
    <row r="12" customFormat="false" ht="21.75" hidden="false" customHeight="true" outlineLevel="0" collapsed="false">
      <c r="B12" s="16" t="s">
        <v>82</v>
      </c>
      <c r="C12" s="16" t="s">
        <v>83</v>
      </c>
      <c r="D12" s="16" t="s">
        <v>84</v>
      </c>
      <c r="E12" s="16" t="s">
        <v>85</v>
      </c>
      <c r="F12" s="16" t="s">
        <v>86</v>
      </c>
      <c r="G12" s="16" t="s">
        <v>85</v>
      </c>
      <c r="H12" s="16" t="s">
        <v>87</v>
      </c>
      <c r="I12" s="16" t="s">
        <v>88</v>
      </c>
      <c r="J12" s="16" t="s">
        <v>86</v>
      </c>
      <c r="K12" s="16" t="s">
        <v>85</v>
      </c>
      <c r="L12" s="16" t="s">
        <v>87</v>
      </c>
      <c r="M12" s="16" t="s">
        <v>88</v>
      </c>
      <c r="N12" s="16" t="s">
        <v>86</v>
      </c>
      <c r="O12" s="16" t="s">
        <v>85</v>
      </c>
      <c r="P12" s="16" t="s">
        <v>87</v>
      </c>
      <c r="Q12" s="16" t="s">
        <v>88</v>
      </c>
      <c r="R12" s="16" t="s">
        <v>86</v>
      </c>
      <c r="S12" s="16" t="s">
        <v>85</v>
      </c>
      <c r="T12" s="16" t="s">
        <v>87</v>
      </c>
      <c r="U12" s="16" t="s">
        <v>88</v>
      </c>
      <c r="V12" s="16" t="s">
        <v>89</v>
      </c>
      <c r="W12" s="16" t="s">
        <v>90</v>
      </c>
      <c r="X12" s="16" t="s">
        <v>87</v>
      </c>
      <c r="Y12" s="16" t="s">
        <v>87</v>
      </c>
      <c r="Z12" s="16"/>
      <c r="AA12" s="16"/>
      <c r="AB12" s="16"/>
    </row>
    <row r="13" customFormat="false" ht="24" hidden="false" customHeight="true" outlineLevel="0" collapsed="false">
      <c r="B13" s="10" t="s">
        <v>286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customFormat="false" ht="21.75" hidden="false" customHeight="true" outlineLevel="0" collapsed="false">
      <c r="B14" s="18" t="n">
        <v>1</v>
      </c>
      <c r="C14" s="37" t="s">
        <v>287</v>
      </c>
      <c r="D14" s="37" t="s">
        <v>207</v>
      </c>
      <c r="E14" s="40"/>
      <c r="F14" s="38" t="s">
        <v>94</v>
      </c>
      <c r="G14" s="40" t="n">
        <v>3000</v>
      </c>
      <c r="H14" s="41" t="n">
        <v>8</v>
      </c>
      <c r="I14" s="42" t="n">
        <v>1.4</v>
      </c>
      <c r="J14" s="38" t="s">
        <v>288</v>
      </c>
      <c r="K14" s="40" t="n">
        <v>10000</v>
      </c>
      <c r="L14" s="41" t="n">
        <v>9</v>
      </c>
      <c r="M14" s="42"/>
      <c r="N14" s="38"/>
      <c r="O14" s="40"/>
      <c r="P14" s="41"/>
      <c r="Q14" s="42"/>
      <c r="R14" s="38"/>
      <c r="S14" s="40"/>
      <c r="T14" s="41"/>
      <c r="U14" s="42"/>
      <c r="V14" s="22" t="str">
        <f aca="false">IF(D14="","",IFERROR(VLOOKUP(D14,'Guia por fonte'!$B$5:$I$16,5,0),"–"))</f>
        <v>100 a 180 Hz</v>
      </c>
      <c r="W14" s="23" t="str">
        <f aca="false">IF(D14="","",IFERROR(IF(E14="",IF(VLOOKUP(D14,'Guia por fonte'!$B$5:$I$16,4,0)="Sim","Desligado","Sem HPF"),IF(E14&lt;VLOOKUP(D14,'Guia por fonte'!$B$5:$I$16,2,0),"Abaixo da faixa",IF(E14&gt;VLOOKUP(D14,'Guia por fonte'!$B$5:$I$16,3,0),"Acima da faixa","OK"))),"–"))</f>
        <v>Sem HPF</v>
      </c>
      <c r="X14" s="24" t="n">
        <f aca="false">IF(COUNT(H14,L14,P14,T14)=0,"",MAX(0,H14,L14,P14,T14))</f>
        <v>9</v>
      </c>
      <c r="Y14" s="24" t="n">
        <f aca="false">IF(COUNT(H14,L14,P14,T14)=0,"",MIN(0,H14,L14,P14,T14))</f>
        <v>0</v>
      </c>
      <c r="Z14" s="25" t="str">
        <f aca="false">IF(AND(C14="",D14="",COUNT(E14,G14,H14,I14,K14,L14,M14,O14,P14,Q14,S14,T14,U14)=0),"",IF(AND(X14&lt;&gt;"",X14&gt;$R$4),"Realce alto",IF(W14="Sem HPF","Sem HPF",IF(OR(W14="Abaixo da faixa",W14="Acima da faixa"),"HPF fora da faixa",IF(AND((H14&gt;0)+(L14&gt;0)+(P14&gt;0)+(T14&gt;0)&gt;0,(H14&lt;0)+(L14&lt;0)+(P14&lt;0)+(T14&lt;0)=0),"Só realces","OK")))))</f>
        <v>Realce alto</v>
      </c>
      <c r="AA14" s="26" t="str">
        <f aca="false">IF(Z14="","",IF(Z14="Realce alto","Realce de "&amp;X14&amp;" dB: procure antes o que cortar e confira o microfone",IF(Z14="Sem HPF","Ligue o passa-altas: comece em "&amp;V14,IF(Z14="HPF fora da faixa","Partida sugerida: "&amp;V14&amp;". Confira ouvindo",IF(Z14="Só realces","Procure o que cortar antes de realçar","Manter. Decida na mistura")))))</f>
        <v>Realce de 9 dB: procure antes o que cortar e confira o microfone</v>
      </c>
      <c r="AB14" s="37"/>
    </row>
    <row r="15" customFormat="false" ht="21.75" hidden="false" customHeight="true" outlineLevel="0" collapsed="false">
      <c r="B15" s="18" t="n">
        <v>2</v>
      </c>
      <c r="C15" s="37" t="s">
        <v>289</v>
      </c>
      <c r="D15" s="37" t="s">
        <v>207</v>
      </c>
      <c r="E15" s="40" t="n">
        <v>100</v>
      </c>
      <c r="F15" s="38" t="s">
        <v>94</v>
      </c>
      <c r="G15" s="40" t="n">
        <v>3150</v>
      </c>
      <c r="H15" s="41" t="n">
        <v>6</v>
      </c>
      <c r="I15" s="42" t="n">
        <v>1.4</v>
      </c>
      <c r="J15" s="38" t="s">
        <v>288</v>
      </c>
      <c r="K15" s="40" t="n">
        <v>10000</v>
      </c>
      <c r="L15" s="41" t="n">
        <v>4</v>
      </c>
      <c r="M15" s="42"/>
      <c r="N15" s="38"/>
      <c r="O15" s="40"/>
      <c r="P15" s="41"/>
      <c r="Q15" s="42"/>
      <c r="R15" s="38"/>
      <c r="S15" s="40"/>
      <c r="T15" s="41"/>
      <c r="U15" s="42"/>
      <c r="V15" s="22" t="str">
        <f aca="false">IF(D15="","",IFERROR(VLOOKUP(D15,'Guia por fonte'!$B$5:$I$16,5,0),"–"))</f>
        <v>100 a 180 Hz</v>
      </c>
      <c r="W15" s="23" t="str">
        <f aca="false">IF(D15="","",IFERROR(IF(E15="",IF(VLOOKUP(D15,'Guia por fonte'!$B$5:$I$16,4,0)="Sim","Desligado","Sem HPF"),IF(E15&lt;VLOOKUP(D15,'Guia por fonte'!$B$5:$I$16,2,0),"Abaixo da faixa",IF(E15&gt;VLOOKUP(D15,'Guia por fonte'!$B$5:$I$16,3,0),"Acima da faixa","OK"))),"–"))</f>
        <v>OK</v>
      </c>
      <c r="X15" s="24" t="n">
        <f aca="false">IF(COUNT(H15,L15,P15,T15)=0,"",MAX(0,H15,L15,P15,T15))</f>
        <v>6</v>
      </c>
      <c r="Y15" s="24" t="n">
        <f aca="false">IF(COUNT(H15,L15,P15,T15)=0,"",MIN(0,H15,L15,P15,T15))</f>
        <v>0</v>
      </c>
      <c r="Z15" s="25" t="str">
        <f aca="false">IF(AND(C15="",D15="",COUNT(E15,G15,H15,I15,K15,L15,M15,O15,P15,Q15,S15,T15,U15)=0),"",IF(AND(X15&lt;&gt;"",X15&gt;$R$4),"Realce alto",IF(W15="Sem HPF","Sem HPF",IF(OR(W15="Abaixo da faixa",W15="Acima da faixa"),"HPF fora da faixa",IF(AND((H15&gt;0)+(L15&gt;0)+(P15&gt;0)+(T15&gt;0)&gt;0,(H15&lt;0)+(L15&lt;0)+(P15&lt;0)+(T15&lt;0)=0),"Só realces","OK")))))</f>
        <v>Só realces</v>
      </c>
      <c r="AA15" s="26" t="str">
        <f aca="false">IF(Z15="","",IF(Z15="Realce alto","Realce de "&amp;X15&amp;" dB: procure antes o que cortar e confira o microfone",IF(Z15="Sem HPF","Ligue o passa-altas: comece em "&amp;V15,IF(Z15="HPF fora da faixa","Partida sugerida: "&amp;V15&amp;". Confira ouvindo",IF(Z15="Só realces","Procure o que cortar antes de realçar","Manter. Decida na mistura")))))</f>
        <v>Procure o que cortar antes de realçar</v>
      </c>
      <c r="AB15" s="37"/>
    </row>
    <row r="16" customFormat="false" ht="21.75" hidden="false" customHeight="true" outlineLevel="0" collapsed="false">
      <c r="B16" s="18" t="n">
        <v>3</v>
      </c>
      <c r="C16" s="37" t="s">
        <v>92</v>
      </c>
      <c r="D16" s="37" t="s">
        <v>93</v>
      </c>
      <c r="E16" s="40" t="n">
        <v>100</v>
      </c>
      <c r="F16" s="38" t="s">
        <v>94</v>
      </c>
      <c r="G16" s="40" t="n">
        <v>300</v>
      </c>
      <c r="H16" s="41" t="n">
        <v>-3</v>
      </c>
      <c r="I16" s="42" t="n">
        <v>1.4</v>
      </c>
      <c r="J16" s="38" t="s">
        <v>94</v>
      </c>
      <c r="K16" s="40" t="n">
        <v>2500</v>
      </c>
      <c r="L16" s="41" t="n">
        <v>3</v>
      </c>
      <c r="M16" s="42" t="n">
        <v>1</v>
      </c>
      <c r="N16" s="38"/>
      <c r="O16" s="40"/>
      <c r="P16" s="41"/>
      <c r="Q16" s="42"/>
      <c r="R16" s="38"/>
      <c r="S16" s="40"/>
      <c r="T16" s="41"/>
      <c r="U16" s="42"/>
      <c r="V16" s="22" t="str">
        <f aca="false">IF(D16="","",IFERROR(VLOOKUP(D16,'Guia por fonte'!$B$5:$I$16,5,0),"–"))</f>
        <v>80 a 120 Hz</v>
      </c>
      <c r="W16" s="23" t="str">
        <f aca="false">IF(D16="","",IFERROR(IF(E16="",IF(VLOOKUP(D16,'Guia por fonte'!$B$5:$I$16,4,0)="Sim","Desligado","Sem HPF"),IF(E16&lt;VLOOKUP(D16,'Guia por fonte'!$B$5:$I$16,2,0),"Abaixo da faixa",IF(E16&gt;VLOOKUP(D16,'Guia por fonte'!$B$5:$I$16,3,0),"Acima da faixa","OK"))),"–"))</f>
        <v>OK</v>
      </c>
      <c r="X16" s="24" t="n">
        <f aca="false">IF(COUNT(H16,L16,P16,T16)=0,"",MAX(0,H16,L16,P16,T16))</f>
        <v>3</v>
      </c>
      <c r="Y16" s="24" t="n">
        <f aca="false">IF(COUNT(H16,L16,P16,T16)=0,"",MIN(0,H16,L16,P16,T16))</f>
        <v>-3</v>
      </c>
      <c r="Z16" s="25" t="str">
        <f aca="false">IF(AND(C16="",D16="",COUNT(E16,G16,H16,I16,K16,L16,M16,O16,P16,Q16,S16,T16,U16)=0),"",IF(AND(X16&lt;&gt;"",X16&gt;$R$4),"Realce alto",IF(W16="Sem HPF","Sem HPF",IF(OR(W16="Abaixo da faixa",W16="Acima da faixa"),"HPF fora da faixa",IF(AND((H16&gt;0)+(L16&gt;0)+(P16&gt;0)+(T16&gt;0)&gt;0,(H16&lt;0)+(L16&lt;0)+(P16&lt;0)+(T16&lt;0)=0),"Só realces","OK")))))</f>
        <v>OK</v>
      </c>
      <c r="AA16" s="26" t="str">
        <f aca="false">IF(Z16="","",IF(Z16="Realce alto","Realce de "&amp;X16&amp;" dB: procure antes o que cortar e confira o microfone",IF(Z16="Sem HPF","Ligue o passa-altas: comece em "&amp;V16,IF(Z16="HPF fora da faixa","Partida sugerida: "&amp;V16&amp;". Confira ouvindo",IF(Z16="Só realces","Procure o que cortar antes de realçar","Manter. Decida na mistura")))))</f>
        <v>Manter. Decida na mistura</v>
      </c>
      <c r="AB16" s="37"/>
    </row>
    <row r="17" customFormat="false" ht="21.75" hidden="false" customHeight="true" outlineLevel="0" collapsed="false">
      <c r="B17" s="18" t="n">
        <v>4</v>
      </c>
      <c r="C17" s="37" t="s">
        <v>216</v>
      </c>
      <c r="D17" s="37" t="s">
        <v>216</v>
      </c>
      <c r="E17" s="40" t="n">
        <v>80</v>
      </c>
      <c r="F17" s="38" t="s">
        <v>94</v>
      </c>
      <c r="G17" s="40" t="n">
        <v>200</v>
      </c>
      <c r="H17" s="41" t="n">
        <v>-4</v>
      </c>
      <c r="I17" s="42" t="n">
        <v>1.4</v>
      </c>
      <c r="J17" s="38" t="s">
        <v>94</v>
      </c>
      <c r="K17" s="40" t="n">
        <v>3000</v>
      </c>
      <c r="L17" s="41" t="n">
        <v>5</v>
      </c>
      <c r="M17" s="42" t="n">
        <v>1.4</v>
      </c>
      <c r="N17" s="38"/>
      <c r="O17" s="40"/>
      <c r="P17" s="41"/>
      <c r="Q17" s="42"/>
      <c r="R17" s="38"/>
      <c r="S17" s="40"/>
      <c r="T17" s="41"/>
      <c r="U17" s="42"/>
      <c r="V17" s="22" t="str">
        <f aca="false">IF(D17="","",IFERROR(VLOOKUP(D17,'Guia por fonte'!$B$5:$I$16,5,0),"–"))</f>
        <v>80 a 150 Hz</v>
      </c>
      <c r="W17" s="23" t="str">
        <f aca="false">IF(D17="","",IFERROR(IF(E17="",IF(VLOOKUP(D17,'Guia por fonte'!$B$5:$I$16,4,0)="Sim","Desligado","Sem HPF"),IF(E17&lt;VLOOKUP(D17,'Guia por fonte'!$B$5:$I$16,2,0),"Abaixo da faixa",IF(E17&gt;VLOOKUP(D17,'Guia por fonte'!$B$5:$I$16,3,0),"Acima da faixa","OK"))),"–"))</f>
        <v>OK</v>
      </c>
      <c r="X17" s="24" t="n">
        <f aca="false">IF(COUNT(H17,L17,P17,T17)=0,"",MAX(0,H17,L17,P17,T17))</f>
        <v>5</v>
      </c>
      <c r="Y17" s="24" t="n">
        <f aca="false">IF(COUNT(H17,L17,P17,T17)=0,"",MIN(0,H17,L17,P17,T17))</f>
        <v>-4</v>
      </c>
      <c r="Z17" s="25" t="str">
        <f aca="false">IF(AND(C17="",D17="",COUNT(E17,G17,H17,I17,K17,L17,M17,O17,P17,Q17,S17,T17,U17)=0),"",IF(AND(X17&lt;&gt;"",X17&gt;$R$4),"Realce alto",IF(W17="Sem HPF","Sem HPF",IF(OR(W17="Abaixo da faixa",W17="Acima da faixa"),"HPF fora da faixa",IF(AND((H17&gt;0)+(L17&gt;0)+(P17&gt;0)+(T17&gt;0)&gt;0,(H17&lt;0)+(L17&lt;0)+(P17&lt;0)+(T17&lt;0)=0),"Só realces","OK")))))</f>
        <v>OK</v>
      </c>
      <c r="AA17" s="26" t="str">
        <f aca="false">IF(Z17="","",IF(Z17="Realce alto","Realce de "&amp;X17&amp;" dB: procure antes o que cortar e confira o microfone",IF(Z17="Sem HPF","Ligue o passa-altas: comece em "&amp;V17,IF(Z17="HPF fora da faixa","Partida sugerida: "&amp;V17&amp;". Confira ouvindo",IF(Z17="Só realces","Procure o que cortar antes de realçar","Manter. Decida na mistura")))))</f>
        <v>Manter. Decida na mistura</v>
      </c>
      <c r="AB17" s="37"/>
    </row>
    <row r="18" customFormat="false" ht="21.75" hidden="false" customHeight="true" outlineLevel="0" collapsed="false">
      <c r="B18" s="18" t="n">
        <v>5</v>
      </c>
      <c r="C18" s="37" t="s">
        <v>243</v>
      </c>
      <c r="D18" s="37" t="s">
        <v>243</v>
      </c>
      <c r="E18" s="40"/>
      <c r="F18" s="38" t="s">
        <v>94</v>
      </c>
      <c r="G18" s="40" t="n">
        <v>250</v>
      </c>
      <c r="H18" s="41" t="n">
        <v>-3</v>
      </c>
      <c r="I18" s="42" t="n">
        <v>1.4</v>
      </c>
      <c r="J18" s="38" t="s">
        <v>94</v>
      </c>
      <c r="K18" s="40" t="n">
        <v>800</v>
      </c>
      <c r="L18" s="41" t="n">
        <v>3</v>
      </c>
      <c r="M18" s="42" t="n">
        <v>1.4</v>
      </c>
      <c r="N18" s="38"/>
      <c r="O18" s="40"/>
      <c r="P18" s="41"/>
      <c r="Q18" s="42"/>
      <c r="R18" s="38"/>
      <c r="S18" s="40"/>
      <c r="T18" s="41"/>
      <c r="U18" s="42"/>
      <c r="V18" s="22" t="str">
        <f aca="false">IF(D18="","",IFERROR(VLOOKUP(D18,'Guia por fonte'!$B$5:$I$16,5,0),"–"))</f>
        <v>desligado, ou 30 a 40 Hz</v>
      </c>
      <c r="W18" s="23" t="str">
        <f aca="false">IF(D18="","",IFERROR(IF(E18="",IF(VLOOKUP(D18,'Guia por fonte'!$B$5:$I$16,4,0)="Sim","Desligado","Sem HPF"),IF(E18&lt;VLOOKUP(D18,'Guia por fonte'!$B$5:$I$16,2,0),"Abaixo da faixa",IF(E18&gt;VLOOKUP(D18,'Guia por fonte'!$B$5:$I$16,3,0),"Acima da faixa","OK"))),"–"))</f>
        <v>Desligado</v>
      </c>
      <c r="X18" s="24" t="n">
        <f aca="false">IF(COUNT(H18,L18,P18,T18)=0,"",MAX(0,H18,L18,P18,T18))</f>
        <v>3</v>
      </c>
      <c r="Y18" s="24" t="n">
        <f aca="false">IF(COUNT(H18,L18,P18,T18)=0,"",MIN(0,H18,L18,P18,T18))</f>
        <v>-3</v>
      </c>
      <c r="Z18" s="25" t="str">
        <f aca="false">IF(AND(C18="",D18="",COUNT(E18,G18,H18,I18,K18,L18,M18,O18,P18,Q18,S18,T18,U18)=0),"",IF(AND(X18&lt;&gt;"",X18&gt;$R$4),"Realce alto",IF(W18="Sem HPF","Sem HPF",IF(OR(W18="Abaixo da faixa",W18="Acima da faixa"),"HPF fora da faixa",IF(AND((H18&gt;0)+(L18&gt;0)+(P18&gt;0)+(T18&gt;0)&gt;0,(H18&lt;0)+(L18&lt;0)+(P18&lt;0)+(T18&lt;0)=0),"Só realces","OK")))))</f>
        <v>OK</v>
      </c>
      <c r="AA18" s="26" t="str">
        <f aca="false">IF(Z18="","",IF(Z18="Realce alto","Realce de "&amp;X18&amp;" dB: procure antes o que cortar e confira o microfone",IF(Z18="Sem HPF","Ligue o passa-altas: comece em "&amp;V18,IF(Z18="HPF fora da faixa","Partida sugerida: "&amp;V18&amp;". Confira ouvindo",IF(Z18="Só realces","Procure o que cortar antes de realçar","Manter. Decida na mistura")))))</f>
        <v>Manter. Decida na mistura</v>
      </c>
      <c r="AB18" s="37"/>
    </row>
    <row r="19" customFormat="false" ht="21.75" hidden="false" customHeight="true" outlineLevel="0" collapsed="false">
      <c r="B19" s="18" t="n">
        <v>6</v>
      </c>
      <c r="C19" s="37" t="s">
        <v>248</v>
      </c>
      <c r="D19" s="37" t="s">
        <v>248</v>
      </c>
      <c r="E19" s="40"/>
      <c r="F19" s="38" t="s">
        <v>94</v>
      </c>
      <c r="G19" s="40" t="n">
        <v>60</v>
      </c>
      <c r="H19" s="41" t="n">
        <v>3</v>
      </c>
      <c r="I19" s="42" t="n">
        <v>1.4</v>
      </c>
      <c r="J19" s="38" t="s">
        <v>94</v>
      </c>
      <c r="K19" s="40" t="n">
        <v>400</v>
      </c>
      <c r="L19" s="41" t="n">
        <v>-6</v>
      </c>
      <c r="M19" s="42" t="n">
        <v>2.9</v>
      </c>
      <c r="N19" s="38" t="s">
        <v>94</v>
      </c>
      <c r="O19" s="40" t="n">
        <v>3500</v>
      </c>
      <c r="P19" s="41" t="n">
        <v>4</v>
      </c>
      <c r="Q19" s="42" t="n">
        <v>1.4</v>
      </c>
      <c r="R19" s="38"/>
      <c r="S19" s="40"/>
      <c r="T19" s="41"/>
      <c r="U19" s="42"/>
      <c r="V19" s="22" t="str">
        <f aca="false">IF(D19="","",IFERROR(VLOOKUP(D19,'Guia por fonte'!$B$5:$I$16,5,0),"–"))</f>
        <v>desligado, ou 30 a 40 Hz</v>
      </c>
      <c r="W19" s="23" t="str">
        <f aca="false">IF(D19="","",IFERROR(IF(E19="",IF(VLOOKUP(D19,'Guia por fonte'!$B$5:$I$16,4,0)="Sim","Desligado","Sem HPF"),IF(E19&lt;VLOOKUP(D19,'Guia por fonte'!$B$5:$I$16,2,0),"Abaixo da faixa",IF(E19&gt;VLOOKUP(D19,'Guia por fonte'!$B$5:$I$16,3,0),"Acima da faixa","OK"))),"–"))</f>
        <v>Desligado</v>
      </c>
      <c r="X19" s="24" t="n">
        <f aca="false">IF(COUNT(H19,L19,P19,T19)=0,"",MAX(0,H19,L19,P19,T19))</f>
        <v>4</v>
      </c>
      <c r="Y19" s="24" t="n">
        <f aca="false">IF(COUNT(H19,L19,P19,T19)=0,"",MIN(0,H19,L19,P19,T19))</f>
        <v>-6</v>
      </c>
      <c r="Z19" s="25" t="str">
        <f aca="false">IF(AND(C19="",D19="",COUNT(E19,G19,H19,I19,K19,L19,M19,O19,P19,Q19,S19,T19,U19)=0),"",IF(AND(X19&lt;&gt;"",X19&gt;$R$4),"Realce alto",IF(W19="Sem HPF","Sem HPF",IF(OR(W19="Abaixo da faixa",W19="Acima da faixa"),"HPF fora da faixa",IF(AND((H19&gt;0)+(L19&gt;0)+(P19&gt;0)+(T19&gt;0)&gt;0,(H19&lt;0)+(L19&lt;0)+(P19&lt;0)+(T19&lt;0)=0),"Só realces","OK")))))</f>
        <v>OK</v>
      </c>
      <c r="AA19" s="26" t="str">
        <f aca="false">IF(Z19="","",IF(Z19="Realce alto","Realce de "&amp;X19&amp;" dB: procure antes o que cortar e confira o microfone",IF(Z19="Sem HPF","Ligue o passa-altas: comece em "&amp;V19,IF(Z19="HPF fora da faixa","Partida sugerida: "&amp;V19&amp;". Confira ouvindo",IF(Z19="Só realces","Procure o que cortar antes de realçar","Manter. Decida na mistura")))))</f>
        <v>Manter. Decida na mistura</v>
      </c>
      <c r="AB19" s="37"/>
    </row>
    <row r="20" customFormat="false" ht="21.75" hidden="false" customHeight="true" outlineLevel="0" collapsed="false">
      <c r="B20" s="18" t="n">
        <v>7</v>
      </c>
      <c r="C20" s="37" t="s">
        <v>238</v>
      </c>
      <c r="D20" s="37" t="s">
        <v>238</v>
      </c>
      <c r="E20" s="40"/>
      <c r="F20" s="38" t="s">
        <v>94</v>
      </c>
      <c r="G20" s="40" t="n">
        <v>2500</v>
      </c>
      <c r="H20" s="41" t="n">
        <v>6</v>
      </c>
      <c r="I20" s="42" t="n">
        <v>1.4</v>
      </c>
      <c r="J20" s="38" t="s">
        <v>288</v>
      </c>
      <c r="K20" s="40" t="n">
        <v>8000</v>
      </c>
      <c r="L20" s="41" t="n">
        <v>3</v>
      </c>
      <c r="M20" s="42"/>
      <c r="N20" s="38"/>
      <c r="O20" s="40"/>
      <c r="P20" s="41"/>
      <c r="Q20" s="42"/>
      <c r="R20" s="38"/>
      <c r="S20" s="40"/>
      <c r="T20" s="41"/>
      <c r="U20" s="42"/>
      <c r="V20" s="22" t="str">
        <f aca="false">IF(D20="","",IFERROR(VLOOKUP(D20,'Guia por fonte'!$B$5:$I$16,5,0),"–"))</f>
        <v>desligado, ou 40 a 120 Hz</v>
      </c>
      <c r="W20" s="23" t="str">
        <f aca="false">IF(D20="","",IFERROR(IF(E20="",IF(VLOOKUP(D20,'Guia por fonte'!$B$5:$I$16,4,0)="Sim","Desligado","Sem HPF"),IF(E20&lt;VLOOKUP(D20,'Guia por fonte'!$B$5:$I$16,2,0),"Abaixo da faixa",IF(E20&gt;VLOOKUP(D20,'Guia por fonte'!$B$5:$I$16,3,0),"Acima da faixa","OK"))),"–"))</f>
        <v>Desligado</v>
      </c>
      <c r="X20" s="24" t="n">
        <f aca="false">IF(COUNT(H20,L20,P20,T20)=0,"",MAX(0,H20,L20,P20,T20))</f>
        <v>6</v>
      </c>
      <c r="Y20" s="24" t="n">
        <f aca="false">IF(COUNT(H20,L20,P20,T20)=0,"",MIN(0,H20,L20,P20,T20))</f>
        <v>0</v>
      </c>
      <c r="Z20" s="25" t="str">
        <f aca="false">IF(AND(C20="",D20="",COUNT(E20,G20,H20,I20,K20,L20,M20,O20,P20,Q20,S20,T20,U20)=0),"",IF(AND(X20&lt;&gt;"",X20&gt;$R$4),"Realce alto",IF(W20="Sem HPF","Sem HPF",IF(OR(W20="Abaixo da faixa",W20="Acima da faixa"),"HPF fora da faixa",IF(AND((H20&gt;0)+(L20&gt;0)+(P20&gt;0)+(T20&gt;0)&gt;0,(H20&lt;0)+(L20&lt;0)+(P20&lt;0)+(T20&lt;0)=0),"Só realces","OK")))))</f>
        <v>Só realces</v>
      </c>
      <c r="AA20" s="26" t="str">
        <f aca="false">IF(Z20="","",IF(Z20="Realce alto","Realce de "&amp;X20&amp;" dB: procure antes o que cortar e confira o microfone",IF(Z20="Sem HPF","Ligue o passa-altas: comece em "&amp;V20,IF(Z20="HPF fora da faixa","Partida sugerida: "&amp;V20&amp;". Confira ouvindo",IF(Z20="Só realces","Procure o que cortar antes de realçar","Manter. Decida na mistura")))))</f>
        <v>Procure o que cortar antes de realçar</v>
      </c>
      <c r="AB20" s="37"/>
    </row>
    <row r="21" customFormat="false" ht="21.75" hidden="false" customHeight="true" outlineLevel="0" collapsed="false">
      <c r="B21" s="18" t="n">
        <v>8</v>
      </c>
      <c r="C21" s="37" t="s">
        <v>290</v>
      </c>
      <c r="D21" s="37" t="s">
        <v>252</v>
      </c>
      <c r="E21" s="40"/>
      <c r="F21" s="38"/>
      <c r="G21" s="40"/>
      <c r="H21" s="41"/>
      <c r="I21" s="42"/>
      <c r="J21" s="38"/>
      <c r="K21" s="40"/>
      <c r="L21" s="41"/>
      <c r="M21" s="42"/>
      <c r="N21" s="38"/>
      <c r="O21" s="40"/>
      <c r="P21" s="41"/>
      <c r="Q21" s="42"/>
      <c r="R21" s="38"/>
      <c r="S21" s="40"/>
      <c r="T21" s="41"/>
      <c r="U21" s="42"/>
      <c r="V21" s="22" t="str">
        <f aca="false">IF(D21="","",IFERROR(VLOOKUP(D21,'Guia por fonte'!$B$5:$I$16,5,0),"–"))</f>
        <v>desligado, ou 30 a 40 Hz</v>
      </c>
      <c r="W21" s="23" t="str">
        <f aca="false">IF(D21="","",IFERROR(IF(E21="",IF(VLOOKUP(D21,'Guia por fonte'!$B$5:$I$16,4,0)="Sim","Desligado","Sem HPF"),IF(E21&lt;VLOOKUP(D21,'Guia por fonte'!$B$5:$I$16,2,0),"Abaixo da faixa",IF(E21&gt;VLOOKUP(D21,'Guia por fonte'!$B$5:$I$16,3,0),"Acima da faixa","OK"))),"–"))</f>
        <v>Desligado</v>
      </c>
      <c r="X21" s="24" t="str">
        <f aca="false">IF(COUNT(H21,L21,P21,T21)=0,"",MAX(0,H21,L21,P21,T21))</f>
        <v/>
      </c>
      <c r="Y21" s="24" t="str">
        <f aca="false">IF(COUNT(H21,L21,P21,T21)=0,"",MIN(0,H21,L21,P21,T21))</f>
        <v/>
      </c>
      <c r="Z21" s="25" t="str">
        <f aca="false">IF(AND(C21="",D21="",COUNT(E21,G21,H21,I21,K21,L21,M21,O21,P21,Q21,S21,T21,U21)=0),"",IF(AND(X21&lt;&gt;"",X21&gt;$R$4),"Realce alto",IF(W21="Sem HPF","Sem HPF",IF(OR(W21="Abaixo da faixa",W21="Acima da faixa"),"HPF fora da faixa",IF(AND((H21&gt;0)+(L21&gt;0)+(P21&gt;0)+(T21&gt;0)&gt;0,(H21&lt;0)+(L21&lt;0)+(P21&lt;0)+(T21&lt;0)=0),"Só realces","OK")))))</f>
        <v>OK</v>
      </c>
      <c r="AA21" s="26" t="str">
        <f aca="false">IF(Z21="","",IF(Z21="Realce alto","Realce de "&amp;X21&amp;" dB: procure antes o que cortar e confira o microfone",IF(Z21="Sem HPF","Ligue o passa-altas: comece em "&amp;V21,IF(Z21="HPF fora da faixa","Partida sugerida: "&amp;V21&amp;". Confira ouvindo",IF(Z21="Só realces","Procure o que cortar antes de realçar","Manter. Decida na mistura")))))</f>
        <v>Manter. Decida na mistura</v>
      </c>
      <c r="AB21" s="37"/>
    </row>
    <row r="22" customFormat="false" ht="21.75" hidden="false" customHeight="true" outlineLevel="0" collapsed="false">
      <c r="B22" s="18" t="n">
        <v>9</v>
      </c>
      <c r="C22" s="37"/>
      <c r="D22" s="37"/>
      <c r="E22" s="40"/>
      <c r="F22" s="38"/>
      <c r="G22" s="40"/>
      <c r="H22" s="41"/>
      <c r="I22" s="42"/>
      <c r="J22" s="38"/>
      <c r="K22" s="40"/>
      <c r="L22" s="41"/>
      <c r="M22" s="42"/>
      <c r="N22" s="38"/>
      <c r="O22" s="40"/>
      <c r="P22" s="41"/>
      <c r="Q22" s="42"/>
      <c r="R22" s="38"/>
      <c r="S22" s="40"/>
      <c r="T22" s="41"/>
      <c r="U22" s="42"/>
      <c r="V22" s="22" t="str">
        <f aca="false">IF(D22="","",IFERROR(VLOOKUP(D22,'Guia por fonte'!$B$5:$I$16,5,0),"–"))</f>
        <v/>
      </c>
      <c r="W22" s="23" t="str">
        <f aca="false">IF(D22="","",IFERROR(IF(E22="",IF(VLOOKUP(D22,'Guia por fonte'!$B$5:$I$16,4,0)="Sim","Desligado","Sem HPF"),IF(E22&lt;VLOOKUP(D22,'Guia por fonte'!$B$5:$I$16,2,0),"Abaixo da faixa",IF(E22&gt;VLOOKUP(D22,'Guia por fonte'!$B$5:$I$16,3,0),"Acima da faixa","OK"))),"–"))</f>
        <v/>
      </c>
      <c r="X22" s="24" t="str">
        <f aca="false">IF(COUNT(H22,L22,P22,T22)=0,"",MAX(0,H22,L22,P22,T22))</f>
        <v/>
      </c>
      <c r="Y22" s="24" t="str">
        <f aca="false">IF(COUNT(H22,L22,P22,T22)=0,"",MIN(0,H22,L22,P22,T22))</f>
        <v/>
      </c>
      <c r="Z22" s="25" t="str">
        <f aca="false">IF(AND(C22="",D22="",COUNT(E22,G22,H22,I22,K22,L22,M22,O22,P22,Q22,S22,T22,U22)=0),"",IF(AND(X22&lt;&gt;"",X22&gt;$R$4),"Realce alto",IF(W22="Sem HPF","Sem HPF",IF(OR(W22="Abaixo da faixa",W22="Acima da faixa"),"HPF fora da faixa",IF(AND((H22&gt;0)+(L22&gt;0)+(P22&gt;0)+(T22&gt;0)&gt;0,(H22&lt;0)+(L22&lt;0)+(P22&lt;0)+(T22&lt;0)=0),"Só realces","OK")))))</f>
        <v/>
      </c>
      <c r="AA22" s="26" t="str">
        <f aca="false">IF(Z22="","",IF(Z22="Realce alto","Realce de "&amp;X22&amp;" dB: procure antes o que cortar e confira o microfone",IF(Z22="Sem HPF","Ligue o passa-altas: comece em "&amp;V22,IF(Z22="HPF fora da faixa","Partida sugerida: "&amp;V22&amp;". Confira ouvindo",IF(Z22="Só realces","Procure o que cortar antes de realçar","Manter. Decida na mistura")))))</f>
        <v/>
      </c>
      <c r="AB22" s="37"/>
    </row>
    <row r="23" customFormat="false" ht="21.75" hidden="false" customHeight="true" outlineLevel="0" collapsed="false">
      <c r="B23" s="18" t="n">
        <v>10</v>
      </c>
      <c r="C23" s="37"/>
      <c r="D23" s="37"/>
      <c r="E23" s="40"/>
      <c r="F23" s="38"/>
      <c r="G23" s="40"/>
      <c r="H23" s="41"/>
      <c r="I23" s="42"/>
      <c r="J23" s="38"/>
      <c r="K23" s="40"/>
      <c r="L23" s="41"/>
      <c r="M23" s="42"/>
      <c r="N23" s="38"/>
      <c r="O23" s="40"/>
      <c r="P23" s="41"/>
      <c r="Q23" s="42"/>
      <c r="R23" s="38"/>
      <c r="S23" s="40"/>
      <c r="T23" s="41"/>
      <c r="U23" s="42"/>
      <c r="V23" s="22" t="str">
        <f aca="false">IF(D23="","",IFERROR(VLOOKUP(D23,'Guia por fonte'!$B$5:$I$16,5,0),"–"))</f>
        <v/>
      </c>
      <c r="W23" s="23" t="str">
        <f aca="false">IF(D23="","",IFERROR(IF(E23="",IF(VLOOKUP(D23,'Guia por fonte'!$B$5:$I$16,4,0)="Sim","Desligado","Sem HPF"),IF(E23&lt;VLOOKUP(D23,'Guia por fonte'!$B$5:$I$16,2,0),"Abaixo da faixa",IF(E23&gt;VLOOKUP(D23,'Guia por fonte'!$B$5:$I$16,3,0),"Acima da faixa","OK"))),"–"))</f>
        <v/>
      </c>
      <c r="X23" s="24" t="str">
        <f aca="false">IF(COUNT(H23,L23,P23,T23)=0,"",MAX(0,H23,L23,P23,T23))</f>
        <v/>
      </c>
      <c r="Y23" s="24" t="str">
        <f aca="false">IF(COUNT(H23,L23,P23,T23)=0,"",MIN(0,H23,L23,P23,T23))</f>
        <v/>
      </c>
      <c r="Z23" s="25" t="str">
        <f aca="false">IF(AND(C23="",D23="",COUNT(E23,G23,H23,I23,K23,L23,M23,O23,P23,Q23,S23,T23,U23)=0),"",IF(AND(X23&lt;&gt;"",X23&gt;$R$4),"Realce alto",IF(W23="Sem HPF","Sem HPF",IF(OR(W23="Abaixo da faixa",W23="Acima da faixa"),"HPF fora da faixa",IF(AND((H23&gt;0)+(L23&gt;0)+(P23&gt;0)+(T23&gt;0)&gt;0,(H23&lt;0)+(L23&lt;0)+(P23&lt;0)+(T23&lt;0)=0),"Só realces","OK")))))</f>
        <v/>
      </c>
      <c r="AA23" s="26" t="str">
        <f aca="false">IF(Z23="","",IF(Z23="Realce alto","Realce de "&amp;X23&amp;" dB: procure antes o que cortar e confira o microfone",IF(Z23="Sem HPF","Ligue o passa-altas: comece em "&amp;V23,IF(Z23="HPF fora da faixa","Partida sugerida: "&amp;V23&amp;". Confira ouvindo",IF(Z23="Só realces","Procure o que cortar antes de realçar","Manter. Decida na mistura")))))</f>
        <v/>
      </c>
      <c r="AB23" s="37"/>
    </row>
    <row r="24" customFormat="false" ht="21.75" hidden="false" customHeight="true" outlineLevel="0" collapsed="false">
      <c r="B24" s="18" t="n">
        <v>11</v>
      </c>
      <c r="C24" s="37"/>
      <c r="D24" s="37"/>
      <c r="E24" s="40"/>
      <c r="F24" s="38"/>
      <c r="G24" s="40"/>
      <c r="H24" s="41"/>
      <c r="I24" s="42"/>
      <c r="J24" s="38"/>
      <c r="K24" s="40"/>
      <c r="L24" s="41"/>
      <c r="M24" s="42"/>
      <c r="N24" s="38"/>
      <c r="O24" s="40"/>
      <c r="P24" s="41"/>
      <c r="Q24" s="42"/>
      <c r="R24" s="38"/>
      <c r="S24" s="40"/>
      <c r="T24" s="41"/>
      <c r="U24" s="42"/>
      <c r="V24" s="22" t="str">
        <f aca="false">IF(D24="","",IFERROR(VLOOKUP(D24,'Guia por fonte'!$B$5:$I$16,5,0),"–"))</f>
        <v/>
      </c>
      <c r="W24" s="23" t="str">
        <f aca="false">IF(D24="","",IFERROR(IF(E24="",IF(VLOOKUP(D24,'Guia por fonte'!$B$5:$I$16,4,0)="Sim","Desligado","Sem HPF"),IF(E24&lt;VLOOKUP(D24,'Guia por fonte'!$B$5:$I$16,2,0),"Abaixo da faixa",IF(E24&gt;VLOOKUP(D24,'Guia por fonte'!$B$5:$I$16,3,0),"Acima da faixa","OK"))),"–"))</f>
        <v/>
      </c>
      <c r="X24" s="24" t="str">
        <f aca="false">IF(COUNT(H24,L24,P24,T24)=0,"",MAX(0,H24,L24,P24,T24))</f>
        <v/>
      </c>
      <c r="Y24" s="24" t="str">
        <f aca="false">IF(COUNT(H24,L24,P24,T24)=0,"",MIN(0,H24,L24,P24,T24))</f>
        <v/>
      </c>
      <c r="Z24" s="25" t="str">
        <f aca="false">IF(AND(C24="",D24="",COUNT(E24,G24,H24,I24,K24,L24,M24,O24,P24,Q24,S24,T24,U24)=0),"",IF(AND(X24&lt;&gt;"",X24&gt;$R$4),"Realce alto",IF(W24="Sem HPF","Sem HPF",IF(OR(W24="Abaixo da faixa",W24="Acima da faixa"),"HPF fora da faixa",IF(AND((H24&gt;0)+(L24&gt;0)+(P24&gt;0)+(T24&gt;0)&gt;0,(H24&lt;0)+(L24&lt;0)+(P24&lt;0)+(T24&lt;0)=0),"Só realces","OK")))))</f>
        <v/>
      </c>
      <c r="AA24" s="26" t="str">
        <f aca="false">IF(Z24="","",IF(Z24="Realce alto","Realce de "&amp;X24&amp;" dB: procure antes o que cortar e confira o microfone",IF(Z24="Sem HPF","Ligue o passa-altas: comece em "&amp;V24,IF(Z24="HPF fora da faixa","Partida sugerida: "&amp;V24&amp;". Confira ouvindo",IF(Z24="Só realces","Procure o que cortar antes de realçar","Manter. Decida na mistura")))))</f>
        <v/>
      </c>
      <c r="AB24" s="37"/>
    </row>
    <row r="25" customFormat="false" ht="21.75" hidden="false" customHeight="true" outlineLevel="0" collapsed="false">
      <c r="B25" s="18" t="n">
        <v>12</v>
      </c>
      <c r="C25" s="37"/>
      <c r="D25" s="37"/>
      <c r="E25" s="40"/>
      <c r="F25" s="38"/>
      <c r="G25" s="40"/>
      <c r="H25" s="41"/>
      <c r="I25" s="42"/>
      <c r="J25" s="38"/>
      <c r="K25" s="40"/>
      <c r="L25" s="41"/>
      <c r="M25" s="42"/>
      <c r="N25" s="38"/>
      <c r="O25" s="40"/>
      <c r="P25" s="41"/>
      <c r="Q25" s="42"/>
      <c r="R25" s="38"/>
      <c r="S25" s="40"/>
      <c r="T25" s="41"/>
      <c r="U25" s="42"/>
      <c r="V25" s="22" t="str">
        <f aca="false">IF(D25="","",IFERROR(VLOOKUP(D25,'Guia por fonte'!$B$5:$I$16,5,0),"–"))</f>
        <v/>
      </c>
      <c r="W25" s="23" t="str">
        <f aca="false">IF(D25="","",IFERROR(IF(E25="",IF(VLOOKUP(D25,'Guia por fonte'!$B$5:$I$16,4,0)="Sim","Desligado","Sem HPF"),IF(E25&lt;VLOOKUP(D25,'Guia por fonte'!$B$5:$I$16,2,0),"Abaixo da faixa",IF(E25&gt;VLOOKUP(D25,'Guia por fonte'!$B$5:$I$16,3,0),"Acima da faixa","OK"))),"–"))</f>
        <v/>
      </c>
      <c r="X25" s="24" t="str">
        <f aca="false">IF(COUNT(H25,L25,P25,T25)=0,"",MAX(0,H25,L25,P25,T25))</f>
        <v/>
      </c>
      <c r="Y25" s="24" t="str">
        <f aca="false">IF(COUNT(H25,L25,P25,T25)=0,"",MIN(0,H25,L25,P25,T25))</f>
        <v/>
      </c>
      <c r="Z25" s="25" t="str">
        <f aca="false">IF(AND(C25="",D25="",COUNT(E25,G25,H25,I25,K25,L25,M25,O25,P25,Q25,S25,T25,U25)=0),"",IF(AND(X25&lt;&gt;"",X25&gt;$R$4),"Realce alto",IF(W25="Sem HPF","Sem HPF",IF(OR(W25="Abaixo da faixa",W25="Acima da faixa"),"HPF fora da faixa",IF(AND((H25&gt;0)+(L25&gt;0)+(P25&gt;0)+(T25&gt;0)&gt;0,(H25&lt;0)+(L25&lt;0)+(P25&lt;0)+(T25&lt;0)=0),"Só realces","OK")))))</f>
        <v/>
      </c>
      <c r="AA25" s="26" t="str">
        <f aca="false">IF(Z25="","",IF(Z25="Realce alto","Realce de "&amp;X25&amp;" dB: procure antes o que cortar e confira o microfone",IF(Z25="Sem HPF","Ligue o passa-altas: comece em "&amp;V25,IF(Z25="HPF fora da faixa","Partida sugerida: "&amp;V25&amp;". Confira ouvindo",IF(Z25="Só realces","Procure o que cortar antes de realçar","Manter. Decida na mistura")))))</f>
        <v/>
      </c>
      <c r="AB25" s="37"/>
    </row>
    <row r="26" customFormat="false" ht="21.75" hidden="false" customHeight="true" outlineLevel="0" collapsed="false">
      <c r="B26" s="18" t="n">
        <v>13</v>
      </c>
      <c r="C26" s="37"/>
      <c r="D26" s="37"/>
      <c r="E26" s="40"/>
      <c r="F26" s="38"/>
      <c r="G26" s="40"/>
      <c r="H26" s="41"/>
      <c r="I26" s="42"/>
      <c r="J26" s="38"/>
      <c r="K26" s="40"/>
      <c r="L26" s="41"/>
      <c r="M26" s="42"/>
      <c r="N26" s="38"/>
      <c r="O26" s="40"/>
      <c r="P26" s="41"/>
      <c r="Q26" s="42"/>
      <c r="R26" s="38"/>
      <c r="S26" s="40"/>
      <c r="T26" s="41"/>
      <c r="U26" s="42"/>
      <c r="V26" s="22" t="str">
        <f aca="false">IF(D26="","",IFERROR(VLOOKUP(D26,'Guia por fonte'!$B$5:$I$16,5,0),"–"))</f>
        <v/>
      </c>
      <c r="W26" s="23" t="str">
        <f aca="false">IF(D26="","",IFERROR(IF(E26="",IF(VLOOKUP(D26,'Guia por fonte'!$B$5:$I$16,4,0)="Sim","Desligado","Sem HPF"),IF(E26&lt;VLOOKUP(D26,'Guia por fonte'!$B$5:$I$16,2,0),"Abaixo da faixa",IF(E26&gt;VLOOKUP(D26,'Guia por fonte'!$B$5:$I$16,3,0),"Acima da faixa","OK"))),"–"))</f>
        <v/>
      </c>
      <c r="X26" s="24" t="str">
        <f aca="false">IF(COUNT(H26,L26,P26,T26)=0,"",MAX(0,H26,L26,P26,T26))</f>
        <v/>
      </c>
      <c r="Y26" s="24" t="str">
        <f aca="false">IF(COUNT(H26,L26,P26,T26)=0,"",MIN(0,H26,L26,P26,T26))</f>
        <v/>
      </c>
      <c r="Z26" s="25" t="str">
        <f aca="false">IF(AND(C26="",D26="",COUNT(E26,G26,H26,I26,K26,L26,M26,O26,P26,Q26,S26,T26,U26)=0),"",IF(AND(X26&lt;&gt;"",X26&gt;$R$4),"Realce alto",IF(W26="Sem HPF","Sem HPF",IF(OR(W26="Abaixo da faixa",W26="Acima da faixa"),"HPF fora da faixa",IF(AND((H26&gt;0)+(L26&gt;0)+(P26&gt;0)+(T26&gt;0)&gt;0,(H26&lt;0)+(L26&lt;0)+(P26&lt;0)+(T26&lt;0)=0),"Só realces","OK")))))</f>
        <v/>
      </c>
      <c r="AA26" s="26" t="str">
        <f aca="false">IF(Z26="","",IF(Z26="Realce alto","Realce de "&amp;X26&amp;" dB: procure antes o que cortar e confira o microfone",IF(Z26="Sem HPF","Ligue o passa-altas: comece em "&amp;V26,IF(Z26="HPF fora da faixa","Partida sugerida: "&amp;V26&amp;". Confira ouvindo",IF(Z26="Só realces","Procure o que cortar antes de realçar","Manter. Decida na mistura")))))</f>
        <v/>
      </c>
      <c r="AB26" s="37"/>
    </row>
    <row r="27" customFormat="false" ht="21.75" hidden="false" customHeight="true" outlineLevel="0" collapsed="false">
      <c r="B27" s="18" t="n">
        <v>14</v>
      </c>
      <c r="C27" s="37"/>
      <c r="D27" s="37"/>
      <c r="E27" s="40"/>
      <c r="F27" s="38"/>
      <c r="G27" s="40"/>
      <c r="H27" s="41"/>
      <c r="I27" s="42"/>
      <c r="J27" s="38"/>
      <c r="K27" s="40"/>
      <c r="L27" s="41"/>
      <c r="M27" s="42"/>
      <c r="N27" s="38"/>
      <c r="O27" s="40"/>
      <c r="P27" s="41"/>
      <c r="Q27" s="42"/>
      <c r="R27" s="38"/>
      <c r="S27" s="40"/>
      <c r="T27" s="41"/>
      <c r="U27" s="42"/>
      <c r="V27" s="22" t="str">
        <f aca="false">IF(D27="","",IFERROR(VLOOKUP(D27,'Guia por fonte'!$B$5:$I$16,5,0),"–"))</f>
        <v/>
      </c>
      <c r="W27" s="23" t="str">
        <f aca="false">IF(D27="","",IFERROR(IF(E27="",IF(VLOOKUP(D27,'Guia por fonte'!$B$5:$I$16,4,0)="Sim","Desligado","Sem HPF"),IF(E27&lt;VLOOKUP(D27,'Guia por fonte'!$B$5:$I$16,2,0),"Abaixo da faixa",IF(E27&gt;VLOOKUP(D27,'Guia por fonte'!$B$5:$I$16,3,0),"Acima da faixa","OK"))),"–"))</f>
        <v/>
      </c>
      <c r="X27" s="24" t="str">
        <f aca="false">IF(COUNT(H27,L27,P27,T27)=0,"",MAX(0,H27,L27,P27,T27))</f>
        <v/>
      </c>
      <c r="Y27" s="24" t="str">
        <f aca="false">IF(COUNT(H27,L27,P27,T27)=0,"",MIN(0,H27,L27,P27,T27))</f>
        <v/>
      </c>
      <c r="Z27" s="25" t="str">
        <f aca="false">IF(AND(C27="",D27="",COUNT(E27,G27,H27,I27,K27,L27,M27,O27,P27,Q27,S27,T27,U27)=0),"",IF(AND(X27&lt;&gt;"",X27&gt;$R$4),"Realce alto",IF(W27="Sem HPF","Sem HPF",IF(OR(W27="Abaixo da faixa",W27="Acima da faixa"),"HPF fora da faixa",IF(AND((H27&gt;0)+(L27&gt;0)+(P27&gt;0)+(T27&gt;0)&gt;0,(H27&lt;0)+(L27&lt;0)+(P27&lt;0)+(T27&lt;0)=0),"Só realces","OK")))))</f>
        <v/>
      </c>
      <c r="AA27" s="26" t="str">
        <f aca="false">IF(Z27="","",IF(Z27="Realce alto","Realce de "&amp;X27&amp;" dB: procure antes o que cortar e confira o microfone",IF(Z27="Sem HPF","Ligue o passa-altas: comece em "&amp;V27,IF(Z27="HPF fora da faixa","Partida sugerida: "&amp;V27&amp;". Confira ouvindo",IF(Z27="Só realces","Procure o que cortar antes de realçar","Manter. Decida na mistura")))))</f>
        <v/>
      </c>
      <c r="AB27" s="37"/>
    </row>
    <row r="28" customFormat="false" ht="21.75" hidden="false" customHeight="true" outlineLevel="0" collapsed="false">
      <c r="B28" s="18" t="n">
        <v>15</v>
      </c>
      <c r="C28" s="37"/>
      <c r="D28" s="37"/>
      <c r="E28" s="40"/>
      <c r="F28" s="38"/>
      <c r="G28" s="40"/>
      <c r="H28" s="41"/>
      <c r="I28" s="42"/>
      <c r="J28" s="38"/>
      <c r="K28" s="40"/>
      <c r="L28" s="41"/>
      <c r="M28" s="42"/>
      <c r="N28" s="38"/>
      <c r="O28" s="40"/>
      <c r="P28" s="41"/>
      <c r="Q28" s="42"/>
      <c r="R28" s="38"/>
      <c r="S28" s="40"/>
      <c r="T28" s="41"/>
      <c r="U28" s="42"/>
      <c r="V28" s="22" t="str">
        <f aca="false">IF(D28="","",IFERROR(VLOOKUP(D28,'Guia por fonte'!$B$5:$I$16,5,0),"–"))</f>
        <v/>
      </c>
      <c r="W28" s="23" t="str">
        <f aca="false">IF(D28="","",IFERROR(IF(E28="",IF(VLOOKUP(D28,'Guia por fonte'!$B$5:$I$16,4,0)="Sim","Desligado","Sem HPF"),IF(E28&lt;VLOOKUP(D28,'Guia por fonte'!$B$5:$I$16,2,0),"Abaixo da faixa",IF(E28&gt;VLOOKUP(D28,'Guia por fonte'!$B$5:$I$16,3,0),"Acima da faixa","OK"))),"–"))</f>
        <v/>
      </c>
      <c r="X28" s="24" t="str">
        <f aca="false">IF(COUNT(H28,L28,P28,T28)=0,"",MAX(0,H28,L28,P28,T28))</f>
        <v/>
      </c>
      <c r="Y28" s="24" t="str">
        <f aca="false">IF(COUNT(H28,L28,P28,T28)=0,"",MIN(0,H28,L28,P28,T28))</f>
        <v/>
      </c>
      <c r="Z28" s="25" t="str">
        <f aca="false">IF(AND(C28="",D28="",COUNT(E28,G28,H28,I28,K28,L28,M28,O28,P28,Q28,S28,T28,U28)=0),"",IF(AND(X28&lt;&gt;"",X28&gt;$R$4),"Realce alto",IF(W28="Sem HPF","Sem HPF",IF(OR(W28="Abaixo da faixa",W28="Acima da faixa"),"HPF fora da faixa",IF(AND((H28&gt;0)+(L28&gt;0)+(P28&gt;0)+(T28&gt;0)&gt;0,(H28&lt;0)+(L28&lt;0)+(P28&lt;0)+(T28&lt;0)=0),"Só realces","OK")))))</f>
        <v/>
      </c>
      <c r="AA28" s="26" t="str">
        <f aca="false">IF(Z28="","",IF(Z28="Realce alto","Realce de "&amp;X28&amp;" dB: procure antes o que cortar e confira o microfone",IF(Z28="Sem HPF","Ligue o passa-altas: comece em "&amp;V28,IF(Z28="HPF fora da faixa","Partida sugerida: "&amp;V28&amp;". Confira ouvindo",IF(Z28="Só realces","Procure o que cortar antes de realçar","Manter. Decida na mistura")))))</f>
        <v/>
      </c>
      <c r="AB28" s="37"/>
    </row>
    <row r="29" customFormat="false" ht="21.75" hidden="false" customHeight="true" outlineLevel="0" collapsed="false">
      <c r="B29" s="18" t="n">
        <v>16</v>
      </c>
      <c r="C29" s="37"/>
      <c r="D29" s="37"/>
      <c r="E29" s="40"/>
      <c r="F29" s="38"/>
      <c r="G29" s="40"/>
      <c r="H29" s="41"/>
      <c r="I29" s="42"/>
      <c r="J29" s="38"/>
      <c r="K29" s="40"/>
      <c r="L29" s="41"/>
      <c r="M29" s="42"/>
      <c r="N29" s="38"/>
      <c r="O29" s="40"/>
      <c r="P29" s="41"/>
      <c r="Q29" s="42"/>
      <c r="R29" s="38"/>
      <c r="S29" s="40"/>
      <c r="T29" s="41"/>
      <c r="U29" s="42"/>
      <c r="V29" s="22" t="str">
        <f aca="false">IF(D29="","",IFERROR(VLOOKUP(D29,'Guia por fonte'!$B$5:$I$16,5,0),"–"))</f>
        <v/>
      </c>
      <c r="W29" s="23" t="str">
        <f aca="false">IF(D29="","",IFERROR(IF(E29="",IF(VLOOKUP(D29,'Guia por fonte'!$B$5:$I$16,4,0)="Sim","Desligado","Sem HPF"),IF(E29&lt;VLOOKUP(D29,'Guia por fonte'!$B$5:$I$16,2,0),"Abaixo da faixa",IF(E29&gt;VLOOKUP(D29,'Guia por fonte'!$B$5:$I$16,3,0),"Acima da faixa","OK"))),"–"))</f>
        <v/>
      </c>
      <c r="X29" s="24" t="str">
        <f aca="false">IF(COUNT(H29,L29,P29,T29)=0,"",MAX(0,H29,L29,P29,T29))</f>
        <v/>
      </c>
      <c r="Y29" s="24" t="str">
        <f aca="false">IF(COUNT(H29,L29,P29,T29)=0,"",MIN(0,H29,L29,P29,T29))</f>
        <v/>
      </c>
      <c r="Z29" s="25" t="str">
        <f aca="false">IF(AND(C29="",D29="",COUNT(E29,G29,H29,I29,K29,L29,M29,O29,P29,Q29,S29,T29,U29)=0),"",IF(AND(X29&lt;&gt;"",X29&gt;$R$4),"Realce alto",IF(W29="Sem HPF","Sem HPF",IF(OR(W29="Abaixo da faixa",W29="Acima da faixa"),"HPF fora da faixa",IF(AND((H29&gt;0)+(L29&gt;0)+(P29&gt;0)+(T29&gt;0)&gt;0,(H29&lt;0)+(L29&lt;0)+(P29&lt;0)+(T29&lt;0)=0),"Só realces","OK")))))</f>
        <v/>
      </c>
      <c r="AA29" s="26" t="str">
        <f aca="false">IF(Z29="","",IF(Z29="Realce alto","Realce de "&amp;X29&amp;" dB: procure antes o que cortar e confira o microfone",IF(Z29="Sem HPF","Ligue o passa-altas: comece em "&amp;V29,IF(Z29="HPF fora da faixa","Partida sugerida: "&amp;V29&amp;". Confira ouvindo",IF(Z29="Só realces","Procure o que cortar antes de realçar","Manter. Decida na mistura")))))</f>
        <v/>
      </c>
      <c r="AB29" s="37"/>
    </row>
    <row r="30" customFormat="false" ht="21.75" hidden="false" customHeight="true" outlineLevel="0" collapsed="false">
      <c r="B30" s="18" t="n">
        <v>17</v>
      </c>
      <c r="C30" s="37"/>
      <c r="D30" s="37"/>
      <c r="E30" s="40"/>
      <c r="F30" s="38"/>
      <c r="G30" s="40"/>
      <c r="H30" s="41"/>
      <c r="I30" s="42"/>
      <c r="J30" s="38"/>
      <c r="K30" s="40"/>
      <c r="L30" s="41"/>
      <c r="M30" s="42"/>
      <c r="N30" s="38"/>
      <c r="O30" s="40"/>
      <c r="P30" s="41"/>
      <c r="Q30" s="42"/>
      <c r="R30" s="38"/>
      <c r="S30" s="40"/>
      <c r="T30" s="41"/>
      <c r="U30" s="42"/>
      <c r="V30" s="22" t="str">
        <f aca="false">IF(D30="","",IFERROR(VLOOKUP(D30,'Guia por fonte'!$B$5:$I$16,5,0),"–"))</f>
        <v/>
      </c>
      <c r="W30" s="23" t="str">
        <f aca="false">IF(D30="","",IFERROR(IF(E30="",IF(VLOOKUP(D30,'Guia por fonte'!$B$5:$I$16,4,0)="Sim","Desligado","Sem HPF"),IF(E30&lt;VLOOKUP(D30,'Guia por fonte'!$B$5:$I$16,2,0),"Abaixo da faixa",IF(E30&gt;VLOOKUP(D30,'Guia por fonte'!$B$5:$I$16,3,0),"Acima da faixa","OK"))),"–"))</f>
        <v/>
      </c>
      <c r="X30" s="24" t="str">
        <f aca="false">IF(COUNT(H30,L30,P30,T30)=0,"",MAX(0,H30,L30,P30,T30))</f>
        <v/>
      </c>
      <c r="Y30" s="24" t="str">
        <f aca="false">IF(COUNT(H30,L30,P30,T30)=0,"",MIN(0,H30,L30,P30,T30))</f>
        <v/>
      </c>
      <c r="Z30" s="25" t="str">
        <f aca="false">IF(AND(C30="",D30="",COUNT(E30,G30,H30,I30,K30,L30,M30,O30,P30,Q30,S30,T30,U30)=0),"",IF(AND(X30&lt;&gt;"",X30&gt;$R$4),"Realce alto",IF(W30="Sem HPF","Sem HPF",IF(OR(W30="Abaixo da faixa",W30="Acima da faixa"),"HPF fora da faixa",IF(AND((H30&gt;0)+(L30&gt;0)+(P30&gt;0)+(T30&gt;0)&gt;0,(H30&lt;0)+(L30&lt;0)+(P30&lt;0)+(T30&lt;0)=0),"Só realces","OK")))))</f>
        <v/>
      </c>
      <c r="AA30" s="26" t="str">
        <f aca="false">IF(Z30="","",IF(Z30="Realce alto","Realce de "&amp;X30&amp;" dB: procure antes o que cortar e confira o microfone",IF(Z30="Sem HPF","Ligue o passa-altas: comece em "&amp;V30,IF(Z30="HPF fora da faixa","Partida sugerida: "&amp;V30&amp;". Confira ouvindo",IF(Z30="Só realces","Procure o que cortar antes de realçar","Manter. Decida na mistura")))))</f>
        <v/>
      </c>
      <c r="AB30" s="37"/>
    </row>
    <row r="31" customFormat="false" ht="21.75" hidden="false" customHeight="true" outlineLevel="0" collapsed="false">
      <c r="B31" s="18" t="n">
        <v>18</v>
      </c>
      <c r="C31" s="37"/>
      <c r="D31" s="37"/>
      <c r="E31" s="40"/>
      <c r="F31" s="38"/>
      <c r="G31" s="40"/>
      <c r="H31" s="41"/>
      <c r="I31" s="42"/>
      <c r="J31" s="38"/>
      <c r="K31" s="40"/>
      <c r="L31" s="41"/>
      <c r="M31" s="42"/>
      <c r="N31" s="38"/>
      <c r="O31" s="40"/>
      <c r="P31" s="41"/>
      <c r="Q31" s="42"/>
      <c r="R31" s="38"/>
      <c r="S31" s="40"/>
      <c r="T31" s="41"/>
      <c r="U31" s="42"/>
      <c r="V31" s="22" t="str">
        <f aca="false">IF(D31="","",IFERROR(VLOOKUP(D31,'Guia por fonte'!$B$5:$I$16,5,0),"–"))</f>
        <v/>
      </c>
      <c r="W31" s="23" t="str">
        <f aca="false">IF(D31="","",IFERROR(IF(E31="",IF(VLOOKUP(D31,'Guia por fonte'!$B$5:$I$16,4,0)="Sim","Desligado","Sem HPF"),IF(E31&lt;VLOOKUP(D31,'Guia por fonte'!$B$5:$I$16,2,0),"Abaixo da faixa",IF(E31&gt;VLOOKUP(D31,'Guia por fonte'!$B$5:$I$16,3,0),"Acima da faixa","OK"))),"–"))</f>
        <v/>
      </c>
      <c r="X31" s="24" t="str">
        <f aca="false">IF(COUNT(H31,L31,P31,T31)=0,"",MAX(0,H31,L31,P31,T31))</f>
        <v/>
      </c>
      <c r="Y31" s="24" t="str">
        <f aca="false">IF(COUNT(H31,L31,P31,T31)=0,"",MIN(0,H31,L31,P31,T31))</f>
        <v/>
      </c>
      <c r="Z31" s="25" t="str">
        <f aca="false">IF(AND(C31="",D31="",COUNT(E31,G31,H31,I31,K31,L31,M31,O31,P31,Q31,S31,T31,U31)=0),"",IF(AND(X31&lt;&gt;"",X31&gt;$R$4),"Realce alto",IF(W31="Sem HPF","Sem HPF",IF(OR(W31="Abaixo da faixa",W31="Acima da faixa"),"HPF fora da faixa",IF(AND((H31&gt;0)+(L31&gt;0)+(P31&gt;0)+(T31&gt;0)&gt;0,(H31&lt;0)+(L31&lt;0)+(P31&lt;0)+(T31&lt;0)=0),"Só realces","OK")))))</f>
        <v/>
      </c>
      <c r="AA31" s="26" t="str">
        <f aca="false">IF(Z31="","",IF(Z31="Realce alto","Realce de "&amp;X31&amp;" dB: procure antes o que cortar e confira o microfone",IF(Z31="Sem HPF","Ligue o passa-altas: comece em "&amp;V31,IF(Z31="HPF fora da faixa","Partida sugerida: "&amp;V31&amp;". Confira ouvindo",IF(Z31="Só realces","Procure o que cortar antes de realçar","Manter. Decida na mistura")))))</f>
        <v/>
      </c>
      <c r="AB31" s="37"/>
    </row>
    <row r="32" customFormat="false" ht="21.75" hidden="false" customHeight="true" outlineLevel="0" collapsed="false">
      <c r="B32" s="18" t="n">
        <v>19</v>
      </c>
      <c r="C32" s="37"/>
      <c r="D32" s="37"/>
      <c r="E32" s="40"/>
      <c r="F32" s="38"/>
      <c r="G32" s="40"/>
      <c r="H32" s="41"/>
      <c r="I32" s="42"/>
      <c r="J32" s="38"/>
      <c r="K32" s="40"/>
      <c r="L32" s="41"/>
      <c r="M32" s="42"/>
      <c r="N32" s="38"/>
      <c r="O32" s="40"/>
      <c r="P32" s="41"/>
      <c r="Q32" s="42"/>
      <c r="R32" s="38"/>
      <c r="S32" s="40"/>
      <c r="T32" s="41"/>
      <c r="U32" s="42"/>
      <c r="V32" s="22" t="str">
        <f aca="false">IF(D32="","",IFERROR(VLOOKUP(D32,'Guia por fonte'!$B$5:$I$16,5,0),"–"))</f>
        <v/>
      </c>
      <c r="W32" s="23" t="str">
        <f aca="false">IF(D32="","",IFERROR(IF(E32="",IF(VLOOKUP(D32,'Guia por fonte'!$B$5:$I$16,4,0)="Sim","Desligado","Sem HPF"),IF(E32&lt;VLOOKUP(D32,'Guia por fonte'!$B$5:$I$16,2,0),"Abaixo da faixa",IF(E32&gt;VLOOKUP(D32,'Guia por fonte'!$B$5:$I$16,3,0),"Acima da faixa","OK"))),"–"))</f>
        <v/>
      </c>
      <c r="X32" s="24" t="str">
        <f aca="false">IF(COUNT(H32,L32,P32,T32)=0,"",MAX(0,H32,L32,P32,T32))</f>
        <v/>
      </c>
      <c r="Y32" s="24" t="str">
        <f aca="false">IF(COUNT(H32,L32,P32,T32)=0,"",MIN(0,H32,L32,P32,T32))</f>
        <v/>
      </c>
      <c r="Z32" s="25" t="str">
        <f aca="false">IF(AND(C32="",D32="",COUNT(E32,G32,H32,I32,K32,L32,M32,O32,P32,Q32,S32,T32,U32)=0),"",IF(AND(X32&lt;&gt;"",X32&gt;$R$4),"Realce alto",IF(W32="Sem HPF","Sem HPF",IF(OR(W32="Abaixo da faixa",W32="Acima da faixa"),"HPF fora da faixa",IF(AND((H32&gt;0)+(L32&gt;0)+(P32&gt;0)+(T32&gt;0)&gt;0,(H32&lt;0)+(L32&lt;0)+(P32&lt;0)+(T32&lt;0)=0),"Só realces","OK")))))</f>
        <v/>
      </c>
      <c r="AA32" s="26" t="str">
        <f aca="false">IF(Z32="","",IF(Z32="Realce alto","Realce de "&amp;X32&amp;" dB: procure antes o que cortar e confira o microfone",IF(Z32="Sem HPF","Ligue o passa-altas: comece em "&amp;V32,IF(Z32="HPF fora da faixa","Partida sugerida: "&amp;V32&amp;". Confira ouvindo",IF(Z32="Só realces","Procure o que cortar antes de realçar","Manter. Decida na mistura")))))</f>
        <v/>
      </c>
      <c r="AB32" s="37"/>
    </row>
    <row r="33" customFormat="false" ht="21.75" hidden="false" customHeight="true" outlineLevel="0" collapsed="false">
      <c r="B33" s="18" t="n">
        <v>20</v>
      </c>
      <c r="C33" s="37"/>
      <c r="D33" s="37"/>
      <c r="E33" s="40"/>
      <c r="F33" s="38"/>
      <c r="G33" s="40"/>
      <c r="H33" s="41"/>
      <c r="I33" s="42"/>
      <c r="J33" s="38"/>
      <c r="K33" s="40"/>
      <c r="L33" s="41"/>
      <c r="M33" s="42"/>
      <c r="N33" s="38"/>
      <c r="O33" s="40"/>
      <c r="P33" s="41"/>
      <c r="Q33" s="42"/>
      <c r="R33" s="38"/>
      <c r="S33" s="40"/>
      <c r="T33" s="41"/>
      <c r="U33" s="42"/>
      <c r="V33" s="22" t="str">
        <f aca="false">IF(D33="","",IFERROR(VLOOKUP(D33,'Guia por fonte'!$B$5:$I$16,5,0),"–"))</f>
        <v/>
      </c>
      <c r="W33" s="23" t="str">
        <f aca="false">IF(D33="","",IFERROR(IF(E33="",IF(VLOOKUP(D33,'Guia por fonte'!$B$5:$I$16,4,0)="Sim","Desligado","Sem HPF"),IF(E33&lt;VLOOKUP(D33,'Guia por fonte'!$B$5:$I$16,2,0),"Abaixo da faixa",IF(E33&gt;VLOOKUP(D33,'Guia por fonte'!$B$5:$I$16,3,0),"Acima da faixa","OK"))),"–"))</f>
        <v/>
      </c>
      <c r="X33" s="24" t="str">
        <f aca="false">IF(COUNT(H33,L33,P33,T33)=0,"",MAX(0,H33,L33,P33,T33))</f>
        <v/>
      </c>
      <c r="Y33" s="24" t="str">
        <f aca="false">IF(COUNT(H33,L33,P33,T33)=0,"",MIN(0,H33,L33,P33,T33))</f>
        <v/>
      </c>
      <c r="Z33" s="25" t="str">
        <f aca="false">IF(AND(C33="",D33="",COUNT(E33,G33,H33,I33,K33,L33,M33,O33,P33,Q33,S33,T33,U33)=0),"",IF(AND(X33&lt;&gt;"",X33&gt;$R$4),"Realce alto",IF(W33="Sem HPF","Sem HPF",IF(OR(W33="Abaixo da faixa",W33="Acima da faixa"),"HPF fora da faixa",IF(AND((H33&gt;0)+(L33&gt;0)+(P33&gt;0)+(T33&gt;0)&gt;0,(H33&lt;0)+(L33&lt;0)+(P33&lt;0)+(T33&lt;0)=0),"Só realces","OK")))))</f>
        <v/>
      </c>
      <c r="AA33" s="26" t="str">
        <f aca="false">IF(Z33="","",IF(Z33="Realce alto","Realce de "&amp;X33&amp;" dB: procure antes o que cortar e confira o microfone",IF(Z33="Sem HPF","Ligue o passa-altas: comece em "&amp;V33,IF(Z33="HPF fora da faixa","Partida sugerida: "&amp;V33&amp;". Confira ouvindo",IF(Z33="Só realces","Procure o que cortar antes de realçar","Manter. Decida na mistura")))))</f>
        <v/>
      </c>
      <c r="AB33" s="37"/>
    </row>
    <row r="34" customFormat="false" ht="21.75" hidden="false" customHeight="true" outlineLevel="0" collapsed="false">
      <c r="B34" s="18" t="n">
        <v>21</v>
      </c>
      <c r="C34" s="37"/>
      <c r="D34" s="37"/>
      <c r="E34" s="40"/>
      <c r="F34" s="38"/>
      <c r="G34" s="40"/>
      <c r="H34" s="41"/>
      <c r="I34" s="42"/>
      <c r="J34" s="38"/>
      <c r="K34" s="40"/>
      <c r="L34" s="41"/>
      <c r="M34" s="42"/>
      <c r="N34" s="38"/>
      <c r="O34" s="40"/>
      <c r="P34" s="41"/>
      <c r="Q34" s="42"/>
      <c r="R34" s="38"/>
      <c r="S34" s="40"/>
      <c r="T34" s="41"/>
      <c r="U34" s="42"/>
      <c r="V34" s="22" t="str">
        <f aca="false">IF(D34="","",IFERROR(VLOOKUP(D34,'Guia por fonte'!$B$5:$I$16,5,0),"–"))</f>
        <v/>
      </c>
      <c r="W34" s="23" t="str">
        <f aca="false">IF(D34="","",IFERROR(IF(E34="",IF(VLOOKUP(D34,'Guia por fonte'!$B$5:$I$16,4,0)="Sim","Desligado","Sem HPF"),IF(E34&lt;VLOOKUP(D34,'Guia por fonte'!$B$5:$I$16,2,0),"Abaixo da faixa",IF(E34&gt;VLOOKUP(D34,'Guia por fonte'!$B$5:$I$16,3,0),"Acima da faixa","OK"))),"–"))</f>
        <v/>
      </c>
      <c r="X34" s="24" t="str">
        <f aca="false">IF(COUNT(H34,L34,P34,T34)=0,"",MAX(0,H34,L34,P34,T34))</f>
        <v/>
      </c>
      <c r="Y34" s="24" t="str">
        <f aca="false">IF(COUNT(H34,L34,P34,T34)=0,"",MIN(0,H34,L34,P34,T34))</f>
        <v/>
      </c>
      <c r="Z34" s="25" t="str">
        <f aca="false">IF(AND(C34="",D34="",COUNT(E34,G34,H34,I34,K34,L34,M34,O34,P34,Q34,S34,T34,U34)=0),"",IF(AND(X34&lt;&gt;"",X34&gt;$R$4),"Realce alto",IF(W34="Sem HPF","Sem HPF",IF(OR(W34="Abaixo da faixa",W34="Acima da faixa"),"HPF fora da faixa",IF(AND((H34&gt;0)+(L34&gt;0)+(P34&gt;0)+(T34&gt;0)&gt;0,(H34&lt;0)+(L34&lt;0)+(P34&lt;0)+(T34&lt;0)=0),"Só realces","OK")))))</f>
        <v/>
      </c>
      <c r="AA34" s="26" t="str">
        <f aca="false">IF(Z34="","",IF(Z34="Realce alto","Realce de "&amp;X34&amp;" dB: procure antes o que cortar e confira o microfone",IF(Z34="Sem HPF","Ligue o passa-altas: comece em "&amp;V34,IF(Z34="HPF fora da faixa","Partida sugerida: "&amp;V34&amp;". Confira ouvindo",IF(Z34="Só realces","Procure o que cortar antes de realçar","Manter. Decida na mistura")))))</f>
        <v/>
      </c>
      <c r="AB34" s="37"/>
    </row>
    <row r="35" customFormat="false" ht="21.75" hidden="false" customHeight="true" outlineLevel="0" collapsed="false">
      <c r="B35" s="18" t="n">
        <v>22</v>
      </c>
      <c r="C35" s="37"/>
      <c r="D35" s="37"/>
      <c r="E35" s="40"/>
      <c r="F35" s="38"/>
      <c r="G35" s="40"/>
      <c r="H35" s="41"/>
      <c r="I35" s="42"/>
      <c r="J35" s="38"/>
      <c r="K35" s="40"/>
      <c r="L35" s="41"/>
      <c r="M35" s="42"/>
      <c r="N35" s="38"/>
      <c r="O35" s="40"/>
      <c r="P35" s="41"/>
      <c r="Q35" s="42"/>
      <c r="R35" s="38"/>
      <c r="S35" s="40"/>
      <c r="T35" s="41"/>
      <c r="U35" s="42"/>
      <c r="V35" s="22" t="str">
        <f aca="false">IF(D35="","",IFERROR(VLOOKUP(D35,'Guia por fonte'!$B$5:$I$16,5,0),"–"))</f>
        <v/>
      </c>
      <c r="W35" s="23" t="str">
        <f aca="false">IF(D35="","",IFERROR(IF(E35="",IF(VLOOKUP(D35,'Guia por fonte'!$B$5:$I$16,4,0)="Sim","Desligado","Sem HPF"),IF(E35&lt;VLOOKUP(D35,'Guia por fonte'!$B$5:$I$16,2,0),"Abaixo da faixa",IF(E35&gt;VLOOKUP(D35,'Guia por fonte'!$B$5:$I$16,3,0),"Acima da faixa","OK"))),"–"))</f>
        <v/>
      </c>
      <c r="X35" s="24" t="str">
        <f aca="false">IF(COUNT(H35,L35,P35,T35)=0,"",MAX(0,H35,L35,P35,T35))</f>
        <v/>
      </c>
      <c r="Y35" s="24" t="str">
        <f aca="false">IF(COUNT(H35,L35,P35,T35)=0,"",MIN(0,H35,L35,P35,T35))</f>
        <v/>
      </c>
      <c r="Z35" s="25" t="str">
        <f aca="false">IF(AND(C35="",D35="",COUNT(E35,G35,H35,I35,K35,L35,M35,O35,P35,Q35,S35,T35,U35)=0),"",IF(AND(X35&lt;&gt;"",X35&gt;$R$4),"Realce alto",IF(W35="Sem HPF","Sem HPF",IF(OR(W35="Abaixo da faixa",W35="Acima da faixa"),"HPF fora da faixa",IF(AND((H35&gt;0)+(L35&gt;0)+(P35&gt;0)+(T35&gt;0)&gt;0,(H35&lt;0)+(L35&lt;0)+(P35&lt;0)+(T35&lt;0)=0),"Só realces","OK")))))</f>
        <v/>
      </c>
      <c r="AA35" s="26" t="str">
        <f aca="false">IF(Z35="","",IF(Z35="Realce alto","Realce de "&amp;X35&amp;" dB: procure antes o que cortar e confira o microfone",IF(Z35="Sem HPF","Ligue o passa-altas: comece em "&amp;V35,IF(Z35="HPF fora da faixa","Partida sugerida: "&amp;V35&amp;". Confira ouvindo",IF(Z35="Só realces","Procure o que cortar antes de realçar","Manter. Decida na mistura")))))</f>
        <v/>
      </c>
      <c r="AB35" s="37"/>
    </row>
    <row r="36" customFormat="false" ht="21.75" hidden="false" customHeight="true" outlineLevel="0" collapsed="false">
      <c r="B36" s="18" t="n">
        <v>23</v>
      </c>
      <c r="C36" s="37"/>
      <c r="D36" s="37"/>
      <c r="E36" s="40"/>
      <c r="F36" s="38"/>
      <c r="G36" s="40"/>
      <c r="H36" s="41"/>
      <c r="I36" s="42"/>
      <c r="J36" s="38"/>
      <c r="K36" s="40"/>
      <c r="L36" s="41"/>
      <c r="M36" s="42"/>
      <c r="N36" s="38"/>
      <c r="O36" s="40"/>
      <c r="P36" s="41"/>
      <c r="Q36" s="42"/>
      <c r="R36" s="38"/>
      <c r="S36" s="40"/>
      <c r="T36" s="41"/>
      <c r="U36" s="42"/>
      <c r="V36" s="22" t="str">
        <f aca="false">IF(D36="","",IFERROR(VLOOKUP(D36,'Guia por fonte'!$B$5:$I$16,5,0),"–"))</f>
        <v/>
      </c>
      <c r="W36" s="23" t="str">
        <f aca="false">IF(D36="","",IFERROR(IF(E36="",IF(VLOOKUP(D36,'Guia por fonte'!$B$5:$I$16,4,0)="Sim","Desligado","Sem HPF"),IF(E36&lt;VLOOKUP(D36,'Guia por fonte'!$B$5:$I$16,2,0),"Abaixo da faixa",IF(E36&gt;VLOOKUP(D36,'Guia por fonte'!$B$5:$I$16,3,0),"Acima da faixa","OK"))),"–"))</f>
        <v/>
      </c>
      <c r="X36" s="24" t="str">
        <f aca="false">IF(COUNT(H36,L36,P36,T36)=0,"",MAX(0,H36,L36,P36,T36))</f>
        <v/>
      </c>
      <c r="Y36" s="24" t="str">
        <f aca="false">IF(COUNT(H36,L36,P36,T36)=0,"",MIN(0,H36,L36,P36,T36))</f>
        <v/>
      </c>
      <c r="Z36" s="25" t="str">
        <f aca="false">IF(AND(C36="",D36="",COUNT(E36,G36,H36,I36,K36,L36,M36,O36,P36,Q36,S36,T36,U36)=0),"",IF(AND(X36&lt;&gt;"",X36&gt;$R$4),"Realce alto",IF(W36="Sem HPF","Sem HPF",IF(OR(W36="Abaixo da faixa",W36="Acima da faixa"),"HPF fora da faixa",IF(AND((H36&gt;0)+(L36&gt;0)+(P36&gt;0)+(T36&gt;0)&gt;0,(H36&lt;0)+(L36&lt;0)+(P36&lt;0)+(T36&lt;0)=0),"Só realces","OK")))))</f>
        <v/>
      </c>
      <c r="AA36" s="26" t="str">
        <f aca="false">IF(Z36="","",IF(Z36="Realce alto","Realce de "&amp;X36&amp;" dB: procure antes o que cortar e confira o microfone",IF(Z36="Sem HPF","Ligue o passa-altas: comece em "&amp;V36,IF(Z36="HPF fora da faixa","Partida sugerida: "&amp;V36&amp;". Confira ouvindo",IF(Z36="Só realces","Procure o que cortar antes de realçar","Manter. Decida na mistura")))))</f>
        <v/>
      </c>
      <c r="AB36" s="37"/>
    </row>
    <row r="37" customFormat="false" ht="21.75" hidden="false" customHeight="true" outlineLevel="0" collapsed="false">
      <c r="B37" s="18" t="n">
        <v>24</v>
      </c>
      <c r="C37" s="37"/>
      <c r="D37" s="37"/>
      <c r="E37" s="40"/>
      <c r="F37" s="38"/>
      <c r="G37" s="40"/>
      <c r="H37" s="41"/>
      <c r="I37" s="42"/>
      <c r="J37" s="38"/>
      <c r="K37" s="40"/>
      <c r="L37" s="41"/>
      <c r="M37" s="42"/>
      <c r="N37" s="38"/>
      <c r="O37" s="40"/>
      <c r="P37" s="41"/>
      <c r="Q37" s="42"/>
      <c r="R37" s="38"/>
      <c r="S37" s="40"/>
      <c r="T37" s="41"/>
      <c r="U37" s="42"/>
      <c r="V37" s="22" t="str">
        <f aca="false">IF(D37="","",IFERROR(VLOOKUP(D37,'Guia por fonte'!$B$5:$I$16,5,0),"–"))</f>
        <v/>
      </c>
      <c r="W37" s="23" t="str">
        <f aca="false">IF(D37="","",IFERROR(IF(E37="",IF(VLOOKUP(D37,'Guia por fonte'!$B$5:$I$16,4,0)="Sim","Desligado","Sem HPF"),IF(E37&lt;VLOOKUP(D37,'Guia por fonte'!$B$5:$I$16,2,0),"Abaixo da faixa",IF(E37&gt;VLOOKUP(D37,'Guia por fonte'!$B$5:$I$16,3,0),"Acima da faixa","OK"))),"–"))</f>
        <v/>
      </c>
      <c r="X37" s="24" t="str">
        <f aca="false">IF(COUNT(H37,L37,P37,T37)=0,"",MAX(0,H37,L37,P37,T37))</f>
        <v/>
      </c>
      <c r="Y37" s="24" t="str">
        <f aca="false">IF(COUNT(H37,L37,P37,T37)=0,"",MIN(0,H37,L37,P37,T37))</f>
        <v/>
      </c>
      <c r="Z37" s="25" t="str">
        <f aca="false">IF(AND(C37="",D37="",COUNT(E37,G37,H37,I37,K37,L37,M37,O37,P37,Q37,S37,T37,U37)=0),"",IF(AND(X37&lt;&gt;"",X37&gt;$R$4),"Realce alto",IF(W37="Sem HPF","Sem HPF",IF(OR(W37="Abaixo da faixa",W37="Acima da faixa"),"HPF fora da faixa",IF(AND((H37&gt;0)+(L37&gt;0)+(P37&gt;0)+(T37&gt;0)&gt;0,(H37&lt;0)+(L37&lt;0)+(P37&lt;0)+(T37&lt;0)=0),"Só realces","OK")))))</f>
        <v/>
      </c>
      <c r="AA37" s="26" t="str">
        <f aca="false">IF(Z37="","",IF(Z37="Realce alto","Realce de "&amp;X37&amp;" dB: procure antes o que cortar e confira o microfone",IF(Z37="Sem HPF","Ligue o passa-altas: comece em "&amp;V37,IF(Z37="HPF fora da faixa","Partida sugerida: "&amp;V37&amp;". Confira ouvindo",IF(Z37="Só realces","Procure o que cortar antes de realçar","Manter. Decida na mistura")))))</f>
        <v/>
      </c>
      <c r="AB37" s="37"/>
    </row>
    <row r="39" customFormat="false" ht="21.75" hidden="false" customHeight="true" outlineLevel="0" collapsed="false">
      <c r="B39" s="12" t="s">
        <v>98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customFormat="false" ht="21.75" hidden="false" customHeight="true" outlineLevel="0" collapsed="false">
      <c r="B40" s="8" t="s">
        <v>99</v>
      </c>
      <c r="C40" s="8"/>
      <c r="D40" s="8" t="s">
        <v>100</v>
      </c>
      <c r="E40" s="8" t="s">
        <v>101</v>
      </c>
      <c r="F40" s="8" t="s">
        <v>102</v>
      </c>
      <c r="G40" s="8"/>
      <c r="H40" s="8"/>
      <c r="I40" s="8"/>
      <c r="J40" s="8" t="s">
        <v>103</v>
      </c>
      <c r="K40" s="8"/>
      <c r="L40" s="8"/>
      <c r="M40" s="8"/>
      <c r="N40" s="8" t="s">
        <v>104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customFormat="false" ht="19.5" hidden="false" customHeight="true" outlineLevel="0" collapsed="false">
      <c r="B41" s="4" t="s">
        <v>105</v>
      </c>
      <c r="C41" s="4"/>
      <c r="D41" s="27" t="n">
        <v>20</v>
      </c>
      <c r="E41" s="27" t="n">
        <v>60</v>
      </c>
      <c r="F41" s="8" t="n">
        <f aca="false">COUNTIFS(G$14:G$37,"&gt;="&amp;$D41,G$14:G$37,"&lt;"&amp;$E41,H$14:H$37,"&gt;0")+COUNTIFS(K$14:K$37,"&gt;="&amp;$D41,K$14:K$37,"&lt;"&amp;$E41,L$14:L$37,"&gt;0")+COUNTIFS(O$14:O$37,"&gt;="&amp;$D41,O$14:O$37,"&lt;"&amp;$E41,P$14:P$37,"&gt;0")+COUNTIFS(S$14:S$37,"&gt;="&amp;$D41,S$14:S$37,"&lt;"&amp;$E41,T$14:T$37,"&gt;0")</f>
        <v>0</v>
      </c>
      <c r="G41" s="8"/>
      <c r="H41" s="8"/>
      <c r="I41" s="8"/>
      <c r="J41" s="8" t="n">
        <f aca="false">COUNTIFS(G$14:G$37,"&gt;="&amp;$D41,G$14:G$37,"&lt;"&amp;$E41,H$14:H$37,"&lt;0")+COUNTIFS(K$14:K$37,"&gt;="&amp;$D41,K$14:K$37,"&lt;"&amp;$E41,L$14:L$37,"&lt;0")+COUNTIFS(O$14:O$37,"&gt;="&amp;$D41,O$14:O$37,"&lt;"&amp;$E41,P$14:P$37,"&lt;0")+COUNTIFS(S$14:S$37,"&gt;="&amp;$D41,S$14:S$37,"&lt;"&amp;$E41,T$14:T$37,"&lt;0")</f>
        <v>0</v>
      </c>
      <c r="K41" s="8"/>
      <c r="L41" s="8"/>
      <c r="M41" s="8"/>
      <c r="N41" s="28" t="str">
        <f aca="false">IF(F41+J41=0,"",IF(F41&gt;=$R$5,"Disputa: muitos realces nesta faixa. Corte nos canais que cobrem a fonte principal",IF(J41&gt;=$R$5,"Mesmo corte em muitos canais: teste o sistema com música gravada","OK")))</f>
        <v/>
      </c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customFormat="false" ht="19.5" hidden="false" customHeight="true" outlineLevel="0" collapsed="false">
      <c r="B42" s="4" t="s">
        <v>106</v>
      </c>
      <c r="C42" s="4"/>
      <c r="D42" s="27" t="n">
        <v>60</v>
      </c>
      <c r="E42" s="27" t="n">
        <v>250</v>
      </c>
      <c r="F42" s="8" t="n">
        <f aca="false">COUNTIFS(G$14:G$37,"&gt;="&amp;$D42,G$14:G$37,"&lt;"&amp;$E42,H$14:H$37,"&gt;0")+COUNTIFS(K$14:K$37,"&gt;="&amp;$D42,K$14:K$37,"&lt;"&amp;$E42,L$14:L$37,"&gt;0")+COUNTIFS(O$14:O$37,"&gt;="&amp;$D42,O$14:O$37,"&lt;"&amp;$E42,P$14:P$37,"&gt;0")+COUNTIFS(S$14:S$37,"&gt;="&amp;$D42,S$14:S$37,"&lt;"&amp;$E42,T$14:T$37,"&gt;0")</f>
        <v>1</v>
      </c>
      <c r="G42" s="8"/>
      <c r="H42" s="8"/>
      <c r="I42" s="8"/>
      <c r="J42" s="8" t="n">
        <f aca="false">COUNTIFS(G$14:G$37,"&gt;="&amp;$D42,G$14:G$37,"&lt;"&amp;$E42,H$14:H$37,"&lt;0")+COUNTIFS(K$14:K$37,"&gt;="&amp;$D42,K$14:K$37,"&lt;"&amp;$E42,L$14:L$37,"&lt;0")+COUNTIFS(O$14:O$37,"&gt;="&amp;$D42,O$14:O$37,"&lt;"&amp;$E42,P$14:P$37,"&lt;0")+COUNTIFS(S$14:S$37,"&gt;="&amp;$D42,S$14:S$37,"&lt;"&amp;$E42,T$14:T$37,"&lt;0")</f>
        <v>1</v>
      </c>
      <c r="K42" s="8"/>
      <c r="L42" s="8"/>
      <c r="M42" s="8"/>
      <c r="N42" s="28" t="str">
        <f aca="false">IF(F42+J42=0,"",IF(F42&gt;=$R$5,"Disputa: muitos realces nesta faixa. Corte nos canais que cobrem a fonte principal",IF(J42&gt;=$R$5,"Mesmo corte em muitos canais: teste o sistema com música gravada","OK")))</f>
        <v>OK</v>
      </c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customFormat="false" ht="19.5" hidden="false" customHeight="true" outlineLevel="0" collapsed="false">
      <c r="B43" s="4" t="s">
        <v>107</v>
      </c>
      <c r="C43" s="4"/>
      <c r="D43" s="27" t="n">
        <v>250</v>
      </c>
      <c r="E43" s="27" t="n">
        <v>500</v>
      </c>
      <c r="F43" s="8" t="n">
        <f aca="false">COUNTIFS(G$14:G$37,"&gt;="&amp;$D43,G$14:G$37,"&lt;"&amp;$E43,H$14:H$37,"&gt;0")+COUNTIFS(K$14:K$37,"&gt;="&amp;$D43,K$14:K$37,"&lt;"&amp;$E43,L$14:L$37,"&gt;0")+COUNTIFS(O$14:O$37,"&gt;="&amp;$D43,O$14:O$37,"&lt;"&amp;$E43,P$14:P$37,"&gt;0")+COUNTIFS(S$14:S$37,"&gt;="&amp;$D43,S$14:S$37,"&lt;"&amp;$E43,T$14:T$37,"&gt;0")</f>
        <v>0</v>
      </c>
      <c r="G43" s="8"/>
      <c r="H43" s="8"/>
      <c r="I43" s="8"/>
      <c r="J43" s="8" t="n">
        <f aca="false">COUNTIFS(G$14:G$37,"&gt;="&amp;$D43,G$14:G$37,"&lt;"&amp;$E43,H$14:H$37,"&lt;0")+COUNTIFS(K$14:K$37,"&gt;="&amp;$D43,K$14:K$37,"&lt;"&amp;$E43,L$14:L$37,"&lt;0")+COUNTIFS(O$14:O$37,"&gt;="&amp;$D43,O$14:O$37,"&lt;"&amp;$E43,P$14:P$37,"&lt;0")+COUNTIFS(S$14:S$37,"&gt;="&amp;$D43,S$14:S$37,"&lt;"&amp;$E43,T$14:T$37,"&lt;0")</f>
        <v>3</v>
      </c>
      <c r="K43" s="8"/>
      <c r="L43" s="8"/>
      <c r="M43" s="8"/>
      <c r="N43" s="28" t="str">
        <f aca="false">IF(F43+J43=0,"",IF(F43&gt;=$R$5,"Disputa: muitos realces nesta faixa. Corte nos canais que cobrem a fonte principal",IF(J43&gt;=$R$5,"Mesmo corte em muitos canais: teste o sistema com música gravada","OK")))</f>
        <v>OK</v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customFormat="false" ht="19.5" hidden="false" customHeight="true" outlineLevel="0" collapsed="false">
      <c r="B44" s="4" t="s">
        <v>108</v>
      </c>
      <c r="C44" s="4"/>
      <c r="D44" s="27" t="n">
        <v>500</v>
      </c>
      <c r="E44" s="27" t="n">
        <v>2000</v>
      </c>
      <c r="F44" s="8" t="n">
        <f aca="false">COUNTIFS(G$14:G$37,"&gt;="&amp;$D44,G$14:G$37,"&lt;"&amp;$E44,H$14:H$37,"&gt;0")+COUNTIFS(K$14:K$37,"&gt;="&amp;$D44,K$14:K$37,"&lt;"&amp;$E44,L$14:L$37,"&gt;0")+COUNTIFS(O$14:O$37,"&gt;="&amp;$D44,O$14:O$37,"&lt;"&amp;$E44,P$14:P$37,"&gt;0")+COUNTIFS(S$14:S$37,"&gt;="&amp;$D44,S$14:S$37,"&lt;"&amp;$E44,T$14:T$37,"&gt;0")</f>
        <v>1</v>
      </c>
      <c r="G44" s="8"/>
      <c r="H44" s="8"/>
      <c r="I44" s="8"/>
      <c r="J44" s="8" t="n">
        <f aca="false">COUNTIFS(G$14:G$37,"&gt;="&amp;$D44,G$14:G$37,"&lt;"&amp;$E44,H$14:H$37,"&lt;0")+COUNTIFS(K$14:K$37,"&gt;="&amp;$D44,K$14:K$37,"&lt;"&amp;$E44,L$14:L$37,"&lt;0")+COUNTIFS(O$14:O$37,"&gt;="&amp;$D44,O$14:O$37,"&lt;"&amp;$E44,P$14:P$37,"&lt;0")+COUNTIFS(S$14:S$37,"&gt;="&amp;$D44,S$14:S$37,"&lt;"&amp;$E44,T$14:T$37,"&lt;0")</f>
        <v>0</v>
      </c>
      <c r="K44" s="8"/>
      <c r="L44" s="8"/>
      <c r="M44" s="8"/>
      <c r="N44" s="28" t="str">
        <f aca="false">IF(F44+J44=0,"",IF(F44&gt;=$R$5,"Disputa: muitos realces nesta faixa. Corte nos canais que cobrem a fonte principal",IF(J44&gt;=$R$5,"Mesmo corte em muitos canais: teste o sistema com música gravada","OK")))</f>
        <v>OK</v>
      </c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customFormat="false" ht="19.5" hidden="false" customHeight="true" outlineLevel="0" collapsed="false">
      <c r="B45" s="4" t="s">
        <v>109</v>
      </c>
      <c r="C45" s="4"/>
      <c r="D45" s="27" t="n">
        <v>2000</v>
      </c>
      <c r="E45" s="27" t="n">
        <v>4000</v>
      </c>
      <c r="F45" s="8" t="n">
        <f aca="false">COUNTIFS(G$14:G$37,"&gt;="&amp;$D45,G$14:G$37,"&lt;"&amp;$E45,H$14:H$37,"&gt;0")+COUNTIFS(K$14:K$37,"&gt;="&amp;$D45,K$14:K$37,"&lt;"&amp;$E45,L$14:L$37,"&gt;0")+COUNTIFS(O$14:O$37,"&gt;="&amp;$D45,O$14:O$37,"&lt;"&amp;$E45,P$14:P$37,"&gt;0")+COUNTIFS(S$14:S$37,"&gt;="&amp;$D45,S$14:S$37,"&lt;"&amp;$E45,T$14:T$37,"&gt;0")</f>
        <v>6</v>
      </c>
      <c r="G45" s="8"/>
      <c r="H45" s="8"/>
      <c r="I45" s="8"/>
      <c r="J45" s="8" t="n">
        <f aca="false">COUNTIFS(G$14:G$37,"&gt;="&amp;$D45,G$14:G$37,"&lt;"&amp;$E45,H$14:H$37,"&lt;0")+COUNTIFS(K$14:K$37,"&gt;="&amp;$D45,K$14:K$37,"&lt;"&amp;$E45,L$14:L$37,"&lt;0")+COUNTIFS(O$14:O$37,"&gt;="&amp;$D45,O$14:O$37,"&lt;"&amp;$E45,P$14:P$37,"&lt;0")+COUNTIFS(S$14:S$37,"&gt;="&amp;$D45,S$14:S$37,"&lt;"&amp;$E45,T$14:T$37,"&lt;0")</f>
        <v>0</v>
      </c>
      <c r="K45" s="8"/>
      <c r="L45" s="8"/>
      <c r="M45" s="8"/>
      <c r="N45" s="28" t="str">
        <f aca="false">IF(F45+J45=0,"",IF(F45&gt;=$R$5,"Disputa: muitos realces nesta faixa. Corte nos canais que cobrem a fonte principal",IF(J45&gt;=$R$5,"Mesmo corte em muitos canais: teste o sistema com música gravada","OK")))</f>
        <v>Disputa: muitos realces nesta faixa. Corte nos canais que cobrem a fonte principal</v>
      </c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customFormat="false" ht="19.5" hidden="false" customHeight="true" outlineLevel="0" collapsed="false">
      <c r="B46" s="4" t="s">
        <v>110</v>
      </c>
      <c r="C46" s="4"/>
      <c r="D46" s="27" t="n">
        <v>4000</v>
      </c>
      <c r="E46" s="27" t="n">
        <v>8000</v>
      </c>
      <c r="F46" s="8" t="n">
        <f aca="false">COUNTIFS(G$14:G$37,"&gt;="&amp;$D46,G$14:G$37,"&lt;"&amp;$E46,H$14:H$37,"&gt;0")+COUNTIFS(K$14:K$37,"&gt;="&amp;$D46,K$14:K$37,"&lt;"&amp;$E46,L$14:L$37,"&gt;0")+COUNTIFS(O$14:O$37,"&gt;="&amp;$D46,O$14:O$37,"&lt;"&amp;$E46,P$14:P$37,"&gt;0")+COUNTIFS(S$14:S$37,"&gt;="&amp;$D46,S$14:S$37,"&lt;"&amp;$E46,T$14:T$37,"&gt;0")</f>
        <v>0</v>
      </c>
      <c r="G46" s="8"/>
      <c r="H46" s="8"/>
      <c r="I46" s="8"/>
      <c r="J46" s="8" t="n">
        <f aca="false">COUNTIFS(G$14:G$37,"&gt;="&amp;$D46,G$14:G$37,"&lt;"&amp;$E46,H$14:H$37,"&lt;0")+COUNTIFS(K$14:K$37,"&gt;="&amp;$D46,K$14:K$37,"&lt;"&amp;$E46,L$14:L$37,"&lt;0")+COUNTIFS(O$14:O$37,"&gt;="&amp;$D46,O$14:O$37,"&lt;"&amp;$E46,P$14:P$37,"&lt;0")+COUNTIFS(S$14:S$37,"&gt;="&amp;$D46,S$14:S$37,"&lt;"&amp;$E46,T$14:T$37,"&lt;0")</f>
        <v>0</v>
      </c>
      <c r="K46" s="8"/>
      <c r="L46" s="8"/>
      <c r="M46" s="8"/>
      <c r="N46" s="28" t="str">
        <f aca="false">IF(F46+J46=0,"",IF(F46&gt;=$R$5,"Disputa: muitos realces nesta faixa. Corte nos canais que cobrem a fonte principal",IF(J46&gt;=$R$5,"Mesmo corte em muitos canais: teste o sistema com música gravada","OK")))</f>
        <v/>
      </c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customFormat="false" ht="19.5" hidden="false" customHeight="true" outlineLevel="0" collapsed="false">
      <c r="B47" s="4" t="s">
        <v>111</v>
      </c>
      <c r="C47" s="4"/>
      <c r="D47" s="27" t="n">
        <v>8000</v>
      </c>
      <c r="E47" s="27" t="n">
        <v>20000</v>
      </c>
      <c r="F47" s="8" t="n">
        <f aca="false">COUNTIFS(G$14:G$37,"&gt;="&amp;$D47,G$14:G$37,"&lt;="&amp;$E47,H$14:H$37,"&gt;0")+COUNTIFS(K$14:K$37,"&gt;="&amp;$D47,K$14:K$37,"&lt;="&amp;$E47,L$14:L$37,"&gt;0")+COUNTIFS(O$14:O$37,"&gt;="&amp;$D47,O$14:O$37,"&lt;="&amp;$E47,P$14:P$37,"&gt;0")+COUNTIFS(S$14:S$37,"&gt;="&amp;$D47,S$14:S$37,"&lt;="&amp;$E47,T$14:T$37,"&gt;0")</f>
        <v>3</v>
      </c>
      <c r="G47" s="8"/>
      <c r="H47" s="8"/>
      <c r="I47" s="8"/>
      <c r="J47" s="8" t="n">
        <f aca="false">COUNTIFS(G$14:G$37,"&gt;="&amp;$D47,G$14:G$37,"&lt;="&amp;$E47,H$14:H$37,"&lt;0")+COUNTIFS(K$14:K$37,"&gt;="&amp;$D47,K$14:K$37,"&lt;="&amp;$E47,L$14:L$37,"&lt;0")+COUNTIFS(O$14:O$37,"&gt;="&amp;$D47,O$14:O$37,"&lt;="&amp;$E47,P$14:P$37,"&lt;0")+COUNTIFS(S$14:S$37,"&gt;="&amp;$D47,S$14:S$37,"&lt;="&amp;$E47,T$14:T$37,"&lt;0")</f>
        <v>0</v>
      </c>
      <c r="K47" s="8"/>
      <c r="L47" s="8"/>
      <c r="M47" s="8"/>
      <c r="N47" s="28" t="str">
        <f aca="false">IF(F47+J47=0,"",IF(F47&gt;=$R$5,"Disputa: muitos realces nesta faixa. Corte nos canais que cobrem a fonte principal",IF(J47&gt;=$R$5,"Mesmo corte em muitos canais: teste o sistema com música gravada","OK")))</f>
        <v>OK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customFormat="false" ht="15" hidden="false" customHeight="true" outlineLevel="0" collapsed="false">
      <c r="B48" s="10" t="s">
        <v>112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50" customFormat="false" ht="21.75" hidden="false" customHeight="true" outlineLevel="0" collapsed="false">
      <c r="B50" s="12" t="s">
        <v>113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customFormat="false" ht="19.5" hidden="false" customHeight="true" outlineLevel="0" collapsed="false">
      <c r="B51" s="29" t="s">
        <v>114</v>
      </c>
      <c r="C51" s="29"/>
      <c r="D51" s="29"/>
      <c r="E51" s="29"/>
      <c r="F51" s="8" t="n">
        <f aca="false">COUNTA(C14:C37)</f>
        <v>8</v>
      </c>
      <c r="G51" s="8"/>
      <c r="H51" s="8"/>
      <c r="I51" s="8"/>
    </row>
    <row r="52" customFormat="false" ht="19.5" hidden="false" customHeight="true" outlineLevel="0" collapsed="false">
      <c r="B52" s="29" t="s">
        <v>115</v>
      </c>
      <c r="C52" s="29"/>
      <c r="D52" s="29"/>
      <c r="E52" s="29"/>
      <c r="F52" s="8" t="n">
        <f aca="false">COUNTIF(Z14:Z37,"OK")</f>
        <v>5</v>
      </c>
      <c r="G52" s="8"/>
      <c r="H52" s="8"/>
      <c r="I52" s="8"/>
    </row>
    <row r="53" customFormat="false" ht="19.5" hidden="false" customHeight="true" outlineLevel="0" collapsed="false">
      <c r="B53" s="29" t="s">
        <v>44</v>
      </c>
      <c r="C53" s="29"/>
      <c r="D53" s="29"/>
      <c r="E53" s="29"/>
      <c r="F53" s="8" t="n">
        <f aca="false">COUNTIF(Z14:Z37,"Realce alto")</f>
        <v>1</v>
      </c>
      <c r="G53" s="8"/>
      <c r="H53" s="8"/>
      <c r="I53" s="8"/>
    </row>
    <row r="54" customFormat="false" ht="19.5" hidden="false" customHeight="true" outlineLevel="0" collapsed="false">
      <c r="B54" s="29" t="s">
        <v>116</v>
      </c>
      <c r="C54" s="29"/>
      <c r="D54" s="29"/>
      <c r="E54" s="29"/>
      <c r="F54" s="8" t="n">
        <f aca="false">COUNTIF(Z14:Z37,"Sem HPF")</f>
        <v>0</v>
      </c>
      <c r="G54" s="8"/>
      <c r="H54" s="8"/>
      <c r="I54" s="8"/>
    </row>
    <row r="55" customFormat="false" ht="19.5" hidden="false" customHeight="true" outlineLevel="0" collapsed="false">
      <c r="B55" s="29" t="s">
        <v>117</v>
      </c>
      <c r="C55" s="29"/>
      <c r="D55" s="29"/>
      <c r="E55" s="29"/>
      <c r="F55" s="8" t="n">
        <f aca="false">COUNTIF(Z14:Z37,"HPF fora da faixa")</f>
        <v>0</v>
      </c>
      <c r="G55" s="8"/>
      <c r="H55" s="8"/>
      <c r="I55" s="8"/>
    </row>
    <row r="56" customFormat="false" ht="19.5" hidden="false" customHeight="true" outlineLevel="0" collapsed="false">
      <c r="B56" s="29" t="s">
        <v>46</v>
      </c>
      <c r="C56" s="29"/>
      <c r="D56" s="29"/>
      <c r="E56" s="29"/>
      <c r="F56" s="8" t="n">
        <f aca="false">COUNTIF(Z14:Z37,"Só realces")</f>
        <v>2</v>
      </c>
      <c r="G56" s="8"/>
      <c r="H56" s="8"/>
      <c r="I56" s="8"/>
    </row>
    <row r="57" customFormat="false" ht="19.5" hidden="false" customHeight="true" outlineLevel="0" collapsed="false">
      <c r="B57" s="29" t="s">
        <v>118</v>
      </c>
      <c r="C57" s="29"/>
      <c r="D57" s="29"/>
      <c r="E57" s="29"/>
      <c r="F57" s="8" t="n">
        <f aca="false">COUNTIF(N41:N47,"Disputa: muitos realces nesta faixa. Corte nos canais que cobrem a fonte principal")</f>
        <v>1</v>
      </c>
      <c r="G57" s="8"/>
      <c r="H57" s="8"/>
      <c r="I57" s="8"/>
    </row>
    <row r="58" customFormat="false" ht="19.5" hidden="false" customHeight="true" outlineLevel="0" collapsed="false">
      <c r="B58" s="29" t="s">
        <v>119</v>
      </c>
      <c r="C58" s="29"/>
      <c r="D58" s="29"/>
      <c r="E58" s="29"/>
      <c r="F58" s="8" t="n">
        <f aca="false">COUNTIF(N41:N47,"Mesmo corte em muitos canais: teste o sistema com música gravada")</f>
        <v>0</v>
      </c>
      <c r="G58" s="8"/>
      <c r="H58" s="8"/>
      <c r="I58" s="8"/>
    </row>
    <row r="59" customFormat="false" ht="21.75" hidden="false" customHeight="true" outlineLevel="0" collapsed="false">
      <c r="B59" s="29" t="s">
        <v>104</v>
      </c>
      <c r="C59" s="29"/>
      <c r="D59" s="29"/>
      <c r="E59" s="29"/>
      <c r="F59" s="28" t="str">
        <f aca="false">IF(COUNT($R$4:$R$5)&lt;2,"Informe os dois limites no alto da aba",IF(F51=0,"Liste os canais",IF(F58&gt;0,"Mesmo corte em muitos canais: o defeito pode ser do sistema ou da sala",IF(F57&gt;0,"Há faixa disputada: abra espaço com cortes nos canais que cobrem a voz",IF(F53+F54+F55+F56&gt;0,"Há canais a conferir: veja a coluna O que fazer","OK")))))</f>
        <v>Há faixa disputada: abra espaço com cortes nos canais que cobrem a voz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1" customFormat="false" ht="21.75" hidden="false" customHeight="true" outlineLevel="0" collapsed="false">
      <c r="B61" s="12" t="s">
        <v>291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customFormat="false" ht="21.75" hidden="false" customHeight="true" outlineLevel="0" collapsed="false">
      <c r="B62" s="8" t="s">
        <v>68</v>
      </c>
      <c r="C62" s="8"/>
      <c r="D62" s="8" t="s">
        <v>292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customFormat="false" ht="21.75" hidden="false" customHeight="true" outlineLevel="0" collapsed="false">
      <c r="B63" s="18" t="s">
        <v>16</v>
      </c>
      <c r="C63" s="18"/>
      <c r="D63" s="7" t="s">
        <v>293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customFormat="false" ht="21.75" hidden="false" customHeight="true" outlineLevel="0" collapsed="false">
      <c r="B64" s="18" t="s">
        <v>18</v>
      </c>
      <c r="C64" s="18"/>
      <c r="D64" s="7" t="s">
        <v>294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customFormat="false" ht="21.75" hidden="false" customHeight="true" outlineLevel="0" collapsed="false">
      <c r="B65" s="18" t="s">
        <v>22</v>
      </c>
      <c r="C65" s="18"/>
      <c r="D65" s="7" t="s">
        <v>295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customFormat="false" ht="21.75" hidden="false" customHeight="true" outlineLevel="0" collapsed="false">
      <c r="B66" s="18" t="s">
        <v>28</v>
      </c>
      <c r="C66" s="18"/>
      <c r="D66" s="7" t="s">
        <v>296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customFormat="false" ht="21.75" hidden="false" customHeight="true" outlineLevel="0" collapsed="false">
      <c r="B67" s="18" t="s">
        <v>297</v>
      </c>
      <c r="C67" s="18"/>
      <c r="D67" s="7" t="s">
        <v>298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customFormat="false" ht="21.75" hidden="false" customHeight="true" outlineLevel="0" collapsed="false">
      <c r="B68" s="18" t="s">
        <v>299</v>
      </c>
      <c r="C68" s="18"/>
      <c r="D68" s="7" t="s">
        <v>300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</sheetData>
  <mergeCells count="92">
    <mergeCell ref="B1:AB1"/>
    <mergeCell ref="B2:AB2"/>
    <mergeCell ref="B4:C4"/>
    <mergeCell ref="D4:I4"/>
    <mergeCell ref="K4:Q4"/>
    <mergeCell ref="S4:AB4"/>
    <mergeCell ref="B5:C5"/>
    <mergeCell ref="D5:I5"/>
    <mergeCell ref="K5:Q5"/>
    <mergeCell ref="S5:AB5"/>
    <mergeCell ref="B6:C6"/>
    <mergeCell ref="D6:I6"/>
    <mergeCell ref="B7:C7"/>
    <mergeCell ref="D7:I7"/>
    <mergeCell ref="K7:AB7"/>
    <mergeCell ref="B8:C8"/>
    <mergeCell ref="D8:I8"/>
    <mergeCell ref="K8:AB8"/>
    <mergeCell ref="B10:AB10"/>
    <mergeCell ref="F11:I11"/>
    <mergeCell ref="J11:M11"/>
    <mergeCell ref="N11:Q11"/>
    <mergeCell ref="R11:U11"/>
    <mergeCell ref="B13:AB13"/>
    <mergeCell ref="B39:AB39"/>
    <mergeCell ref="B40:C40"/>
    <mergeCell ref="F40:I40"/>
    <mergeCell ref="J40:M40"/>
    <mergeCell ref="N40:AB40"/>
    <mergeCell ref="B41:C41"/>
    <mergeCell ref="F41:I41"/>
    <mergeCell ref="J41:M41"/>
    <mergeCell ref="N41:AB41"/>
    <mergeCell ref="B42:C42"/>
    <mergeCell ref="F42:I42"/>
    <mergeCell ref="J42:M42"/>
    <mergeCell ref="N42:AB42"/>
    <mergeCell ref="B43:C43"/>
    <mergeCell ref="F43:I43"/>
    <mergeCell ref="J43:M43"/>
    <mergeCell ref="N43:AB43"/>
    <mergeCell ref="B44:C44"/>
    <mergeCell ref="F44:I44"/>
    <mergeCell ref="J44:M44"/>
    <mergeCell ref="N44:AB44"/>
    <mergeCell ref="B45:C45"/>
    <mergeCell ref="F45:I45"/>
    <mergeCell ref="J45:M45"/>
    <mergeCell ref="N45:AB45"/>
    <mergeCell ref="B46:C46"/>
    <mergeCell ref="F46:I46"/>
    <mergeCell ref="J46:M46"/>
    <mergeCell ref="N46:AB46"/>
    <mergeCell ref="B47:C47"/>
    <mergeCell ref="F47:I47"/>
    <mergeCell ref="J47:M47"/>
    <mergeCell ref="N47:AB47"/>
    <mergeCell ref="B48:AB48"/>
    <mergeCell ref="B50:AB50"/>
    <mergeCell ref="B51:E51"/>
    <mergeCell ref="F51:I51"/>
    <mergeCell ref="B52:E52"/>
    <mergeCell ref="F52:I52"/>
    <mergeCell ref="B53:E53"/>
    <mergeCell ref="F53:I53"/>
    <mergeCell ref="B54:E54"/>
    <mergeCell ref="F54:I54"/>
    <mergeCell ref="B55:E55"/>
    <mergeCell ref="F55:I55"/>
    <mergeCell ref="B56:E56"/>
    <mergeCell ref="F56:I56"/>
    <mergeCell ref="B57:E57"/>
    <mergeCell ref="F57:I57"/>
    <mergeCell ref="B58:E58"/>
    <mergeCell ref="F58:I58"/>
    <mergeCell ref="B59:E59"/>
    <mergeCell ref="F59:AB59"/>
    <mergeCell ref="B61:AB61"/>
    <mergeCell ref="B62:C62"/>
    <mergeCell ref="D62:AB62"/>
    <mergeCell ref="B63:C63"/>
    <mergeCell ref="D63:AB63"/>
    <mergeCell ref="B64:C64"/>
    <mergeCell ref="D64:AB64"/>
    <mergeCell ref="B65:C65"/>
    <mergeCell ref="D65:AB65"/>
    <mergeCell ref="B66:C66"/>
    <mergeCell ref="D66:AB66"/>
    <mergeCell ref="B67:C67"/>
    <mergeCell ref="D67:AB67"/>
    <mergeCell ref="B68:C68"/>
    <mergeCell ref="D68:AB68"/>
  </mergeCells>
  <conditionalFormatting sqref="W14:W3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0">
      <formula>"Desligado"</formula>
    </cfRule>
    <cfRule type="cellIs" priority="4" operator="equal" aboveAverage="0" equalAverage="0" bottom="0" percent="0" rank="0" text="" dxfId="1">
      <formula>"Sem HPF"</formula>
    </cfRule>
    <cfRule type="cellIs" priority="5" operator="equal" aboveAverage="0" equalAverage="0" bottom="0" percent="0" rank="0" text="" dxfId="1">
      <formula>"Abaixo da faixa"</formula>
    </cfRule>
    <cfRule type="cellIs" priority="6" operator="equal" aboveAverage="0" equalAverage="0" bottom="0" percent="0" rank="0" text="" dxfId="1">
      <formula>"Acima da faixa"</formula>
    </cfRule>
  </conditionalFormatting>
  <conditionalFormatting sqref="Z14:Z37">
    <cfRule type="cellIs" priority="7" operator="equal" aboveAverage="0" equalAverage="0" bottom="0" percent="0" rank="0" text="" dxfId="0">
      <formula>"OK"</formula>
    </cfRule>
    <cfRule type="cellIs" priority="8" operator="equal" aboveAverage="0" equalAverage="0" bottom="0" percent="0" rank="0" text="" dxfId="1">
      <formula>"Realce alto"</formula>
    </cfRule>
    <cfRule type="cellIs" priority="9" operator="equal" aboveAverage="0" equalAverage="0" bottom="0" percent="0" rank="0" text="" dxfId="1">
      <formula>"Sem HPF"</formula>
    </cfRule>
    <cfRule type="cellIs" priority="10" operator="equal" aboveAverage="0" equalAverage="0" bottom="0" percent="0" rank="0" text="" dxfId="1">
      <formula>"HPF fora da faixa"</formula>
    </cfRule>
    <cfRule type="cellIs" priority="11" operator="equal" aboveAverage="0" equalAverage="0" bottom="0" percent="0" rank="0" text="" dxfId="1">
      <formula>"Só realces"</formula>
    </cfRule>
  </conditionalFormatting>
  <conditionalFormatting sqref="N41:AB47">
    <cfRule type="cellIs" priority="12" operator="equal" aboveAverage="0" equalAverage="0" bottom="0" percent="0" rank="0" text="" dxfId="0">
      <formula>"OK"</formula>
    </cfRule>
    <cfRule type="expression" priority="13" aboveAverage="0" equalAverage="0" bottom="0" percent="0" rank="0" text="" dxfId="1">
      <formula>AND(LEN($N41)&gt;0,$N41&lt;&gt;"OK")</formula>
    </cfRule>
  </conditionalFormatting>
  <conditionalFormatting sqref="F59:AB59">
    <cfRule type="cellIs" priority="14" operator="equal" aboveAverage="0" equalAverage="0" bottom="0" percent="0" rank="0" text="" dxfId="0">
      <formula>"OK"</formula>
    </cfRule>
    <cfRule type="cellIs" priority="15" operator="notEqual" aboveAverage="0" equalAverage="0" bottom="0" percent="0" rank="0" text="" dxfId="1">
      <formula>"OK"</formula>
    </cfRule>
  </conditionalFormatting>
  <dataValidations count="12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R4:R5" type="decimal">
      <formula1>-1000000000</formula1>
      <formula2>1000000000</formula2>
    </dataValidation>
    <dataValidation allowBlank="true" error="Escolha uma das opções da lista." errorStyle="stop" errorTitle="Valor inválido" operator="between" prompt="Escolha o tipo de fonte. Outra, se não estiver na lista." promptTitle="Opções" showDropDown="false" showErrorMessage="true" showInputMessage="true" sqref="D14:D37" type="list">
      <formula1>"Voz masculina,Voz feminina,Coral,Violão,Guitarra,Caixa da bateria,Tons e surdo,Pratos e chimbal,Teclado,Baixo,Bumbo,Computador e mídia,Outra"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4:E37" type="decimal">
      <formula1>-1000000000</formula1>
      <formula2>1000000000</formula2>
    </dataValidation>
    <dataValidation allowBlank="true" error="Escolha uma das opções da lista." errorStyle="stop" errorTitle="Valor inválido" operator="between" prompt="Bell (sino) ou Shelf (prateleira)." promptTitle="Opções" showDropDown="false" showErrorMessage="true" showInputMessage="true" sqref="F14:F37" type="list">
      <formula1>"Bell,Shelf"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G14:I37" type="decimal">
      <formula1>-1000000000</formula1>
      <formula2>1000000000</formula2>
    </dataValidation>
    <dataValidation allowBlank="true" error="Escolha uma das opções da lista." errorStyle="stop" errorTitle="Valor inválido" operator="between" prompt="Bell (sino) ou Shelf (prateleira)." promptTitle="Opções" showDropDown="false" showErrorMessage="true" showInputMessage="true" sqref="J14:J37" type="list">
      <formula1>"Bell,Shelf"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K14:M37" type="decimal">
      <formula1>-1000000000</formula1>
      <formula2>1000000000</formula2>
    </dataValidation>
    <dataValidation allowBlank="true" error="Escolha uma das opções da lista." errorStyle="stop" errorTitle="Valor inválido" operator="between" prompt="Bell (sino) ou Shelf (prateleira)." promptTitle="Opções" showDropDown="false" showErrorMessage="true" showInputMessage="true" sqref="N14:N37" type="list">
      <formula1>"Bell,Shelf"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O14:Q37" type="decimal">
      <formula1>-1000000000</formula1>
      <formula2>1000000000</formula2>
    </dataValidation>
    <dataValidation allowBlank="true" error="Escolha uma das opções da lista." errorStyle="stop" errorTitle="Valor inválido" operator="between" prompt="Bell (sino) ou Shelf (prateleira)." promptTitle="Opções" showDropDown="false" showErrorMessage="true" showInputMessage="true" sqref="R14:R37" type="list">
      <formula1>"Bell,Shelf"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S14:U37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2026-10-01T12:59:05Z</dcterms:created>
  <dc:creator>Estudos: Técnico em áudio e vídeo</dc:creator>
  <dc:description/>
  <dc:language>pt-BR</dc:language>
  <cp:lastModifiedBy/>
  <dcterms:modified xsi:type="dcterms:W3CDTF">2026-10-01T12:59:06Z</dcterms:modified>
  <cp:revision>0</cp:revision>
  <dc:subject/>
  <dc:title>Equalização — ficha de EQ por canal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