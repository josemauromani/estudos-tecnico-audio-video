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Mapa de ligações" sheetId="2" state="visible" r:id="rId4"/>
    <sheet name="Inventário de cabos" sheetId="3" state="visible" r:id="rId5"/>
    <sheet name="Referência" sheetId="4" state="visible" r:id="rId6"/>
    <sheet name="Checklist" sheetId="5" state="visible" r:id="rId7"/>
    <sheet name="Exemplo - Mapa" sheetId="6" state="visible" r:id="rId8"/>
    <sheet name="Exemplo - Inventário" sheetId="7" state="visible" r:id="rId9"/>
  </sheets>
  <definedNames>
    <definedName function="false" hidden="false" localSheetId="4" name="_xlnm.Print_Area" vbProcedure="false">Checklist!$B$1:$F$20</definedName>
    <definedName function="false" hidden="false" localSheetId="6" name="_xlnm.Print_Area" vbProcedure="false">'Exemplo - Inventário'!$B$1:$N$69</definedName>
    <definedName function="false" hidden="false" localSheetId="5" name="_xlnm.Print_Area" vbProcedure="false">'Exemplo - Mapa'!$B$1:$Q$63</definedName>
    <definedName function="false" hidden="false" localSheetId="0" name="_xlnm.Print_Area" vbProcedure="false">Instruções!$B$1:$C$39</definedName>
    <definedName function="false" hidden="false" localSheetId="2" name="_xlnm.Print_Area" vbProcedure="false">'Inventário de cabos'!$B$1:$N$69</definedName>
    <definedName function="false" hidden="false" localSheetId="1" name="_xlnm.Print_Area" vbProcedure="false">'Mapa de ligações'!$B$1:$Q$55</definedName>
    <definedName function="false" hidden="false" localSheetId="3" name="_xlnm.Print_Area" vbProcedure="false">Referência!$B$1:$E$48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0" authorId="0">
      <text>
        <r>
          <rPr>
            <sz val="10"/>
            <rFont val="Arial"/>
            <family val="2"/>
          </rPr>
          <t xml:space="preserve">O nível que a fonte entrega.
Microfone: microfones.
Instrumento: captador passivo.
Linha: teclado, computador, saídas da mesa.
Alto-falante: saída de amplificador.</t>
        </r>
      </text>
    </comment>
    <comment ref="E10" authorId="0">
      <text>
        <r>
          <rPr>
            <sz val="10"/>
            <rFont val="Arial"/>
            <family val="2"/>
          </rPr>
          <t xml:space="preserve">A fonte passa por direct box antes deste cabo?
Passiva: com transformador.
Ativa: com circuito, pede phantom ou bateria.</t>
        </r>
      </text>
    </comment>
    <comment ref="F10" authorId="0">
      <text>
        <r>
          <rPr>
            <sz val="10"/>
            <rFont val="Arial"/>
            <family val="2"/>
          </rPr>
          <t xml:space="preserve">Balanceada: XLR ou P10 TRS, entre saída e entrada balanceadas.
Desbalanceada: P10 TS, P2, RCA ou cabo adaptador.
Cabo de caixa: dois condutores grossos, sem malha.</t>
        </r>
      </text>
    </comment>
    <comment ref="G10" authorId="0">
      <text>
        <r>
          <rPr>
            <sz val="10"/>
            <rFont val="Arial"/>
            <family val="2"/>
          </rPr>
          <t xml:space="preserve">Sim para microfone condensador e para direct box ativa sem bateria.</t>
        </r>
      </text>
    </comment>
    <comment ref="L10" authorId="0">
      <text>
        <r>
          <rPr>
            <sz val="10"/>
            <rFont val="Arial"/>
            <family val="2"/>
          </rPr>
          <t xml:space="preserve">O tipo de entrada em que o cabo chega.
Caixa passiva: entrada de alto-falante, sem amplificador próprio.</t>
        </r>
      </text>
    </comment>
    <comment ref="M10" authorId="0">
      <text>
        <r>
          <rPr>
            <sz val="10"/>
            <rFont val="Arial"/>
            <family val="2"/>
          </rPr>
          <t xml:space="preserve">A chave de +48 V deste canal está ligada?
Em mesa com chave geral, marque Sim em todos os canais do grupo.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9" authorId="0">
      <text>
        <r>
          <rPr>
            <sz val="10"/>
            <rFont val="Arial"/>
            <family val="2"/>
          </rPr>
          <t xml:space="preserve">O código que está na etiqueta das duas pontas do cabo.
Use o mesmo código no mapa de ligações.</t>
        </r>
      </text>
    </comment>
    <comment ref="J9" authorId="0">
      <text>
        <r>
          <rPr>
            <sz val="10"/>
            <rFont val="Arial"/>
            <family val="2"/>
          </rPr>
          <t xml:space="preserve">Bom: capa e conectores inteiros.
Regular: marcas de uso, a observar.
Ruim: capa rachada, malha à mostra, conector frouxo ou amassado.</t>
        </r>
      </text>
    </comment>
    <comment ref="L9" authorId="0">
      <text>
        <r>
          <rPr>
            <sz val="10"/>
            <rFont val="Arial"/>
            <family val="2"/>
          </rPr>
          <t xml:space="preserve">Liberado: passou nos dois testes e não está em estado ruim.
Reparar: falhou em um teste, ou o estado é ruim.
Testar: falta algum teste.</t>
        </r>
      </text>
    </comment>
  </commentList>
</comments>
</file>

<file path=xl/sharedStrings.xml><?xml version="1.0" encoding="utf-8"?>
<sst xmlns="http://schemas.openxmlformats.org/spreadsheetml/2006/main" count="702" uniqueCount="397">
  <si>
    <t xml:space="preserve">Cabos e conexões — como usar esta planilha</t>
  </si>
  <si>
    <t xml:space="preserve">Mapa de ligações com conferência de nível, phantom e cabo, e inventário de cabos com teste e situação.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</si>
  <si>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</si>
  <si>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</si>
  <si>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</si>
  <si>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</si>
  <si>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</si>
  <si>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</si>
  <si>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</si>
  <si>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</si>
  <si>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Nível, direct box, ligação, phantom, entrada, tipo de cabo, conectores e testes aceitam só as opções da lista.</t>
  </si>
  <si>
    <t xml:space="preserve">Números</t>
  </si>
  <si>
    <t xml:space="preserve">Digite o comprimento só com o número, em metros: 10, e não “10 m”.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</si>
  <si>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</si>
  <si>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</si>
  <si>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</si>
  <si>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</si>
  <si>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Inventário de cabos: liste cada cabo com a etiqueta que está nas duas pontas, o tipo, os conectores e o comprimento.</t>
  </si>
  <si>
    <t xml:space="preserve">2</t>
  </si>
  <si>
    <t xml:space="preserve">No testador: faça o teste de continuidade e o de movimento em cada cabo. Anote os resultados e o estado físico.</t>
  </si>
  <si>
    <t xml:space="preserve">3</t>
  </si>
  <si>
    <t xml:space="preserve">Aba Inventário de cabos: veja a situação. Tire de circulação os cabos em Reparar. Informe quantos cabos de cada tipo o evento pede.</t>
  </si>
  <si>
    <t xml:space="preserve">4</t>
  </si>
  <si>
    <t xml:space="preserve">Aba Mapa de ligações: uma linha por ligação, da fonte até a mesa e da mesa até as caixas.</t>
  </si>
  <si>
    <t xml:space="preserve">5</t>
  </si>
  <si>
    <t xml:space="preserve">Veja a situação e o que fazer em cada linha. Corrija a ligação, troque os dados e confira se aparece outro aviso.</t>
  </si>
  <si>
    <t xml:space="preserve">6</t>
  </si>
  <si>
    <t xml:space="preserve">Faça as ligações seguindo o mapa: cada cabo na via e no canal anotados.</t>
  </si>
  <si>
    <t xml:space="preserve">7</t>
  </si>
  <si>
    <t xml:space="preserve">Aba Checklist: confira os doze itens antes do ajuste de ganho.</t>
  </si>
  <si>
    <t xml:space="preserve">Abas da planilha</t>
  </si>
  <si>
    <t xml:space="preserve">Mapa de ligações</t>
  </si>
  <si>
    <t xml:space="preserve">Até 32 ligações, com o nível que chega ao destino e a situação calculada: OK, Atenção ou Erro.</t>
  </si>
  <si>
    <t xml:space="preserve">Inventário de cabos</t>
  </si>
  <si>
    <t xml:space="preserve">Até 40 cabos, com situação calculada (Liberado, Reparar ou Testar) e o estoque por tipo.</t>
  </si>
  <si>
    <t xml:space="preserve">Referência</t>
  </si>
  <si>
    <t xml:space="preserve">Níveis de sinal, conector por tipo de sinal, cabo por trecho, phantom e tipos de ruído.</t>
  </si>
  <si>
    <t xml:space="preserve">Checklist</t>
  </si>
  <si>
    <t xml:space="preserve">Os doze itens do treinamento, com percentual atendido.</t>
  </si>
  <si>
    <t xml:space="preserve">Exemplo - Mapa</t>
  </si>
  <si>
    <t xml:space="preserve">As catorze ligações de um culto, antes da correção (exemplo 1 do treinamento).</t>
  </si>
  <si>
    <t xml:space="preserve">Exemplo - Inventário</t>
  </si>
  <si>
    <t xml:space="preserve">Os dez cabos testados depois de um evento ao ar livre (exemplo 3 do treinamento).</t>
  </si>
  <si>
    <t xml:space="preserve">Regras e premissas do modelo</t>
  </si>
  <si>
    <t xml:space="preserve">Nível que chega</t>
  </si>
  <si>
    <t xml:space="preserve">Com direct box (passiva ou ativa), o modelo considera que chega nível de microfone. Sem ela, chega o nível da origem.</t>
  </si>
  <si>
    <t xml:space="preserve">Erro</t>
  </si>
  <si>
    <t xml:space="preserve">Risco para o equipamento: saída de amplificador fora de caixa passiva, cabo de caixa trocado por cabo blindado (ou o contrário) e phantom em ligação desbalanceada.</t>
  </si>
  <si>
    <t xml:space="preserve">Atenção</t>
  </si>
  <si>
    <t xml:space="preserve">Nível em entrada que não é a dele, phantom faltando, cabo desbalanceado acima do limite, via do multicabo ou destino repetidos.</t>
  </si>
  <si>
    <t xml:space="preserve">Um aviso por linha</t>
  </si>
  <si>
    <t xml:space="preserve">A coluna O que fazer mostra só o primeiro problema, o mais grave. Depois de corrigir, confira de novo.</t>
  </si>
  <si>
    <t xml:space="preserve">Limite do desbalanceado</t>
  </si>
  <si>
    <t xml:space="preserve">O valor inicial de 6 m é regra prática, e não norma. Troque no alto da aba, conforme o seu local.</t>
  </si>
  <si>
    <t xml:space="preserve">Phantom</t>
  </si>
  <si>
    <t xml:space="preserve">O modelo não sabe se o microfone é condensador: quem informa é você, na coluna Precisa de phantom.</t>
  </si>
  <si>
    <t xml:space="preserve">Situação do cabo</t>
  </si>
  <si>
    <t xml:space="preserve">Reparar: falhou em um teste, ou o estado físico é ruim. Testar: falta algum teste. Liberado: passou nos dois.</t>
  </si>
  <si>
    <t xml:space="preserve">Exemplos</t>
  </si>
  <si>
    <t xml:space="preserve">Os dados das abas de exemplo são ilustrativos, criados para este material.</t>
  </si>
  <si>
    <t xml:space="preserve">Mapa de ligações — da origem ao destino</t>
  </si>
  <si>
    <t xml:space="preserve">Uma linha por ligação. Preencha as células em amarelo-claro. As células cinza são calculadas.</t>
  </si>
  <si>
    <t xml:space="preserve">Evento</t>
  </si>
  <si>
    <t xml:space="preserve">Limite do cabo desbalanceado (m)</t>
  </si>
  <si>
    <t xml:space="preserve">Ponto de partida: 6 m. Em local com muita interferência, use menos.</t>
  </si>
  <si>
    <t xml:space="preserve">Local</t>
  </si>
  <si>
    <t xml:space="preserve">Nível da origem: o que a fonte entrega. Com direct box, a planilha considera que chega nível de microfone.</t>
  </si>
  <si>
    <t xml:space="preserve">Data</t>
  </si>
  <si>
    <t xml:space="preserve">Ligação: o tipo do cabo que chega ao destino. Depois de uma direct box, é balanceada.</t>
  </si>
  <si>
    <t xml:space="preserve">Responsável</t>
  </si>
  <si>
    <t xml:space="preserve">A coluna O que fazer mostra um aviso por ligação, o mais grave primeiro. Corrija e veja se aparece outro.</t>
  </si>
  <si>
    <t xml:space="preserve">Mapa de ligações (patch)</t>
  </si>
  <si>
    <t xml:space="preserve">#</t>
  </si>
  <si>
    <t xml:space="preserve">Origem</t>
  </si>
  <si>
    <t xml:space="preserve">Nível da origem</t>
  </si>
  <si>
    <t xml:space="preserve">Direct box</t>
  </si>
  <si>
    <t xml:space="preserve">Ligação</t>
  </si>
  <si>
    <t xml:space="preserve">Precisa de phantom</t>
  </si>
  <si>
    <t xml:space="preserve">Cabo</t>
  </si>
  <si>
    <t xml:space="preserve">Compr.</t>
  </si>
  <si>
    <t xml:space="preserve">Via do multicabo</t>
  </si>
  <si>
    <t xml:space="preserve">Destino</t>
  </si>
  <si>
    <t xml:space="preserve">Entrada do destino</t>
  </si>
  <si>
    <t xml:space="preserve">Phantom ligado</t>
  </si>
  <si>
    <t xml:space="preserve">Situação</t>
  </si>
  <si>
    <t xml:space="preserve">O que fazer</t>
  </si>
  <si>
    <t xml:space="preserve">Observação</t>
  </si>
  <si>
    <t xml:space="preserve">fonte ou saída</t>
  </si>
  <si>
    <t xml:space="preserve">lista</t>
  </si>
  <si>
    <t xml:space="preserve">do cabo até o destino</t>
  </si>
  <si>
    <t xml:space="preserve">Sim / Não</t>
  </si>
  <si>
    <t xml:space="preserve">etiqueta</t>
  </si>
  <si>
    <t xml:space="preserve">m</t>
  </si>
  <si>
    <t xml:space="preserve">nº ou código</t>
  </si>
  <si>
    <t xml:space="preserve">canal, caixa, amplificador</t>
  </si>
  <si>
    <t xml:space="preserve">Ex.</t>
  </si>
  <si>
    <t xml:space="preserve">Violão (captador sem pré)</t>
  </si>
  <si>
    <t xml:space="preserve">Instrumento</t>
  </si>
  <si>
    <t xml:space="preserve">Ativa</t>
  </si>
  <si>
    <t xml:space="preserve">Balanceada</t>
  </si>
  <si>
    <t xml:space="preserve">Sim</t>
  </si>
  <si>
    <t xml:space="preserve">M05</t>
  </si>
  <si>
    <t xml:space="preserve">Mesa canal 4</t>
  </si>
  <si>
    <t xml:space="preserve">Microfone</t>
  </si>
  <si>
    <t xml:space="preserve">OK</t>
  </si>
  <si>
    <t xml:space="preserve">Ligação correta</t>
  </si>
  <si>
    <t xml:space="preserve">Resumo automático</t>
  </si>
  <si>
    <t xml:space="preserve">Ligações listadas</t>
  </si>
  <si>
    <t xml:space="preserve">Ligações conferidas</t>
  </si>
  <si>
    <t xml:space="preserve">Corretas (OK)</t>
  </si>
  <si>
    <t xml:space="preserve">Com atenção</t>
  </si>
  <si>
    <t xml:space="preserve">Com erro</t>
  </si>
  <si>
    <t xml:space="preserve">Canais com phantom ligado</t>
  </si>
  <si>
    <t xml:space="preserve">Vias do multicabo em uso</t>
  </si>
  <si>
    <t xml:space="preserve">Direct boxes em uso</t>
  </si>
  <si>
    <t xml:space="preserve">Aviso</t>
  </si>
  <si>
    <t xml:space="preserve">Inventário de cabos — teste e situação</t>
  </si>
  <si>
    <t xml:space="preserve">Um cabo por linha, com a etiqueta que está nas duas pontas. Anote os dois testes e o estado físico.</t>
  </si>
  <si>
    <t xml:space="preserve">Local ou acervo</t>
  </si>
  <si>
    <t xml:space="preserve">Continuidade: no testador, cada contato chega ao seu par, sem curto e sem fio trocado.</t>
  </si>
  <si>
    <t xml:space="preserve">Movimento: com o cabo no testador, dobre e balance junto de cada conector. Nenhuma luz pode piscar.</t>
  </si>
  <si>
    <t xml:space="preserve">Data do teste</t>
  </si>
  <si>
    <t xml:space="preserve">Cabo em Reparar sai de circulação: marque com fita, guarde em outro lugar e anote o defeito.</t>
  </si>
  <si>
    <t xml:space="preserve">Etiqueta</t>
  </si>
  <si>
    <t xml:space="preserve">Tipo</t>
  </si>
  <si>
    <t xml:space="preserve">Conector A</t>
  </si>
  <si>
    <t xml:space="preserve">Conector B</t>
  </si>
  <si>
    <t xml:space="preserve">Continuidade</t>
  </si>
  <si>
    <t xml:space="preserve">Movimento</t>
  </si>
  <si>
    <t xml:space="preserve">Estado físico</t>
  </si>
  <si>
    <t xml:space="preserve">Defeito encontrado ou observação</t>
  </si>
  <si>
    <t xml:space="preserve">código</t>
  </si>
  <si>
    <t xml:space="preserve">OK / Falha</t>
  </si>
  <si>
    <t xml:space="preserve">Bom / Regular / Ruim</t>
  </si>
  <si>
    <t xml:space="preserve">dd/mm/aaaa</t>
  </si>
  <si>
    <t xml:space="preserve">M01</t>
  </si>
  <si>
    <t xml:space="preserve">Microfone (XLR)</t>
  </si>
  <si>
    <t xml:space="preserve">XLR fêmea</t>
  </si>
  <si>
    <t xml:space="preserve">XLR macho</t>
  </si>
  <si>
    <t xml:space="preserve">Bom</t>
  </si>
  <si>
    <t xml:space="preserve">Liberado</t>
  </si>
  <si>
    <t xml:space="preserve">Pode usar</t>
  </si>
  <si>
    <t xml:space="preserve">Cabos no inventário</t>
  </si>
  <si>
    <t xml:space="preserve">Liberados</t>
  </si>
  <si>
    <t xml:space="preserve">Para reparar</t>
  </si>
  <si>
    <t xml:space="preserve">Por testar</t>
  </si>
  <si>
    <t xml:space="preserve">Metros de cabo liberados</t>
  </si>
  <si>
    <t xml:space="preserve">Estoque por tipo: o que há e o que o evento pede</t>
  </si>
  <si>
    <t xml:space="preserve">No inventário</t>
  </si>
  <si>
    <t xml:space="preserve">Necessários</t>
  </si>
  <si>
    <t xml:space="preserve">Reserva</t>
  </si>
  <si>
    <t xml:space="preserve">Em Necessários, digite quantos cabos de cada tipo o evento pede. A reserva é o que sobra entre os liberados.</t>
  </si>
  <si>
    <t xml:space="preserve">Instrumento (P10)</t>
  </si>
  <si>
    <t xml:space="preserve">Linha balanceado</t>
  </si>
  <si>
    <t xml:space="preserve">Caixa (alto-falante)</t>
  </si>
  <si>
    <t xml:space="preserve">Adaptador ou Y</t>
  </si>
  <si>
    <t xml:space="preserve">Rede</t>
  </si>
  <si>
    <t xml:space="preserve">Multicabo</t>
  </si>
  <si>
    <t xml:space="preserve">Referência — níveis, conectores e cabos</t>
  </si>
  <si>
    <t xml:space="preserve">Valores de referência, para servir de ponto de partida. Confira o manual do seu equipamento.</t>
  </si>
  <si>
    <t xml:space="preserve">Os quatro níveis de sinal</t>
  </si>
  <si>
    <t xml:space="preserve">Nível</t>
  </si>
  <si>
    <t xml:space="preserve">Tamanho típico</t>
  </si>
  <si>
    <t xml:space="preserve">Quem entrega</t>
  </si>
  <si>
    <t xml:space="preserve">Onde entra e por que cabo</t>
  </si>
  <si>
    <t xml:space="preserve">−60 a −20 dBu (1 a 80 mV)</t>
  </si>
  <si>
    <t xml:space="preserve">Microfones, saída XLR da direct box</t>
  </si>
  <si>
    <t xml:space="preserve">Entrada de microfone. Cabo balanceado com XLR.</t>
  </si>
  <si>
    <t xml:space="preserve">−30 a −10 dBu, alta impedância</t>
  </si>
  <si>
    <t xml:space="preserve">Guitarra, baixo, violão com captador passivo</t>
  </si>
  <si>
    <t xml:space="preserve">Entrada de instrumento (Hi-Z), amplificador do músico ou direct box. Cabo P10 blindado, curto.</t>
  </si>
  <si>
    <t xml:space="preserve">Linha doméstica</t>
  </si>
  <si>
    <t xml:space="preserve">−10 dBV (0,3 V)</t>
  </si>
  <si>
    <t xml:space="preserve">Computador, celular, tocador, aparelhos com P2 ou RCA</t>
  </si>
  <si>
    <t xml:space="preserve">Entrada de linha, ou direct box. Cabo desbalanceado curto.</t>
  </si>
  <si>
    <t xml:space="preserve">Linha profissional</t>
  </si>
  <si>
    <t xml:space="preserve">+4 dBu (1,2 V)</t>
  </si>
  <si>
    <t xml:space="preserve">Saídas da mesa, processadores, muitos teclados e receptores</t>
  </si>
  <si>
    <t xml:space="preserve">Entrada de linha da mesa, da caixa ativa ou do amplificador. Cabo balanceado.</t>
  </si>
  <si>
    <t xml:space="preserve">Alto-falante</t>
  </si>
  <si>
    <t xml:space="preserve">dezenas de volts, vários ampères</t>
  </si>
  <si>
    <t xml:space="preserve">Só a saída do amplificador de potência</t>
  </si>
  <si>
    <t xml:space="preserve">Só a caixa passiva. Cabo de caixa: dois condutores grossos, sem malha.</t>
  </si>
  <si>
    <t xml:space="preserve">Conector por tipo de sinal</t>
  </si>
  <si>
    <t xml:space="preserve">Conector</t>
  </si>
  <si>
    <t xml:space="preserve">Contatos</t>
  </si>
  <si>
    <t xml:space="preserve">Sinal típico</t>
  </si>
  <si>
    <t xml:space="preserve">XLR</t>
  </si>
  <si>
    <t xml:space="preserve">1 malha, 2 positivo, 3 negativo</t>
  </si>
  <si>
    <t xml:space="preserve">Microfone ou linha, balanceado</t>
  </si>
  <si>
    <t xml:space="preserve">O sinal sai pelos pinos: saída é macho, entrada é fêmea. O phantom chega por ele.</t>
  </si>
  <si>
    <t xml:space="preserve">P10 TS</t>
  </si>
  <si>
    <t xml:space="preserve">ponta sinal, luva malha</t>
  </si>
  <si>
    <t xml:space="preserve">Instrumento ou linha, desbalanceado</t>
  </si>
  <si>
    <t xml:space="preserve">Trechos curtos. Em caixa passiva, só com cabo de caixa.</t>
  </si>
  <si>
    <t xml:space="preserve">P10 TRS</t>
  </si>
  <si>
    <t xml:space="preserve">ponta, anel, luva</t>
  </si>
  <si>
    <t xml:space="preserve">Linha balanceada; fone estéreo; insert</t>
  </si>
  <si>
    <t xml:space="preserve">O mesmo plugue serve a três usos. Saída de fone estéreo não se liga a entrada balanceada com cabo TRS comum.</t>
  </si>
  <si>
    <t xml:space="preserve">P2 (3,5 mm)</t>
  </si>
  <si>
    <t xml:space="preserve">ponta esquerdo, anel direito, luva comum</t>
  </si>
  <si>
    <t xml:space="preserve">Linha doméstica, estéreo</t>
  </si>
  <si>
    <t xml:space="preserve">Solta com facilidade: prenda o cabo. Use cabo em Y para dois canais da mesa.</t>
  </si>
  <si>
    <t xml:space="preserve">RCA</t>
  </si>
  <si>
    <t xml:space="preserve">pino central sinal, anel externo malha</t>
  </si>
  <si>
    <t xml:space="preserve">Linha doméstica, em par</t>
  </si>
  <si>
    <t xml:space="preserve">Branco: esquerdo. Vermelho: direito. Trechos curtos.</t>
  </si>
  <si>
    <t xml:space="preserve">Speakon</t>
  </si>
  <si>
    <t xml:space="preserve">1+ e 1−; 2+ e 2− na segunda via</t>
  </si>
  <si>
    <t xml:space="preserve">Ligue e desligue com o amplificador desligado. Confira no manual qual par a caixa usa.</t>
  </si>
  <si>
    <t xml:space="preserve">Combo</t>
  </si>
  <si>
    <t xml:space="preserve">XLR e P10 no mesmo furo</t>
  </si>
  <si>
    <t xml:space="preserve">Conforme o plugue</t>
  </si>
  <si>
    <t xml:space="preserve">Em geral, XLR vai ao pré de microfone e P10 entra como linha. Confira o manual.</t>
  </si>
  <si>
    <t xml:space="preserve">Cabo por trecho</t>
  </si>
  <si>
    <t xml:space="preserve">Trecho</t>
  </si>
  <si>
    <t xml:space="preserve">Comprimento prático</t>
  </si>
  <si>
    <t xml:space="preserve">Microfone até a caixa de palco ou a mesa</t>
  </si>
  <si>
    <t xml:space="preserve">Balanceado, XLR</t>
  </si>
  <si>
    <t xml:space="preserve">dezenas de metros</t>
  </si>
  <si>
    <t xml:space="preserve">É o menor sinal do sistema: cabo inteiro e bem blindado.</t>
  </si>
  <si>
    <t xml:space="preserve">Instrumento até a direct box ou o amplificador</t>
  </si>
  <si>
    <t xml:space="preserve">Blindado desbalanceado, P10 TS</t>
  </si>
  <si>
    <t xml:space="preserve">até 5 ou 6 m</t>
  </si>
  <si>
    <t xml:space="preserve">Mais longo, perde agudos e capta ruído.</t>
  </si>
  <si>
    <t xml:space="preserve">Teclado ou computador até a direct box ou a mesa</t>
  </si>
  <si>
    <t xml:space="preserve">Blindado desbalanceado</t>
  </si>
  <si>
    <t xml:space="preserve">Se a mesa está longe, direct box ao lado da fonte.</t>
  </si>
  <si>
    <t xml:space="preserve">Direct box até a mesa</t>
  </si>
  <si>
    <t xml:space="preserve">Entra em entrada de microfone.</t>
  </si>
  <si>
    <t xml:space="preserve">Mesa até caixa ativa, amplificador ou processador</t>
  </si>
  <si>
    <t xml:space="preserve">Balanceado, XLR ou P10 TRS</t>
  </si>
  <si>
    <t xml:space="preserve">Nível de linha. Pode ir pelos retornos do multicabo.</t>
  </si>
  <si>
    <t xml:space="preserve">Amplificador até a caixa passiva</t>
  </si>
  <si>
    <t xml:space="preserve">Cabo de caixa, sem malha</t>
  </si>
  <si>
    <t xml:space="preserve">o mais curto que der</t>
  </si>
  <si>
    <t xml:space="preserve">A bitola depende do comprimento e da impedância: veja o estudo Caixas, amplificação e PA.</t>
  </si>
  <si>
    <t xml:space="preserve">Caixa de palco digital até a mesa</t>
  </si>
  <si>
    <t xml:space="preserve">Cabo de rede indicado pelo fabricante, ou fibra</t>
  </si>
  <si>
    <t xml:space="preserve">em geral até cerca de 100 m</t>
  </si>
  <si>
    <t xml:space="preserve">O limite depende do sistema e do cabo. Tenha um cabo reserva testado.</t>
  </si>
  <si>
    <t xml:space="preserve">Phantom (+48 V): quem precisa</t>
  </si>
  <si>
    <t xml:space="preserve">O que está no canal</t>
  </si>
  <si>
    <t xml:space="preserve">Por quê</t>
  </si>
  <si>
    <t xml:space="preserve">Cuidado</t>
  </si>
  <si>
    <t xml:space="preserve">Microfone condensador com fio</t>
  </si>
  <si>
    <t xml:space="preserve">ligado</t>
  </si>
  <si>
    <t xml:space="preserve">Alimenta o circuito interno</t>
  </si>
  <si>
    <t xml:space="preserve">Ligue com o canal em mute e espere alguns segundos.</t>
  </si>
  <si>
    <t xml:space="preserve">Direct box ativa</t>
  </si>
  <si>
    <t xml:space="preserve">Alimenta o circuito da DI</t>
  </si>
  <si>
    <t xml:space="preserve">Alguns modelos aceitam bateria.</t>
  </si>
  <si>
    <t xml:space="preserve">Microfone dinâmico em cabo balanceado</t>
  </si>
  <si>
    <t xml:space="preserve">tanto faz</t>
  </si>
  <si>
    <t xml:space="preserve">Não usa a alimentação</t>
  </si>
  <si>
    <t xml:space="preserve">Não é prejudicado se o cabo estiver bom. Prefira desligado.</t>
  </si>
  <si>
    <t xml:space="preserve">Direct box passiva</t>
  </si>
  <si>
    <t xml:space="preserve">O transformador não usa nem repassa</t>
  </si>
  <si>
    <t xml:space="preserve">–</t>
  </si>
  <si>
    <t xml:space="preserve">Receptor sem fio, microfone de fita</t>
  </si>
  <si>
    <t xml:space="preserve">desligado</t>
  </si>
  <si>
    <t xml:space="preserve">Não precisam</t>
  </si>
  <si>
    <t xml:space="preserve">O de fita passivo pode ser danificado se houver defeito no cabo.</t>
  </si>
  <si>
    <t xml:space="preserve">Fonte desbalanceada com cabo adaptador até o XLR</t>
  </si>
  <si>
    <t xml:space="preserve">A tensão chega à saída do aparelho</t>
  </si>
  <si>
    <t xml:space="preserve">Use direct box.</t>
  </si>
  <si>
    <t xml:space="preserve">Ruído: o que se ouve e onde procurar</t>
  </si>
  <si>
    <t xml:space="preserve">O que se ouve</t>
  </si>
  <si>
    <t xml:space="preserve">Causa provável</t>
  </si>
  <si>
    <t xml:space="preserve">Onde procurar</t>
  </si>
  <si>
    <t xml:space="preserve">Zumbido grave e contínuo</t>
  </si>
  <si>
    <t xml:space="preserve">Laço de terra</t>
  </si>
  <si>
    <t xml:space="preserve">Aparelho ligado em outra tomada, por cabo desbalanceado</t>
  </si>
  <si>
    <t xml:space="preserve">Mesmo ponto de energia, ligação balanceada, direct box com ground lift. Nunca retire o pino de terra.</t>
  </si>
  <si>
    <t xml:space="preserve">Zunido áspero, que muda com a luz</t>
  </si>
  <si>
    <t xml:space="preserve">Interferência</t>
  </si>
  <si>
    <t xml:space="preserve">Cabo de áudio junto de cabo de energia ou de dimmer</t>
  </si>
  <si>
    <t xml:space="preserve">Separe os caminhos. Cruze em ângulo reto. Use ligação balanceada.</t>
  </si>
  <si>
    <t xml:space="preserve">Estalos, som que some e volta</t>
  </si>
  <si>
    <t xml:space="preserve">Mau contato</t>
  </si>
  <si>
    <t xml:space="preserve">Cabo ou conector do canal</t>
  </si>
  <si>
    <t xml:space="preserve">Troque o cabo. Teste, marque e tire de uso.</t>
  </si>
  <si>
    <t xml:space="preserve">Chiado contínuo</t>
  </si>
  <si>
    <t xml:space="preserve">Sinal fraco em alguma etapa</t>
  </si>
  <si>
    <t xml:space="preserve">Entrada errada, pad esquecido, ganho baixo</t>
  </si>
  <si>
    <t xml:space="preserve">Confira a entrada e o nível: veja o estudo Ganho e fader.</t>
  </si>
  <si>
    <t xml:space="preserve">Canal de condensador mudo</t>
  </si>
  <si>
    <t xml:space="preserve">Chave de +48 V desligada ou malha do cabo partida</t>
  </si>
  <si>
    <t xml:space="preserve">Ligue o phantom com o canal em mute. Se continuar, troque o cabo.</t>
  </si>
  <si>
    <t xml:space="preserve">Faixas típicas e regras práticas deste material. Mudam com o equipamento, com o cabo e com a interferência do local.</t>
  </si>
  <si>
    <t xml:space="preserve">Checklist de cabos e ligações</t>
  </si>
  <si>
    <t xml:space="preserve">Confira na montagem, antes do ajuste de ganho. Escolha a situação de cada item na lista suspensa.</t>
  </si>
  <si>
    <t xml:space="preserve">Grupo</t>
  </si>
  <si>
    <t xml:space="preserve">Item</t>
  </si>
  <si>
    <t xml:space="preserve">Cabos</t>
  </si>
  <si>
    <t xml:space="preserve">Cada cabo em uso passou nos testes de continuidade e de movimento e tem etiqueta nas duas pontas.</t>
  </si>
  <si>
    <t xml:space="preserve">Há cabos de reserva testados, pelo menos um de cada tipo.</t>
  </si>
  <si>
    <t xml:space="preserve">Ligações</t>
  </si>
  <si>
    <t xml:space="preserve">Cada fonte está na entrada do seu nível: microfone, instrumento ou linha.</t>
  </si>
  <si>
    <t xml:space="preserve">Instrumentos e teclados longe da mesa passam por direct box e seguem em cabo balanceado.</t>
  </si>
  <si>
    <t xml:space="preserve">Nenhum cabo desbalanceado tem mais de uns 6 metros.</t>
  </si>
  <si>
    <t xml:space="preserve">As caixas passivas estão ligadas com cabo de caixa, e nenhuma saída de amplificador vai para a mesa ou para o multicabo.</t>
  </si>
  <si>
    <t xml:space="preserve">O phantom está ligado só nos canais que precisam dele: microfone condensador e direct box ativa.</t>
  </si>
  <si>
    <t xml:space="preserve">O phantom foi ligado com os canais em mute, e nenhuma fonte desbalanceada recebe phantom.</t>
  </si>
  <si>
    <t xml:space="preserve">Ruído</t>
  </si>
  <si>
    <t xml:space="preserve">Todo o áudio está ligado no mesmo ponto de energia, com o pino de terra em todos os plugues.</t>
  </si>
  <si>
    <t xml:space="preserve">Os cabos de áudio passam longe dos cabos de energia e de iluminação, ou cruzam em ângulo reto.</t>
  </si>
  <si>
    <t xml:space="preserve">Com os canais abertos e sem ninguém tocando, não há zumbido nem estalos nas caixas.</t>
  </si>
  <si>
    <t xml:space="preserve">Organização</t>
  </si>
  <si>
    <t xml:space="preserve">O mapa de ligações está preenchido e confere com as vias do multicabo, e os cabos no chão estão presos.</t>
  </si>
  <si>
    <t xml:space="preserve">Itens respondidos</t>
  </si>
  <si>
    <t xml:space="preserve">Percentual atendido (Parcial vale metade)</t>
  </si>
  <si>
    <t xml:space="preserve">Exemplo preenchido, para consulta. Use a aba Mapa de ligações para o seu evento.</t>
  </si>
  <si>
    <t xml:space="preserve">Culto de domingo, 19 h</t>
  </si>
  <si>
    <t xml:space="preserve">Igreja de 200 lugares</t>
  </si>
  <si>
    <t xml:space="preserve">Operador de som da escala</t>
  </si>
  <si>
    <t xml:space="preserve">As ligações como estavam antes da correção. As colunas Nível que chega, Situação e O que fazer são calculadas.</t>
  </si>
  <si>
    <t xml:space="preserve">Voz do pastor (mic dinâmico de mão)</t>
  </si>
  <si>
    <t xml:space="preserve">Não</t>
  </si>
  <si>
    <t xml:space="preserve">Mesa canal 1</t>
  </si>
  <si>
    <t xml:space="preserve">Voz da cantora (mic dinâmico de mão)</t>
  </si>
  <si>
    <t xml:space="preserve">M02</t>
  </si>
  <si>
    <t xml:space="preserve">Mesa canal 2</t>
  </si>
  <si>
    <t xml:space="preserve">Coral (condensador suspenso)</t>
  </si>
  <si>
    <t xml:space="preserve">M03</t>
  </si>
  <si>
    <t xml:space="preserve">Mesa canal 3</t>
  </si>
  <si>
    <t xml:space="preserve">Coral mudo.</t>
  </si>
  <si>
    <t xml:space="preserve">Desbalanceada</t>
  </si>
  <si>
    <t xml:space="preserve">P03</t>
  </si>
  <si>
    <t xml:space="preserve">Cabo P10–XLR. Som fraco e sem brilho.</t>
  </si>
  <si>
    <t xml:space="preserve">Baixo (captador passivo)</t>
  </si>
  <si>
    <t xml:space="preserve">Mesa canal 5</t>
  </si>
  <si>
    <t xml:space="preserve">P10 de 2 m até a DI.</t>
  </si>
  <si>
    <t xml:space="preserve">Teclado E</t>
  </si>
  <si>
    <t xml:space="preserve">Linha</t>
  </si>
  <si>
    <t xml:space="preserve">P04</t>
  </si>
  <si>
    <t xml:space="preserve">Mesa canal 6</t>
  </si>
  <si>
    <t xml:space="preserve">Cabo P10–XLR. Som distorcido.</t>
  </si>
  <si>
    <t xml:space="preserve">Teclado D</t>
  </si>
  <si>
    <t xml:space="preserve">P05</t>
  </si>
  <si>
    <t xml:space="preserve">Mesa canal 7</t>
  </si>
  <si>
    <t xml:space="preserve">Bumbo (mic dinâmico)</t>
  </si>
  <si>
    <t xml:space="preserve">M06</t>
  </si>
  <si>
    <t xml:space="preserve">Mesa canal 8</t>
  </si>
  <si>
    <t xml:space="preserve">Caixa da bateria (mic dinâmico)</t>
  </si>
  <si>
    <t xml:space="preserve">M08</t>
  </si>
  <si>
    <t xml:space="preserve">Mesa canal 9</t>
  </si>
  <si>
    <t xml:space="preserve">Computador (som dos vídeos)</t>
  </si>
  <si>
    <t xml:space="preserve">Y01</t>
  </si>
  <si>
    <t xml:space="preserve">Mesa canais 11 e 12</t>
  </si>
  <si>
    <t xml:space="preserve">Cabo em Y: P2 para dois P10. Fica ao lado da mesa.</t>
  </si>
  <si>
    <t xml:space="preserve">Mesa: saída principal E</t>
  </si>
  <si>
    <t xml:space="preserve">L01</t>
  </si>
  <si>
    <t xml:space="preserve">R1</t>
  </si>
  <si>
    <t xml:space="preserve">Caixa ativa esquerda</t>
  </si>
  <si>
    <t xml:space="preserve">Mesa: saída principal D</t>
  </si>
  <si>
    <t xml:space="preserve">L02</t>
  </si>
  <si>
    <t xml:space="preserve">R2</t>
  </si>
  <si>
    <t xml:space="preserve">Caixa ativa direita</t>
  </si>
  <si>
    <t xml:space="preserve">Mesa: auxiliar 1 (retorno)</t>
  </si>
  <si>
    <t xml:space="preserve">L03</t>
  </si>
  <si>
    <t xml:space="preserve">R3</t>
  </si>
  <si>
    <t xml:space="preserve">Amplificador de retorno</t>
  </si>
  <si>
    <t xml:space="preserve">Amplificador de retorno: saída</t>
  </si>
  <si>
    <t xml:space="preserve">P06</t>
  </si>
  <si>
    <t xml:space="preserve">Retorno de chão passivo</t>
  </si>
  <si>
    <t xml:space="preserve">Caixa passiva</t>
  </si>
  <si>
    <t xml:space="preserve">Cabo de instrumento. Som fraco, cabo quente.</t>
  </si>
  <si>
    <t xml:space="preserve">O que foi corrigido</t>
  </si>
  <si>
    <t xml:space="preserve">O que foi feito</t>
  </si>
  <si>
    <t xml:space="preserve">Situação depois</t>
  </si>
  <si>
    <t xml:space="preserve">Phantom ligado no canal 3, com o canal em mute.</t>
  </si>
  <si>
    <t xml:space="preserve">DI ativa ao lado do músico: P10 de 3 m até a DI e XLR até a via 4. Phantom ligado no canal 4.</t>
  </si>
  <si>
    <t xml:space="preserve">6 e 7</t>
  </si>
  <si>
    <t xml:space="preserve">Phantom desligado nos canais 6 e 7. DI estéreo passiva ao lado do teclado e dois cabos XLR até as vias 6 e 7.</t>
  </si>
  <si>
    <t xml:space="preserve">14</t>
  </si>
  <si>
    <t xml:space="preserve">Cabo de instrumento trocado por cabo de caixa de 2 × 2,5 mm².</t>
  </si>
  <si>
    <t xml:space="preserve">Todas</t>
  </si>
  <si>
    <t xml:space="preserve">Ajuste de ganho feito só depois da correção das ligações.</t>
  </si>
  <si>
    <t xml:space="preserve">Exemplo preenchido, para consulta. Use a aba Inventário de cabos para o seu acervo.</t>
  </si>
  <si>
    <t xml:space="preserve">Acervo da equipe de som</t>
  </si>
  <si>
    <t xml:space="preserve">Operador de som do evento</t>
  </si>
  <si>
    <t xml:space="preserve">Os dez cabos do evento, testados na desmontagem. As colunas Situação e O que fazer são calculadas.</t>
  </si>
  <si>
    <t xml:space="preserve">Regular</t>
  </si>
  <si>
    <t xml:space="preserve">Capa com marcas de pisão. Observar.</t>
  </si>
  <si>
    <t xml:space="preserve">M04</t>
  </si>
  <si>
    <t xml:space="preserve">Falha</t>
  </si>
  <si>
    <t xml:space="preserve">Estalos ao dobrar junto ao XLR fêmea. Era o cabo do apresentador.</t>
  </si>
  <si>
    <t xml:space="preserve">M07</t>
  </si>
  <si>
    <t xml:space="preserve">Pino 1 aberto: malha partida.</t>
  </si>
  <si>
    <t xml:space="preserve">P01</t>
  </si>
  <si>
    <t xml:space="preserve">P02</t>
  </si>
  <si>
    <t xml:space="preserve">Ruim</t>
  </si>
  <si>
    <t xml:space="preserve">Capa rachada, com a malha à mostra.</t>
  </si>
  <si>
    <t xml:space="preserve">C01</t>
  </si>
  <si>
    <t xml:space="preserve">C02</t>
  </si>
  <si>
    <t xml:space="preserve">Ficou montado no local. Testar na desmontagem.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</si>
</sst>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0"/>
    <numFmt numFmtId="168" formatCode="\+0;\-0;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993300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993366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31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Q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50"/>
    <col collapsed="false" customWidth="true" hidden="false" outlineLevel="0" max="17" min="17" style="0" width="34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62</v>
      </c>
      <c r="C4" s="4"/>
      <c r="D4" s="5"/>
      <c r="E4" s="5"/>
      <c r="F4" s="5"/>
      <c r="G4" s="5"/>
      <c r="H4" s="5"/>
      <c r="I4" s="4" t="s">
        <v>63</v>
      </c>
      <c r="J4" s="4"/>
      <c r="K4" s="4"/>
      <c r="L4" s="4"/>
      <c r="M4" s="9" t="n">
        <v>6</v>
      </c>
      <c r="N4" s="10" t="s">
        <v>64</v>
      </c>
      <c r="O4" s="10"/>
      <c r="P4" s="10"/>
      <c r="Q4" s="10"/>
    </row>
    <row r="5" customFormat="false" ht="21.75" hidden="false" customHeight="true" outlineLevel="0" collapsed="false">
      <c r="B5" s="4" t="s">
        <v>65</v>
      </c>
      <c r="C5" s="4"/>
      <c r="D5" s="5"/>
      <c r="E5" s="5"/>
      <c r="F5" s="5"/>
      <c r="G5" s="5"/>
      <c r="H5" s="5"/>
      <c r="I5" s="10" t="s">
        <v>66</v>
      </c>
      <c r="J5" s="10"/>
      <c r="K5" s="10"/>
      <c r="L5" s="10"/>
      <c r="M5" s="10"/>
      <c r="N5" s="10"/>
      <c r="O5" s="10"/>
      <c r="P5" s="10"/>
      <c r="Q5" s="10"/>
    </row>
    <row r="6" customFormat="false" ht="21.75" hidden="false" customHeight="true" outlineLevel="0" collapsed="false">
      <c r="B6" s="4" t="s">
        <v>67</v>
      </c>
      <c r="C6" s="4"/>
      <c r="D6" s="11"/>
      <c r="E6" s="11"/>
      <c r="F6" s="11"/>
      <c r="G6" s="11"/>
      <c r="H6" s="11"/>
      <c r="I6" s="10" t="s">
        <v>68</v>
      </c>
      <c r="J6" s="10"/>
      <c r="K6" s="10"/>
      <c r="L6" s="10"/>
      <c r="M6" s="10"/>
      <c r="N6" s="10"/>
      <c r="O6" s="10"/>
      <c r="P6" s="10"/>
      <c r="Q6" s="10"/>
    </row>
    <row r="7" customFormat="false" ht="21.75" hidden="false" customHeight="true" outlineLevel="0" collapsed="false">
      <c r="B7" s="4" t="s">
        <v>69</v>
      </c>
      <c r="C7" s="4"/>
      <c r="D7" s="5"/>
      <c r="E7" s="5"/>
      <c r="F7" s="5"/>
      <c r="G7" s="5"/>
      <c r="H7" s="5"/>
      <c r="I7" s="10" t="s">
        <v>70</v>
      </c>
      <c r="J7" s="10"/>
      <c r="K7" s="10"/>
      <c r="L7" s="10"/>
      <c r="M7" s="10"/>
      <c r="N7" s="10"/>
      <c r="O7" s="10"/>
      <c r="P7" s="10"/>
      <c r="Q7" s="10"/>
    </row>
    <row r="9" customFormat="false" ht="21.75" hidden="false" customHeight="true" outlineLevel="0" collapsed="false">
      <c r="B9" s="12" t="s">
        <v>71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customFormat="false" ht="30" hidden="false" customHeight="true" outlineLevel="0" collapsed="false">
      <c r="B10" s="13" t="s">
        <v>72</v>
      </c>
      <c r="C10" s="13" t="s">
        <v>73</v>
      </c>
      <c r="D10" s="14" t="s">
        <v>74</v>
      </c>
      <c r="E10" s="14" t="s">
        <v>75</v>
      </c>
      <c r="F10" s="14" t="s">
        <v>76</v>
      </c>
      <c r="G10" s="14" t="s">
        <v>77</v>
      </c>
      <c r="H10" s="13" t="s">
        <v>78</v>
      </c>
      <c r="I10" s="13" t="s">
        <v>79</v>
      </c>
      <c r="J10" s="13" t="s">
        <v>80</v>
      </c>
      <c r="K10" s="15" t="s">
        <v>81</v>
      </c>
      <c r="L10" s="15" t="s">
        <v>82</v>
      </c>
      <c r="M10" s="15" t="s">
        <v>83</v>
      </c>
      <c r="N10" s="16" t="s">
        <v>44</v>
      </c>
      <c r="O10" s="16" t="s">
        <v>84</v>
      </c>
      <c r="P10" s="16" t="s">
        <v>85</v>
      </c>
      <c r="Q10" s="13" t="s">
        <v>86</v>
      </c>
    </row>
    <row r="11" customFormat="false" ht="27" hidden="false" customHeight="true" outlineLevel="0" collapsed="false">
      <c r="B11" s="17"/>
      <c r="C11" s="17" t="s">
        <v>87</v>
      </c>
      <c r="D11" s="17" t="s">
        <v>88</v>
      </c>
      <c r="E11" s="17" t="s">
        <v>88</v>
      </c>
      <c r="F11" s="17" t="s">
        <v>89</v>
      </c>
      <c r="G11" s="17" t="s">
        <v>90</v>
      </c>
      <c r="H11" s="17" t="s">
        <v>91</v>
      </c>
      <c r="I11" s="17" t="s">
        <v>92</v>
      </c>
      <c r="J11" s="17" t="s">
        <v>93</v>
      </c>
      <c r="K11" s="17" t="s">
        <v>94</v>
      </c>
      <c r="L11" s="17" t="s">
        <v>88</v>
      </c>
      <c r="M11" s="17" t="s">
        <v>90</v>
      </c>
      <c r="N11" s="17"/>
      <c r="O11" s="17"/>
      <c r="P11" s="17"/>
      <c r="Q11" s="17"/>
    </row>
    <row r="12" customFormat="false" ht="24" hidden="false" customHeight="true" outlineLevel="0" collapsed="false">
      <c r="B12" s="17" t="s">
        <v>95</v>
      </c>
      <c r="C12" s="10" t="s">
        <v>96</v>
      </c>
      <c r="D12" s="17" t="s">
        <v>97</v>
      </c>
      <c r="E12" s="17" t="s">
        <v>98</v>
      </c>
      <c r="F12" s="17" t="s">
        <v>99</v>
      </c>
      <c r="G12" s="17" t="s">
        <v>100</v>
      </c>
      <c r="H12" s="17" t="s">
        <v>101</v>
      </c>
      <c r="I12" s="17" t="n">
        <v>10</v>
      </c>
      <c r="J12" s="17" t="n">
        <v>4</v>
      </c>
      <c r="K12" s="10" t="s">
        <v>102</v>
      </c>
      <c r="L12" s="17" t="s">
        <v>103</v>
      </c>
      <c r="M12" s="17" t="s">
        <v>100</v>
      </c>
      <c r="N12" s="17" t="s">
        <v>103</v>
      </c>
      <c r="O12" s="17" t="s">
        <v>104</v>
      </c>
      <c r="P12" s="10" t="s">
        <v>105</v>
      </c>
      <c r="Q12" s="10"/>
    </row>
    <row r="13" customFormat="false" ht="21.75" hidden="false" customHeight="true" outlineLevel="0" collapsed="false">
      <c r="B13" s="18" t="n">
        <v>1</v>
      </c>
      <c r="C13" s="5"/>
      <c r="D13" s="9"/>
      <c r="E13" s="9"/>
      <c r="F13" s="9"/>
      <c r="G13" s="9"/>
      <c r="H13" s="9"/>
      <c r="I13" s="9"/>
      <c r="J13" s="9"/>
      <c r="K13" s="5"/>
      <c r="L13" s="9"/>
      <c r="M13" s="9"/>
      <c r="N13" s="19" t="str">
        <f aca="false">IF(D13="","",IF(OR(E13="Passiva",E13="Ativa"),"Microfone",D13))</f>
        <v/>
      </c>
      <c r="O13" s="20" t="str">
        <f aca="false">IF(OR(D13="",L13=""),"",IF(AND(N13="Alto-falante",L13&lt;&gt;"Caixa passiva"),"Erro",IF(AND(L13="Caixa passiva",N13&lt;&gt;"Alto-falante"),"Erro",IF(AND(N13="Alto-falante",F13&lt;&gt;"Cabo de caixa"),"Erro",IF(AND(F13="Cabo de caixa",N13&lt;&gt;"Alto-falante"),"Erro",IF(AND(M13="Sim",F13="Desbalanceada"),"Erro",IF(AND(N13="Instrumento",L13&lt;&gt;"Instrumento"),"Atenção",IF(AND(N13="Linha",L13="Microfone"),"Atenção",IF(AND(N13="Linha",L13="Instrumento"),"Atenção",IF(AND(N13="Microfone",L13&lt;&gt;"Microfone"),"Atenção",IF(AND(G13="Sim",M13&lt;&gt;"Sim"),"Atenção",IF(AND(F13="Desbalanceada",I13&lt;&gt;"",$M$4&lt;&gt;"",I13&gt;$M$4),"Atenção",IF(AND(J13&lt;&gt;"",COUNTIF($J$13:$J$44,J13)&gt;1),"Atenção",IF(AND(K13&lt;&gt;"",COUNTIF($K$13:$K$44,K13)&gt;1),"Atenção",IF(F13="","Atenção","OK")))))))))))))))</f>
        <v/>
      </c>
      <c r="P13" s="21" t="str">
        <f aca="false">IF(OR(D13="",L13=""),"",IF(AND(N13="Alto-falante",L13&lt;&gt;"Caixa passiva"),"Saída de amplificador só pode ir para caixa passiva",IF(AND(L13="Caixa passiva",N13&lt;&gt;"Alto-falante"),"Caixa passiva precisa de um amplificador antes dela",IF(AND(N13="Alto-falante",F13&lt;&gt;"Cabo de caixa"),"Use cabo de caixa: dois condutores grossos, sem malha",IF(AND(F13="Cabo de caixa",N13&lt;&gt;"Alto-falante"),"Cabo de caixa não tem malha: use cabo blindado",IF(AND(M13="Sim",F13="Desbalanceada"),"Desligue o phantom ou passe a fonte por direct box",IF(AND(N13="Instrumento",L13&lt;&gt;"Instrumento"),"Use direct box ou a entrada de instrumento (Hi-Z)",IF(AND(N13="Linha",L13="Microfone"),"Use a entrada de linha, ou direct box na entrada de microfone",IF(AND(N13="Linha",L13="Instrumento"),"Use a entrada de linha",IF(AND(N13="Microfone",L13&lt;&gt;"Microfone"),"Sinal fraco para esta entrada: use a entrada de microfone",IF(AND(G13="Sim",M13&lt;&gt;"Sim"),"Ligue o phantom deste canal, com o canal em mute",IF(AND(F13="Desbalanceada",I13&lt;&gt;"",$M$4&lt;&gt;"",I13&gt;$M$4),"Cabo desbalanceado longo: use direct box e cabo balanceado",IF(AND(J13&lt;&gt;"",COUNTIF($J$13:$J$44,J13)&gt;1),"Via do multicabo repetida: confira",IF(AND(K13&lt;&gt;"",COUNTIF($K$13:$K$44,K13)&gt;1),"Destino repetido: confira",IF(F13="","Informe o tipo de ligação do cabo","Ligação correta")))))))))))))))</f>
        <v/>
      </c>
      <c r="Q13" s="5"/>
    </row>
    <row r="14" customFormat="false" ht="21.75" hidden="false" customHeight="true" outlineLevel="0" collapsed="false">
      <c r="B14" s="18" t="n">
        <v>2</v>
      </c>
      <c r="C14" s="5"/>
      <c r="D14" s="9"/>
      <c r="E14" s="9"/>
      <c r="F14" s="9"/>
      <c r="G14" s="9"/>
      <c r="H14" s="9"/>
      <c r="I14" s="9"/>
      <c r="J14" s="9"/>
      <c r="K14" s="5"/>
      <c r="L14" s="9"/>
      <c r="M14" s="9"/>
      <c r="N14" s="19" t="str">
        <f aca="false">IF(D14="","",IF(OR(E14="Passiva",E14="Ativa"),"Microfone",D14))</f>
        <v/>
      </c>
      <c r="O14" s="20" t="str">
        <f aca="false">IF(OR(D14="",L14=""),"",IF(AND(N14="Alto-falante",L14&lt;&gt;"Caixa passiva"),"Erro",IF(AND(L14="Caixa passiva",N14&lt;&gt;"Alto-falante"),"Erro",IF(AND(N14="Alto-falante",F14&lt;&gt;"Cabo de caixa"),"Erro",IF(AND(F14="Cabo de caixa",N14&lt;&gt;"Alto-falante"),"Erro",IF(AND(M14="Sim",F14="Desbalanceada"),"Erro",IF(AND(N14="Instrumento",L14&lt;&gt;"Instrumento"),"Atenção",IF(AND(N14="Linha",L14="Microfone"),"Atenção",IF(AND(N14="Linha",L14="Instrumento"),"Atenção",IF(AND(N14="Microfone",L14&lt;&gt;"Microfone"),"Atenção",IF(AND(G14="Sim",M14&lt;&gt;"Sim"),"Atenção",IF(AND(F14="Desbalanceada",I14&lt;&gt;"",$M$4&lt;&gt;"",I14&gt;$M$4),"Atenção",IF(AND(J14&lt;&gt;"",COUNTIF($J$13:$J$44,J14)&gt;1),"Atenção",IF(AND(K14&lt;&gt;"",COUNTIF($K$13:$K$44,K14)&gt;1),"Atenção",IF(F14="","Atenção","OK")))))))))))))))</f>
        <v/>
      </c>
      <c r="P14" s="21" t="str">
        <f aca="false">IF(OR(D14="",L14=""),"",IF(AND(N14="Alto-falante",L14&lt;&gt;"Caixa passiva"),"Saída de amplificador só pode ir para caixa passiva",IF(AND(L14="Caixa passiva",N14&lt;&gt;"Alto-falante"),"Caixa passiva precisa de um amplificador antes dela",IF(AND(N14="Alto-falante",F14&lt;&gt;"Cabo de caixa"),"Use cabo de caixa: dois condutores grossos, sem malha",IF(AND(F14="Cabo de caixa",N14&lt;&gt;"Alto-falante"),"Cabo de caixa não tem malha: use cabo blindado",IF(AND(M14="Sim",F14="Desbalanceada"),"Desligue o phantom ou passe a fonte por direct box",IF(AND(N14="Instrumento",L14&lt;&gt;"Instrumento"),"Use direct box ou a entrada de instrumento (Hi-Z)",IF(AND(N14="Linha",L14="Microfone"),"Use a entrada de linha, ou direct box na entrada de microfone",IF(AND(N14="Linha",L14="Instrumento"),"Use a entrada de linha",IF(AND(N14="Microfone",L14&lt;&gt;"Microfone"),"Sinal fraco para esta entrada: use a entrada de microfone",IF(AND(G14="Sim",M14&lt;&gt;"Sim"),"Ligue o phantom deste canal, com o canal em mute",IF(AND(F14="Desbalanceada",I14&lt;&gt;"",$M$4&lt;&gt;"",I14&gt;$M$4),"Cabo desbalanceado longo: use direct box e cabo balanceado",IF(AND(J14&lt;&gt;"",COUNTIF($J$13:$J$44,J14)&gt;1),"Via do multicabo repetida: confira",IF(AND(K14&lt;&gt;"",COUNTIF($K$13:$K$44,K14)&gt;1),"Destino repetido: confira",IF(F14="","Informe o tipo de ligação do cabo","Ligação correta")))))))))))))))</f>
        <v/>
      </c>
      <c r="Q14" s="5"/>
    </row>
    <row r="15" customFormat="false" ht="21.75" hidden="false" customHeight="true" outlineLevel="0" collapsed="false">
      <c r="B15" s="18" t="n">
        <v>3</v>
      </c>
      <c r="C15" s="5"/>
      <c r="D15" s="9"/>
      <c r="E15" s="9"/>
      <c r="F15" s="9"/>
      <c r="G15" s="9"/>
      <c r="H15" s="9"/>
      <c r="I15" s="9"/>
      <c r="J15" s="9"/>
      <c r="K15" s="5"/>
      <c r="L15" s="9"/>
      <c r="M15" s="9"/>
      <c r="N15" s="19" t="str">
        <f aca="false">IF(D15="","",IF(OR(E15="Passiva",E15="Ativa"),"Microfone",D15))</f>
        <v/>
      </c>
      <c r="O15" s="20" t="str">
        <f aca="false">IF(OR(D15="",L15=""),"",IF(AND(N15="Alto-falante",L15&lt;&gt;"Caixa passiva"),"Erro",IF(AND(L15="Caixa passiva",N15&lt;&gt;"Alto-falante"),"Erro",IF(AND(N15="Alto-falante",F15&lt;&gt;"Cabo de caixa"),"Erro",IF(AND(F15="Cabo de caixa",N15&lt;&gt;"Alto-falante"),"Erro",IF(AND(M15="Sim",F15="Desbalanceada"),"Erro",IF(AND(N15="Instrumento",L15&lt;&gt;"Instrumento"),"Atenção",IF(AND(N15="Linha",L15="Microfone"),"Atenção",IF(AND(N15="Linha",L15="Instrumento"),"Atenção",IF(AND(N15="Microfone",L15&lt;&gt;"Microfone"),"Atenção",IF(AND(G15="Sim",M15&lt;&gt;"Sim"),"Atenção",IF(AND(F15="Desbalanceada",I15&lt;&gt;"",$M$4&lt;&gt;"",I15&gt;$M$4),"Atenção",IF(AND(J15&lt;&gt;"",COUNTIF($J$13:$J$44,J15)&gt;1),"Atenção",IF(AND(K15&lt;&gt;"",COUNTIF($K$13:$K$44,K15)&gt;1),"Atenção",IF(F15="","Atenção","OK")))))))))))))))</f>
        <v/>
      </c>
      <c r="P15" s="21" t="str">
        <f aca="false">IF(OR(D15="",L15=""),"",IF(AND(N15="Alto-falante",L15&lt;&gt;"Caixa passiva"),"Saída de amplificador só pode ir para caixa passiva",IF(AND(L15="Caixa passiva",N15&lt;&gt;"Alto-falante"),"Caixa passiva precisa de um amplificador antes dela",IF(AND(N15="Alto-falante",F15&lt;&gt;"Cabo de caixa"),"Use cabo de caixa: dois condutores grossos, sem malha",IF(AND(F15="Cabo de caixa",N15&lt;&gt;"Alto-falante"),"Cabo de caixa não tem malha: use cabo blindado",IF(AND(M15="Sim",F15="Desbalanceada"),"Desligue o phantom ou passe a fonte por direct box",IF(AND(N15="Instrumento",L15&lt;&gt;"Instrumento"),"Use direct box ou a entrada de instrumento (Hi-Z)",IF(AND(N15="Linha",L15="Microfone"),"Use a entrada de linha, ou direct box na entrada de microfone",IF(AND(N15="Linha",L15="Instrumento"),"Use a entrada de linha",IF(AND(N15="Microfone",L15&lt;&gt;"Microfone"),"Sinal fraco para esta entrada: use a entrada de microfone",IF(AND(G15="Sim",M15&lt;&gt;"Sim"),"Ligue o phantom deste canal, com o canal em mute",IF(AND(F15="Desbalanceada",I15&lt;&gt;"",$M$4&lt;&gt;"",I15&gt;$M$4),"Cabo desbalanceado longo: use direct box e cabo balanceado",IF(AND(J15&lt;&gt;"",COUNTIF($J$13:$J$44,J15)&gt;1),"Via do multicabo repetida: confira",IF(AND(K15&lt;&gt;"",COUNTIF($K$13:$K$44,K15)&gt;1),"Destino repetido: confira",IF(F15="","Informe o tipo de ligação do cabo","Ligação correta")))))))))))))))</f>
        <v/>
      </c>
      <c r="Q15" s="5"/>
    </row>
    <row r="16" customFormat="false" ht="21.75" hidden="false" customHeight="true" outlineLevel="0" collapsed="false">
      <c r="B16" s="18" t="n">
        <v>4</v>
      </c>
      <c r="C16" s="5"/>
      <c r="D16" s="9"/>
      <c r="E16" s="9"/>
      <c r="F16" s="9"/>
      <c r="G16" s="9"/>
      <c r="H16" s="9"/>
      <c r="I16" s="9"/>
      <c r="J16" s="9"/>
      <c r="K16" s="5"/>
      <c r="L16" s="9"/>
      <c r="M16" s="9"/>
      <c r="N16" s="19" t="str">
        <f aca="false">IF(D16="","",IF(OR(E16="Passiva",E16="Ativa"),"Microfone",D16))</f>
        <v/>
      </c>
      <c r="O16" s="20" t="str">
        <f aca="false">IF(OR(D16="",L16=""),"",IF(AND(N16="Alto-falante",L16&lt;&gt;"Caixa passiva"),"Erro",IF(AND(L16="Caixa passiva",N16&lt;&gt;"Alto-falante"),"Erro",IF(AND(N16="Alto-falante",F16&lt;&gt;"Cabo de caixa"),"Erro",IF(AND(F16="Cabo de caixa",N16&lt;&gt;"Alto-falante"),"Erro",IF(AND(M16="Sim",F16="Desbalanceada"),"Erro",IF(AND(N16="Instrumento",L16&lt;&gt;"Instrumento"),"Atenção",IF(AND(N16="Linha",L16="Microfone"),"Atenção",IF(AND(N16="Linha",L16="Instrumento"),"Atenção",IF(AND(N16="Microfone",L16&lt;&gt;"Microfone"),"Atenção",IF(AND(G16="Sim",M16&lt;&gt;"Sim"),"Atenção",IF(AND(F16="Desbalanceada",I16&lt;&gt;"",$M$4&lt;&gt;"",I16&gt;$M$4),"Atenção",IF(AND(J16&lt;&gt;"",COUNTIF($J$13:$J$44,J16)&gt;1),"Atenção",IF(AND(K16&lt;&gt;"",COUNTIF($K$13:$K$44,K16)&gt;1),"Atenção",IF(F16="","Atenção","OK")))))))))))))))</f>
        <v/>
      </c>
      <c r="P16" s="21" t="str">
        <f aca="false">IF(OR(D16="",L16=""),"",IF(AND(N16="Alto-falante",L16&lt;&gt;"Caixa passiva"),"Saída de amplificador só pode ir para caixa passiva",IF(AND(L16="Caixa passiva",N16&lt;&gt;"Alto-falante"),"Caixa passiva precisa de um amplificador antes dela",IF(AND(N16="Alto-falante",F16&lt;&gt;"Cabo de caixa"),"Use cabo de caixa: dois condutores grossos, sem malha",IF(AND(F16="Cabo de caixa",N16&lt;&gt;"Alto-falante"),"Cabo de caixa não tem malha: use cabo blindado",IF(AND(M16="Sim",F16="Desbalanceada"),"Desligue o phantom ou passe a fonte por direct box",IF(AND(N16="Instrumento",L16&lt;&gt;"Instrumento"),"Use direct box ou a entrada de instrumento (Hi-Z)",IF(AND(N16="Linha",L16="Microfone"),"Use a entrada de linha, ou direct box na entrada de microfone",IF(AND(N16="Linha",L16="Instrumento"),"Use a entrada de linha",IF(AND(N16="Microfone",L16&lt;&gt;"Microfone"),"Sinal fraco para esta entrada: use a entrada de microfone",IF(AND(G16="Sim",M16&lt;&gt;"Sim"),"Ligue o phantom deste canal, com o canal em mute",IF(AND(F16="Desbalanceada",I16&lt;&gt;"",$M$4&lt;&gt;"",I16&gt;$M$4),"Cabo desbalanceado longo: use direct box e cabo balanceado",IF(AND(J16&lt;&gt;"",COUNTIF($J$13:$J$44,J16)&gt;1),"Via do multicabo repetida: confira",IF(AND(K16&lt;&gt;"",COUNTIF($K$13:$K$44,K16)&gt;1),"Destino repetido: confira",IF(F16="","Informe o tipo de ligação do cabo","Ligação correta")))))))))))))))</f>
        <v/>
      </c>
      <c r="Q16" s="5"/>
    </row>
    <row r="17" customFormat="false" ht="21.75" hidden="false" customHeight="true" outlineLevel="0" collapsed="false">
      <c r="B17" s="18" t="n">
        <v>5</v>
      </c>
      <c r="C17" s="5"/>
      <c r="D17" s="9"/>
      <c r="E17" s="9"/>
      <c r="F17" s="9"/>
      <c r="G17" s="9"/>
      <c r="H17" s="9"/>
      <c r="I17" s="9"/>
      <c r="J17" s="9"/>
      <c r="K17" s="5"/>
      <c r="L17" s="9"/>
      <c r="M17" s="9"/>
      <c r="N17" s="19" t="str">
        <f aca="false">IF(D17="","",IF(OR(E17="Passiva",E17="Ativa"),"Microfone",D17))</f>
        <v/>
      </c>
      <c r="O17" s="20" t="str">
        <f aca="false">IF(OR(D17="",L17=""),"",IF(AND(N17="Alto-falante",L17&lt;&gt;"Caixa passiva"),"Erro",IF(AND(L17="Caixa passiva",N17&lt;&gt;"Alto-falante"),"Erro",IF(AND(N17="Alto-falante",F17&lt;&gt;"Cabo de caixa"),"Erro",IF(AND(F17="Cabo de caixa",N17&lt;&gt;"Alto-falante"),"Erro",IF(AND(M17="Sim",F17="Desbalanceada"),"Erro",IF(AND(N17="Instrumento",L17&lt;&gt;"Instrumento"),"Atenção",IF(AND(N17="Linha",L17="Microfone"),"Atenção",IF(AND(N17="Linha",L17="Instrumento"),"Atenção",IF(AND(N17="Microfone",L17&lt;&gt;"Microfone"),"Atenção",IF(AND(G17="Sim",M17&lt;&gt;"Sim"),"Atenção",IF(AND(F17="Desbalanceada",I17&lt;&gt;"",$M$4&lt;&gt;"",I17&gt;$M$4),"Atenção",IF(AND(J17&lt;&gt;"",COUNTIF($J$13:$J$44,J17)&gt;1),"Atenção",IF(AND(K17&lt;&gt;"",COUNTIF($K$13:$K$44,K17)&gt;1),"Atenção",IF(F17="","Atenção","OK")))))))))))))))</f>
        <v/>
      </c>
      <c r="P17" s="21" t="str">
        <f aca="false">IF(OR(D17="",L17=""),"",IF(AND(N17="Alto-falante",L17&lt;&gt;"Caixa passiva"),"Saída de amplificador só pode ir para caixa passiva",IF(AND(L17="Caixa passiva",N17&lt;&gt;"Alto-falante"),"Caixa passiva precisa de um amplificador antes dela",IF(AND(N17="Alto-falante",F17&lt;&gt;"Cabo de caixa"),"Use cabo de caixa: dois condutores grossos, sem malha",IF(AND(F17="Cabo de caixa",N17&lt;&gt;"Alto-falante"),"Cabo de caixa não tem malha: use cabo blindado",IF(AND(M17="Sim",F17="Desbalanceada"),"Desligue o phantom ou passe a fonte por direct box",IF(AND(N17="Instrumento",L17&lt;&gt;"Instrumento"),"Use direct box ou a entrada de instrumento (Hi-Z)",IF(AND(N17="Linha",L17="Microfone"),"Use a entrada de linha, ou direct box na entrada de microfone",IF(AND(N17="Linha",L17="Instrumento"),"Use a entrada de linha",IF(AND(N17="Microfone",L17&lt;&gt;"Microfone"),"Sinal fraco para esta entrada: use a entrada de microfone",IF(AND(G17="Sim",M17&lt;&gt;"Sim"),"Ligue o phantom deste canal, com o canal em mute",IF(AND(F17="Desbalanceada",I17&lt;&gt;"",$M$4&lt;&gt;"",I17&gt;$M$4),"Cabo desbalanceado longo: use direct box e cabo balanceado",IF(AND(J17&lt;&gt;"",COUNTIF($J$13:$J$44,J17)&gt;1),"Via do multicabo repetida: confira",IF(AND(K17&lt;&gt;"",COUNTIF($K$13:$K$44,K17)&gt;1),"Destino repetido: confira",IF(F17="","Informe o tipo de ligação do cabo","Ligação correta")))))))))))))))</f>
        <v/>
      </c>
      <c r="Q17" s="5"/>
    </row>
    <row r="18" customFormat="false" ht="21.75" hidden="false" customHeight="true" outlineLevel="0" collapsed="false">
      <c r="B18" s="18" t="n">
        <v>6</v>
      </c>
      <c r="C18" s="5"/>
      <c r="D18" s="9"/>
      <c r="E18" s="9"/>
      <c r="F18" s="9"/>
      <c r="G18" s="9"/>
      <c r="H18" s="9"/>
      <c r="I18" s="9"/>
      <c r="J18" s="9"/>
      <c r="K18" s="5"/>
      <c r="L18" s="9"/>
      <c r="M18" s="9"/>
      <c r="N18" s="19" t="str">
        <f aca="false">IF(D18="","",IF(OR(E18="Passiva",E18="Ativa"),"Microfone",D18))</f>
        <v/>
      </c>
      <c r="O18" s="20" t="str">
        <f aca="false">IF(OR(D18="",L18=""),"",IF(AND(N18="Alto-falante",L18&lt;&gt;"Caixa passiva"),"Erro",IF(AND(L18="Caixa passiva",N18&lt;&gt;"Alto-falante"),"Erro",IF(AND(N18="Alto-falante",F18&lt;&gt;"Cabo de caixa"),"Erro",IF(AND(F18="Cabo de caixa",N18&lt;&gt;"Alto-falante"),"Erro",IF(AND(M18="Sim",F18="Desbalanceada"),"Erro",IF(AND(N18="Instrumento",L18&lt;&gt;"Instrumento"),"Atenção",IF(AND(N18="Linha",L18="Microfone"),"Atenção",IF(AND(N18="Linha",L18="Instrumento"),"Atenção",IF(AND(N18="Microfone",L18&lt;&gt;"Microfone"),"Atenção",IF(AND(G18="Sim",M18&lt;&gt;"Sim"),"Atenção",IF(AND(F18="Desbalanceada",I18&lt;&gt;"",$M$4&lt;&gt;"",I18&gt;$M$4),"Atenção",IF(AND(J18&lt;&gt;"",COUNTIF($J$13:$J$44,J18)&gt;1),"Atenção",IF(AND(K18&lt;&gt;"",COUNTIF($K$13:$K$44,K18)&gt;1),"Atenção",IF(F18="","Atenção","OK")))))))))))))))</f>
        <v/>
      </c>
      <c r="P18" s="21" t="str">
        <f aca="false">IF(OR(D18="",L18=""),"",IF(AND(N18="Alto-falante",L18&lt;&gt;"Caixa passiva"),"Saída de amplificador só pode ir para caixa passiva",IF(AND(L18="Caixa passiva",N18&lt;&gt;"Alto-falante"),"Caixa passiva precisa de um amplificador antes dela",IF(AND(N18="Alto-falante",F18&lt;&gt;"Cabo de caixa"),"Use cabo de caixa: dois condutores grossos, sem malha",IF(AND(F18="Cabo de caixa",N18&lt;&gt;"Alto-falante"),"Cabo de caixa não tem malha: use cabo blindado",IF(AND(M18="Sim",F18="Desbalanceada"),"Desligue o phantom ou passe a fonte por direct box",IF(AND(N18="Instrumento",L18&lt;&gt;"Instrumento"),"Use direct box ou a entrada de instrumento (Hi-Z)",IF(AND(N18="Linha",L18="Microfone"),"Use a entrada de linha, ou direct box na entrada de microfone",IF(AND(N18="Linha",L18="Instrumento"),"Use a entrada de linha",IF(AND(N18="Microfone",L18&lt;&gt;"Microfone"),"Sinal fraco para esta entrada: use a entrada de microfone",IF(AND(G18="Sim",M18&lt;&gt;"Sim"),"Ligue o phantom deste canal, com o canal em mute",IF(AND(F18="Desbalanceada",I18&lt;&gt;"",$M$4&lt;&gt;"",I18&gt;$M$4),"Cabo desbalanceado longo: use direct box e cabo balanceado",IF(AND(J18&lt;&gt;"",COUNTIF($J$13:$J$44,J18)&gt;1),"Via do multicabo repetida: confira",IF(AND(K18&lt;&gt;"",COUNTIF($K$13:$K$44,K18)&gt;1),"Destino repetido: confira",IF(F18="","Informe o tipo de ligação do cabo","Ligação correta")))))))))))))))</f>
        <v/>
      </c>
      <c r="Q18" s="5"/>
    </row>
    <row r="19" customFormat="false" ht="21.75" hidden="false" customHeight="true" outlineLevel="0" collapsed="false">
      <c r="B19" s="18" t="n">
        <v>7</v>
      </c>
      <c r="C19" s="5"/>
      <c r="D19" s="9"/>
      <c r="E19" s="9"/>
      <c r="F19" s="9"/>
      <c r="G19" s="9"/>
      <c r="H19" s="9"/>
      <c r="I19" s="9"/>
      <c r="J19" s="9"/>
      <c r="K19" s="5"/>
      <c r="L19" s="9"/>
      <c r="M19" s="9"/>
      <c r="N19" s="19" t="str">
        <f aca="false">IF(D19="","",IF(OR(E19="Passiva",E19="Ativa"),"Microfone",D19))</f>
        <v/>
      </c>
      <c r="O19" s="20" t="str">
        <f aca="false">IF(OR(D19="",L19=""),"",IF(AND(N19="Alto-falante",L19&lt;&gt;"Caixa passiva"),"Erro",IF(AND(L19="Caixa passiva",N19&lt;&gt;"Alto-falante"),"Erro",IF(AND(N19="Alto-falante",F19&lt;&gt;"Cabo de caixa"),"Erro",IF(AND(F19="Cabo de caixa",N19&lt;&gt;"Alto-falante"),"Erro",IF(AND(M19="Sim",F19="Desbalanceada"),"Erro",IF(AND(N19="Instrumento",L19&lt;&gt;"Instrumento"),"Atenção",IF(AND(N19="Linha",L19="Microfone"),"Atenção",IF(AND(N19="Linha",L19="Instrumento"),"Atenção",IF(AND(N19="Microfone",L19&lt;&gt;"Microfone"),"Atenção",IF(AND(G19="Sim",M19&lt;&gt;"Sim"),"Atenção",IF(AND(F19="Desbalanceada",I19&lt;&gt;"",$M$4&lt;&gt;"",I19&gt;$M$4),"Atenção",IF(AND(J19&lt;&gt;"",COUNTIF($J$13:$J$44,J19)&gt;1),"Atenção",IF(AND(K19&lt;&gt;"",COUNTIF($K$13:$K$44,K19)&gt;1),"Atenção",IF(F19="","Atenção","OK")))))))))))))))</f>
        <v/>
      </c>
      <c r="P19" s="21" t="str">
        <f aca="false">IF(OR(D19="",L19=""),"",IF(AND(N19="Alto-falante",L19&lt;&gt;"Caixa passiva"),"Saída de amplificador só pode ir para caixa passiva",IF(AND(L19="Caixa passiva",N19&lt;&gt;"Alto-falante"),"Caixa passiva precisa de um amplificador antes dela",IF(AND(N19="Alto-falante",F19&lt;&gt;"Cabo de caixa"),"Use cabo de caixa: dois condutores grossos, sem malha",IF(AND(F19="Cabo de caixa",N19&lt;&gt;"Alto-falante"),"Cabo de caixa não tem malha: use cabo blindado",IF(AND(M19="Sim",F19="Desbalanceada"),"Desligue o phantom ou passe a fonte por direct box",IF(AND(N19="Instrumento",L19&lt;&gt;"Instrumento"),"Use direct box ou a entrada de instrumento (Hi-Z)",IF(AND(N19="Linha",L19="Microfone"),"Use a entrada de linha, ou direct box na entrada de microfone",IF(AND(N19="Linha",L19="Instrumento"),"Use a entrada de linha",IF(AND(N19="Microfone",L19&lt;&gt;"Microfone"),"Sinal fraco para esta entrada: use a entrada de microfone",IF(AND(G19="Sim",M19&lt;&gt;"Sim"),"Ligue o phantom deste canal, com o canal em mute",IF(AND(F19="Desbalanceada",I19&lt;&gt;"",$M$4&lt;&gt;"",I19&gt;$M$4),"Cabo desbalanceado longo: use direct box e cabo balanceado",IF(AND(J19&lt;&gt;"",COUNTIF($J$13:$J$44,J19)&gt;1),"Via do multicabo repetida: confira",IF(AND(K19&lt;&gt;"",COUNTIF($K$13:$K$44,K19)&gt;1),"Destino repetido: confira",IF(F19="","Informe o tipo de ligação do cabo","Ligação correta")))))))))))))))</f>
        <v/>
      </c>
      <c r="Q19" s="5"/>
    </row>
    <row r="20" customFormat="false" ht="21.75" hidden="false" customHeight="true" outlineLevel="0" collapsed="false">
      <c r="B20" s="18" t="n">
        <v>8</v>
      </c>
      <c r="C20" s="5"/>
      <c r="D20" s="9"/>
      <c r="E20" s="9"/>
      <c r="F20" s="9"/>
      <c r="G20" s="9"/>
      <c r="H20" s="9"/>
      <c r="I20" s="9"/>
      <c r="J20" s="9"/>
      <c r="K20" s="5"/>
      <c r="L20" s="9"/>
      <c r="M20" s="9"/>
      <c r="N20" s="19" t="str">
        <f aca="false">IF(D20="","",IF(OR(E20="Passiva",E20="Ativa"),"Microfone",D20))</f>
        <v/>
      </c>
      <c r="O20" s="20" t="str">
        <f aca="false">IF(OR(D20="",L20=""),"",IF(AND(N20="Alto-falante",L20&lt;&gt;"Caixa passiva"),"Erro",IF(AND(L20="Caixa passiva",N20&lt;&gt;"Alto-falante"),"Erro",IF(AND(N20="Alto-falante",F20&lt;&gt;"Cabo de caixa"),"Erro",IF(AND(F20="Cabo de caixa",N20&lt;&gt;"Alto-falante"),"Erro",IF(AND(M20="Sim",F20="Desbalanceada"),"Erro",IF(AND(N20="Instrumento",L20&lt;&gt;"Instrumento"),"Atenção",IF(AND(N20="Linha",L20="Microfone"),"Atenção",IF(AND(N20="Linha",L20="Instrumento"),"Atenção",IF(AND(N20="Microfone",L20&lt;&gt;"Microfone"),"Atenção",IF(AND(G20="Sim",M20&lt;&gt;"Sim"),"Atenção",IF(AND(F20="Desbalanceada",I20&lt;&gt;"",$M$4&lt;&gt;"",I20&gt;$M$4),"Atenção",IF(AND(J20&lt;&gt;"",COUNTIF($J$13:$J$44,J20)&gt;1),"Atenção",IF(AND(K20&lt;&gt;"",COUNTIF($K$13:$K$44,K20)&gt;1),"Atenção",IF(F20="","Atenção","OK")))))))))))))))</f>
        <v/>
      </c>
      <c r="P20" s="21" t="str">
        <f aca="false">IF(OR(D20="",L20=""),"",IF(AND(N20="Alto-falante",L20&lt;&gt;"Caixa passiva"),"Saída de amplificador só pode ir para caixa passiva",IF(AND(L20="Caixa passiva",N20&lt;&gt;"Alto-falante"),"Caixa passiva precisa de um amplificador antes dela",IF(AND(N20="Alto-falante",F20&lt;&gt;"Cabo de caixa"),"Use cabo de caixa: dois condutores grossos, sem malha",IF(AND(F20="Cabo de caixa",N20&lt;&gt;"Alto-falante"),"Cabo de caixa não tem malha: use cabo blindado",IF(AND(M20="Sim",F20="Desbalanceada"),"Desligue o phantom ou passe a fonte por direct box",IF(AND(N20="Instrumento",L20&lt;&gt;"Instrumento"),"Use direct box ou a entrada de instrumento (Hi-Z)",IF(AND(N20="Linha",L20="Microfone"),"Use a entrada de linha, ou direct box na entrada de microfone",IF(AND(N20="Linha",L20="Instrumento"),"Use a entrada de linha",IF(AND(N20="Microfone",L20&lt;&gt;"Microfone"),"Sinal fraco para esta entrada: use a entrada de microfone",IF(AND(G20="Sim",M20&lt;&gt;"Sim"),"Ligue o phantom deste canal, com o canal em mute",IF(AND(F20="Desbalanceada",I20&lt;&gt;"",$M$4&lt;&gt;"",I20&gt;$M$4),"Cabo desbalanceado longo: use direct box e cabo balanceado",IF(AND(J20&lt;&gt;"",COUNTIF($J$13:$J$44,J20)&gt;1),"Via do multicabo repetida: confira",IF(AND(K20&lt;&gt;"",COUNTIF($K$13:$K$44,K20)&gt;1),"Destino repetido: confira",IF(F20="","Informe o tipo de ligação do cabo","Ligação correta")))))))))))))))</f>
        <v/>
      </c>
      <c r="Q20" s="5"/>
    </row>
    <row r="21" customFormat="false" ht="21.75" hidden="false" customHeight="true" outlineLevel="0" collapsed="false">
      <c r="B21" s="18" t="n">
        <v>9</v>
      </c>
      <c r="C21" s="5"/>
      <c r="D21" s="9"/>
      <c r="E21" s="9"/>
      <c r="F21" s="9"/>
      <c r="G21" s="9"/>
      <c r="H21" s="9"/>
      <c r="I21" s="9"/>
      <c r="J21" s="9"/>
      <c r="K21" s="5"/>
      <c r="L21" s="9"/>
      <c r="M21" s="9"/>
      <c r="N21" s="19" t="str">
        <f aca="false">IF(D21="","",IF(OR(E21="Passiva",E21="Ativa"),"Microfone",D21))</f>
        <v/>
      </c>
      <c r="O21" s="20" t="str">
        <f aca="false">IF(OR(D21="",L21=""),"",IF(AND(N21="Alto-falante",L21&lt;&gt;"Caixa passiva"),"Erro",IF(AND(L21="Caixa passiva",N21&lt;&gt;"Alto-falante"),"Erro",IF(AND(N21="Alto-falante",F21&lt;&gt;"Cabo de caixa"),"Erro",IF(AND(F21="Cabo de caixa",N21&lt;&gt;"Alto-falante"),"Erro",IF(AND(M21="Sim",F21="Desbalanceada"),"Erro",IF(AND(N21="Instrumento",L21&lt;&gt;"Instrumento"),"Atenção",IF(AND(N21="Linha",L21="Microfone"),"Atenção",IF(AND(N21="Linha",L21="Instrumento"),"Atenção",IF(AND(N21="Microfone",L21&lt;&gt;"Microfone"),"Atenção",IF(AND(G21="Sim",M21&lt;&gt;"Sim"),"Atenção",IF(AND(F21="Desbalanceada",I21&lt;&gt;"",$M$4&lt;&gt;"",I21&gt;$M$4),"Atenção",IF(AND(J21&lt;&gt;"",COUNTIF($J$13:$J$44,J21)&gt;1),"Atenção",IF(AND(K21&lt;&gt;"",COUNTIF($K$13:$K$44,K21)&gt;1),"Atenção",IF(F21="","Atenção","OK")))))))))))))))</f>
        <v/>
      </c>
      <c r="P21" s="21" t="str">
        <f aca="false">IF(OR(D21="",L21=""),"",IF(AND(N21="Alto-falante",L21&lt;&gt;"Caixa passiva"),"Saída de amplificador só pode ir para caixa passiva",IF(AND(L21="Caixa passiva",N21&lt;&gt;"Alto-falante"),"Caixa passiva precisa de um amplificador antes dela",IF(AND(N21="Alto-falante",F21&lt;&gt;"Cabo de caixa"),"Use cabo de caixa: dois condutores grossos, sem malha",IF(AND(F21="Cabo de caixa",N21&lt;&gt;"Alto-falante"),"Cabo de caixa não tem malha: use cabo blindado",IF(AND(M21="Sim",F21="Desbalanceada"),"Desligue o phantom ou passe a fonte por direct box",IF(AND(N21="Instrumento",L21&lt;&gt;"Instrumento"),"Use direct box ou a entrada de instrumento (Hi-Z)",IF(AND(N21="Linha",L21="Microfone"),"Use a entrada de linha, ou direct box na entrada de microfone",IF(AND(N21="Linha",L21="Instrumento"),"Use a entrada de linha",IF(AND(N21="Microfone",L21&lt;&gt;"Microfone"),"Sinal fraco para esta entrada: use a entrada de microfone",IF(AND(G21="Sim",M21&lt;&gt;"Sim"),"Ligue o phantom deste canal, com o canal em mute",IF(AND(F21="Desbalanceada",I21&lt;&gt;"",$M$4&lt;&gt;"",I21&gt;$M$4),"Cabo desbalanceado longo: use direct box e cabo balanceado",IF(AND(J21&lt;&gt;"",COUNTIF($J$13:$J$44,J21)&gt;1),"Via do multicabo repetida: confira",IF(AND(K21&lt;&gt;"",COUNTIF($K$13:$K$44,K21)&gt;1),"Destino repetido: confira",IF(F21="","Informe o tipo de ligação do cabo","Ligação correta")))))))))))))))</f>
        <v/>
      </c>
      <c r="Q21" s="5"/>
    </row>
    <row r="22" customFormat="false" ht="21.75" hidden="false" customHeight="true" outlineLevel="0" collapsed="false">
      <c r="B22" s="18" t="n">
        <v>10</v>
      </c>
      <c r="C22" s="5"/>
      <c r="D22" s="9"/>
      <c r="E22" s="9"/>
      <c r="F22" s="9"/>
      <c r="G22" s="9"/>
      <c r="H22" s="9"/>
      <c r="I22" s="9"/>
      <c r="J22" s="9"/>
      <c r="K22" s="5"/>
      <c r="L22" s="9"/>
      <c r="M22" s="9"/>
      <c r="N22" s="19" t="str">
        <f aca="false">IF(D22="","",IF(OR(E22="Passiva",E22="Ativa"),"Microfone",D22))</f>
        <v/>
      </c>
      <c r="O22" s="20" t="str">
        <f aca="false">IF(OR(D22="",L22=""),"",IF(AND(N22="Alto-falante",L22&lt;&gt;"Caixa passiva"),"Erro",IF(AND(L22="Caixa passiva",N22&lt;&gt;"Alto-falante"),"Erro",IF(AND(N22="Alto-falante",F22&lt;&gt;"Cabo de caixa"),"Erro",IF(AND(F22="Cabo de caixa",N22&lt;&gt;"Alto-falante"),"Erro",IF(AND(M22="Sim",F22="Desbalanceada"),"Erro",IF(AND(N22="Instrumento",L22&lt;&gt;"Instrumento"),"Atenção",IF(AND(N22="Linha",L22="Microfone"),"Atenção",IF(AND(N22="Linha",L22="Instrumento"),"Atenção",IF(AND(N22="Microfone",L22&lt;&gt;"Microfone"),"Atenção",IF(AND(G22="Sim",M22&lt;&gt;"Sim"),"Atenção",IF(AND(F22="Desbalanceada",I22&lt;&gt;"",$M$4&lt;&gt;"",I22&gt;$M$4),"Atenção",IF(AND(J22&lt;&gt;"",COUNTIF($J$13:$J$44,J22)&gt;1),"Atenção",IF(AND(K22&lt;&gt;"",COUNTIF($K$13:$K$44,K22)&gt;1),"Atenção",IF(F22="","Atenção","OK")))))))))))))))</f>
        <v/>
      </c>
      <c r="P22" s="21" t="str">
        <f aca="false">IF(OR(D22="",L22=""),"",IF(AND(N22="Alto-falante",L22&lt;&gt;"Caixa passiva"),"Saída de amplificador só pode ir para caixa passiva",IF(AND(L22="Caixa passiva",N22&lt;&gt;"Alto-falante"),"Caixa passiva precisa de um amplificador antes dela",IF(AND(N22="Alto-falante",F22&lt;&gt;"Cabo de caixa"),"Use cabo de caixa: dois condutores grossos, sem malha",IF(AND(F22="Cabo de caixa",N22&lt;&gt;"Alto-falante"),"Cabo de caixa não tem malha: use cabo blindado",IF(AND(M22="Sim",F22="Desbalanceada"),"Desligue o phantom ou passe a fonte por direct box",IF(AND(N22="Instrumento",L22&lt;&gt;"Instrumento"),"Use direct box ou a entrada de instrumento (Hi-Z)",IF(AND(N22="Linha",L22="Microfone"),"Use a entrada de linha, ou direct box na entrada de microfone",IF(AND(N22="Linha",L22="Instrumento"),"Use a entrada de linha",IF(AND(N22="Microfone",L22&lt;&gt;"Microfone"),"Sinal fraco para esta entrada: use a entrada de microfone",IF(AND(G22="Sim",M22&lt;&gt;"Sim"),"Ligue o phantom deste canal, com o canal em mute",IF(AND(F22="Desbalanceada",I22&lt;&gt;"",$M$4&lt;&gt;"",I22&gt;$M$4),"Cabo desbalanceado longo: use direct box e cabo balanceado",IF(AND(J22&lt;&gt;"",COUNTIF($J$13:$J$44,J22)&gt;1),"Via do multicabo repetida: confira",IF(AND(K22&lt;&gt;"",COUNTIF($K$13:$K$44,K22)&gt;1),"Destino repetido: confira",IF(F22="","Informe o tipo de ligação do cabo","Ligação correta")))))))))))))))</f>
        <v/>
      </c>
      <c r="Q22" s="5"/>
    </row>
    <row r="23" customFormat="false" ht="21.75" hidden="false" customHeight="true" outlineLevel="0" collapsed="false">
      <c r="B23" s="18" t="n">
        <v>11</v>
      </c>
      <c r="C23" s="5"/>
      <c r="D23" s="9"/>
      <c r="E23" s="9"/>
      <c r="F23" s="9"/>
      <c r="G23" s="9"/>
      <c r="H23" s="9"/>
      <c r="I23" s="9"/>
      <c r="J23" s="9"/>
      <c r="K23" s="5"/>
      <c r="L23" s="9"/>
      <c r="M23" s="9"/>
      <c r="N23" s="19" t="str">
        <f aca="false">IF(D23="","",IF(OR(E23="Passiva",E23="Ativa"),"Microfone",D23))</f>
        <v/>
      </c>
      <c r="O23" s="20" t="str">
        <f aca="false">IF(OR(D23="",L23=""),"",IF(AND(N23="Alto-falante",L23&lt;&gt;"Caixa passiva"),"Erro",IF(AND(L23="Caixa passiva",N23&lt;&gt;"Alto-falante"),"Erro",IF(AND(N23="Alto-falante",F23&lt;&gt;"Cabo de caixa"),"Erro",IF(AND(F23="Cabo de caixa",N23&lt;&gt;"Alto-falante"),"Erro",IF(AND(M23="Sim",F23="Desbalanceada"),"Erro",IF(AND(N23="Instrumento",L23&lt;&gt;"Instrumento"),"Atenção",IF(AND(N23="Linha",L23="Microfone"),"Atenção",IF(AND(N23="Linha",L23="Instrumento"),"Atenção",IF(AND(N23="Microfone",L23&lt;&gt;"Microfone"),"Atenção",IF(AND(G23="Sim",M23&lt;&gt;"Sim"),"Atenção",IF(AND(F23="Desbalanceada",I23&lt;&gt;"",$M$4&lt;&gt;"",I23&gt;$M$4),"Atenção",IF(AND(J23&lt;&gt;"",COUNTIF($J$13:$J$44,J23)&gt;1),"Atenção",IF(AND(K23&lt;&gt;"",COUNTIF($K$13:$K$44,K23)&gt;1),"Atenção",IF(F23="","Atenção","OK")))))))))))))))</f>
        <v/>
      </c>
      <c r="P23" s="21" t="str">
        <f aca="false">IF(OR(D23="",L23=""),"",IF(AND(N23="Alto-falante",L23&lt;&gt;"Caixa passiva"),"Saída de amplificador só pode ir para caixa passiva",IF(AND(L23="Caixa passiva",N23&lt;&gt;"Alto-falante"),"Caixa passiva precisa de um amplificador antes dela",IF(AND(N23="Alto-falante",F23&lt;&gt;"Cabo de caixa"),"Use cabo de caixa: dois condutores grossos, sem malha",IF(AND(F23="Cabo de caixa",N23&lt;&gt;"Alto-falante"),"Cabo de caixa não tem malha: use cabo blindado",IF(AND(M23="Sim",F23="Desbalanceada"),"Desligue o phantom ou passe a fonte por direct box",IF(AND(N23="Instrumento",L23&lt;&gt;"Instrumento"),"Use direct box ou a entrada de instrumento (Hi-Z)",IF(AND(N23="Linha",L23="Microfone"),"Use a entrada de linha, ou direct box na entrada de microfone",IF(AND(N23="Linha",L23="Instrumento"),"Use a entrada de linha",IF(AND(N23="Microfone",L23&lt;&gt;"Microfone"),"Sinal fraco para esta entrada: use a entrada de microfone",IF(AND(G23="Sim",M23&lt;&gt;"Sim"),"Ligue o phantom deste canal, com o canal em mute",IF(AND(F23="Desbalanceada",I23&lt;&gt;"",$M$4&lt;&gt;"",I23&gt;$M$4),"Cabo desbalanceado longo: use direct box e cabo balanceado",IF(AND(J23&lt;&gt;"",COUNTIF($J$13:$J$44,J23)&gt;1),"Via do multicabo repetida: confira",IF(AND(K23&lt;&gt;"",COUNTIF($K$13:$K$44,K23)&gt;1),"Destino repetido: confira",IF(F23="","Informe o tipo de ligação do cabo","Ligação correta")))))))))))))))</f>
        <v/>
      </c>
      <c r="Q23" s="5"/>
    </row>
    <row r="24" customFormat="false" ht="21.75" hidden="false" customHeight="true" outlineLevel="0" collapsed="false">
      <c r="B24" s="18" t="n">
        <v>12</v>
      </c>
      <c r="C24" s="5"/>
      <c r="D24" s="9"/>
      <c r="E24" s="9"/>
      <c r="F24" s="9"/>
      <c r="G24" s="9"/>
      <c r="H24" s="9"/>
      <c r="I24" s="9"/>
      <c r="J24" s="9"/>
      <c r="K24" s="5"/>
      <c r="L24" s="9"/>
      <c r="M24" s="9"/>
      <c r="N24" s="19" t="str">
        <f aca="false">IF(D24="","",IF(OR(E24="Passiva",E24="Ativa"),"Microfone",D24))</f>
        <v/>
      </c>
      <c r="O24" s="20" t="str">
        <f aca="false">IF(OR(D24="",L24=""),"",IF(AND(N24="Alto-falante",L24&lt;&gt;"Caixa passiva"),"Erro",IF(AND(L24="Caixa passiva",N24&lt;&gt;"Alto-falante"),"Erro",IF(AND(N24="Alto-falante",F24&lt;&gt;"Cabo de caixa"),"Erro",IF(AND(F24="Cabo de caixa",N24&lt;&gt;"Alto-falante"),"Erro",IF(AND(M24="Sim",F24="Desbalanceada"),"Erro",IF(AND(N24="Instrumento",L24&lt;&gt;"Instrumento"),"Atenção",IF(AND(N24="Linha",L24="Microfone"),"Atenção",IF(AND(N24="Linha",L24="Instrumento"),"Atenção",IF(AND(N24="Microfone",L24&lt;&gt;"Microfone"),"Atenção",IF(AND(G24="Sim",M24&lt;&gt;"Sim"),"Atenção",IF(AND(F24="Desbalanceada",I24&lt;&gt;"",$M$4&lt;&gt;"",I24&gt;$M$4),"Atenção",IF(AND(J24&lt;&gt;"",COUNTIF($J$13:$J$44,J24)&gt;1),"Atenção",IF(AND(K24&lt;&gt;"",COUNTIF($K$13:$K$44,K24)&gt;1),"Atenção",IF(F24="","Atenção","OK")))))))))))))))</f>
        <v/>
      </c>
      <c r="P24" s="21" t="str">
        <f aca="false">IF(OR(D24="",L24=""),"",IF(AND(N24="Alto-falante",L24&lt;&gt;"Caixa passiva"),"Saída de amplificador só pode ir para caixa passiva",IF(AND(L24="Caixa passiva",N24&lt;&gt;"Alto-falante"),"Caixa passiva precisa de um amplificador antes dela",IF(AND(N24="Alto-falante",F24&lt;&gt;"Cabo de caixa"),"Use cabo de caixa: dois condutores grossos, sem malha",IF(AND(F24="Cabo de caixa",N24&lt;&gt;"Alto-falante"),"Cabo de caixa não tem malha: use cabo blindado",IF(AND(M24="Sim",F24="Desbalanceada"),"Desligue o phantom ou passe a fonte por direct box",IF(AND(N24="Instrumento",L24&lt;&gt;"Instrumento"),"Use direct box ou a entrada de instrumento (Hi-Z)",IF(AND(N24="Linha",L24="Microfone"),"Use a entrada de linha, ou direct box na entrada de microfone",IF(AND(N24="Linha",L24="Instrumento"),"Use a entrada de linha",IF(AND(N24="Microfone",L24&lt;&gt;"Microfone"),"Sinal fraco para esta entrada: use a entrada de microfone",IF(AND(G24="Sim",M24&lt;&gt;"Sim"),"Ligue o phantom deste canal, com o canal em mute",IF(AND(F24="Desbalanceada",I24&lt;&gt;"",$M$4&lt;&gt;"",I24&gt;$M$4),"Cabo desbalanceado longo: use direct box e cabo balanceado",IF(AND(J24&lt;&gt;"",COUNTIF($J$13:$J$44,J24)&gt;1),"Via do multicabo repetida: confira",IF(AND(K24&lt;&gt;"",COUNTIF($K$13:$K$44,K24)&gt;1),"Destino repetido: confira",IF(F24="","Informe o tipo de ligação do cabo","Ligação correta")))))))))))))))</f>
        <v/>
      </c>
      <c r="Q24" s="5"/>
    </row>
    <row r="25" customFormat="false" ht="21.75" hidden="false" customHeight="true" outlineLevel="0" collapsed="false">
      <c r="B25" s="18" t="n">
        <v>13</v>
      </c>
      <c r="C25" s="5"/>
      <c r="D25" s="9"/>
      <c r="E25" s="9"/>
      <c r="F25" s="9"/>
      <c r="G25" s="9"/>
      <c r="H25" s="9"/>
      <c r="I25" s="9"/>
      <c r="J25" s="9"/>
      <c r="K25" s="5"/>
      <c r="L25" s="9"/>
      <c r="M25" s="9"/>
      <c r="N25" s="19" t="str">
        <f aca="false">IF(D25="","",IF(OR(E25="Passiva",E25="Ativa"),"Microfone",D25))</f>
        <v/>
      </c>
      <c r="O25" s="20" t="str">
        <f aca="false">IF(OR(D25="",L25=""),"",IF(AND(N25="Alto-falante",L25&lt;&gt;"Caixa passiva"),"Erro",IF(AND(L25="Caixa passiva",N25&lt;&gt;"Alto-falante"),"Erro",IF(AND(N25="Alto-falante",F25&lt;&gt;"Cabo de caixa"),"Erro",IF(AND(F25="Cabo de caixa",N25&lt;&gt;"Alto-falante"),"Erro",IF(AND(M25="Sim",F25="Desbalanceada"),"Erro",IF(AND(N25="Instrumento",L25&lt;&gt;"Instrumento"),"Atenção",IF(AND(N25="Linha",L25="Microfone"),"Atenção",IF(AND(N25="Linha",L25="Instrumento"),"Atenção",IF(AND(N25="Microfone",L25&lt;&gt;"Microfone"),"Atenção",IF(AND(G25="Sim",M25&lt;&gt;"Sim"),"Atenção",IF(AND(F25="Desbalanceada",I25&lt;&gt;"",$M$4&lt;&gt;"",I25&gt;$M$4),"Atenção",IF(AND(J25&lt;&gt;"",COUNTIF($J$13:$J$44,J25)&gt;1),"Atenção",IF(AND(K25&lt;&gt;"",COUNTIF($K$13:$K$44,K25)&gt;1),"Atenção",IF(F25="","Atenção","OK")))))))))))))))</f>
        <v/>
      </c>
      <c r="P25" s="21" t="str">
        <f aca="false">IF(OR(D25="",L25=""),"",IF(AND(N25="Alto-falante",L25&lt;&gt;"Caixa passiva"),"Saída de amplificador só pode ir para caixa passiva",IF(AND(L25="Caixa passiva",N25&lt;&gt;"Alto-falante"),"Caixa passiva precisa de um amplificador antes dela",IF(AND(N25="Alto-falante",F25&lt;&gt;"Cabo de caixa"),"Use cabo de caixa: dois condutores grossos, sem malha",IF(AND(F25="Cabo de caixa",N25&lt;&gt;"Alto-falante"),"Cabo de caixa não tem malha: use cabo blindado",IF(AND(M25="Sim",F25="Desbalanceada"),"Desligue o phantom ou passe a fonte por direct box",IF(AND(N25="Instrumento",L25&lt;&gt;"Instrumento"),"Use direct box ou a entrada de instrumento (Hi-Z)",IF(AND(N25="Linha",L25="Microfone"),"Use a entrada de linha, ou direct box na entrada de microfone",IF(AND(N25="Linha",L25="Instrumento"),"Use a entrada de linha",IF(AND(N25="Microfone",L25&lt;&gt;"Microfone"),"Sinal fraco para esta entrada: use a entrada de microfone",IF(AND(G25="Sim",M25&lt;&gt;"Sim"),"Ligue o phantom deste canal, com o canal em mute",IF(AND(F25="Desbalanceada",I25&lt;&gt;"",$M$4&lt;&gt;"",I25&gt;$M$4),"Cabo desbalanceado longo: use direct box e cabo balanceado",IF(AND(J25&lt;&gt;"",COUNTIF($J$13:$J$44,J25)&gt;1),"Via do multicabo repetida: confira",IF(AND(K25&lt;&gt;"",COUNTIF($K$13:$K$44,K25)&gt;1),"Destino repetido: confira",IF(F25="","Informe o tipo de ligação do cabo","Ligação correta")))))))))))))))</f>
        <v/>
      </c>
      <c r="Q25" s="5"/>
    </row>
    <row r="26" customFormat="false" ht="21.75" hidden="false" customHeight="true" outlineLevel="0" collapsed="false">
      <c r="B26" s="18" t="n">
        <v>14</v>
      </c>
      <c r="C26" s="5"/>
      <c r="D26" s="9"/>
      <c r="E26" s="9"/>
      <c r="F26" s="9"/>
      <c r="G26" s="9"/>
      <c r="H26" s="9"/>
      <c r="I26" s="9"/>
      <c r="J26" s="9"/>
      <c r="K26" s="5"/>
      <c r="L26" s="9"/>
      <c r="M26" s="9"/>
      <c r="N26" s="19" t="str">
        <f aca="false">IF(D26="","",IF(OR(E26="Passiva",E26="Ativa"),"Microfone",D26))</f>
        <v/>
      </c>
      <c r="O26" s="20" t="str">
        <f aca="false">IF(OR(D26="",L26=""),"",IF(AND(N26="Alto-falante",L26&lt;&gt;"Caixa passiva"),"Erro",IF(AND(L26="Caixa passiva",N26&lt;&gt;"Alto-falante"),"Erro",IF(AND(N26="Alto-falante",F26&lt;&gt;"Cabo de caixa"),"Erro",IF(AND(F26="Cabo de caixa",N26&lt;&gt;"Alto-falante"),"Erro",IF(AND(M26="Sim",F26="Desbalanceada"),"Erro",IF(AND(N26="Instrumento",L26&lt;&gt;"Instrumento"),"Atenção",IF(AND(N26="Linha",L26="Microfone"),"Atenção",IF(AND(N26="Linha",L26="Instrumento"),"Atenção",IF(AND(N26="Microfone",L26&lt;&gt;"Microfone"),"Atenção",IF(AND(G26="Sim",M26&lt;&gt;"Sim"),"Atenção",IF(AND(F26="Desbalanceada",I26&lt;&gt;"",$M$4&lt;&gt;"",I26&gt;$M$4),"Atenção",IF(AND(J26&lt;&gt;"",COUNTIF($J$13:$J$44,J26)&gt;1),"Atenção",IF(AND(K26&lt;&gt;"",COUNTIF($K$13:$K$44,K26)&gt;1),"Atenção",IF(F26="","Atenção","OK")))))))))))))))</f>
        <v/>
      </c>
      <c r="P26" s="21" t="str">
        <f aca="false">IF(OR(D26="",L26=""),"",IF(AND(N26="Alto-falante",L26&lt;&gt;"Caixa passiva"),"Saída de amplificador só pode ir para caixa passiva",IF(AND(L26="Caixa passiva",N26&lt;&gt;"Alto-falante"),"Caixa passiva precisa de um amplificador antes dela",IF(AND(N26="Alto-falante",F26&lt;&gt;"Cabo de caixa"),"Use cabo de caixa: dois condutores grossos, sem malha",IF(AND(F26="Cabo de caixa",N26&lt;&gt;"Alto-falante"),"Cabo de caixa não tem malha: use cabo blindado",IF(AND(M26="Sim",F26="Desbalanceada"),"Desligue o phantom ou passe a fonte por direct box",IF(AND(N26="Instrumento",L26&lt;&gt;"Instrumento"),"Use direct box ou a entrada de instrumento (Hi-Z)",IF(AND(N26="Linha",L26="Microfone"),"Use a entrada de linha, ou direct box na entrada de microfone",IF(AND(N26="Linha",L26="Instrumento"),"Use a entrada de linha",IF(AND(N26="Microfone",L26&lt;&gt;"Microfone"),"Sinal fraco para esta entrada: use a entrada de microfone",IF(AND(G26="Sim",M26&lt;&gt;"Sim"),"Ligue o phantom deste canal, com o canal em mute",IF(AND(F26="Desbalanceada",I26&lt;&gt;"",$M$4&lt;&gt;"",I26&gt;$M$4),"Cabo desbalanceado longo: use direct box e cabo balanceado",IF(AND(J26&lt;&gt;"",COUNTIF($J$13:$J$44,J26)&gt;1),"Via do multicabo repetida: confira",IF(AND(K26&lt;&gt;"",COUNTIF($K$13:$K$44,K26)&gt;1),"Destino repetido: confira",IF(F26="","Informe o tipo de ligação do cabo","Ligação correta")))))))))))))))</f>
        <v/>
      </c>
      <c r="Q26" s="5"/>
    </row>
    <row r="27" customFormat="false" ht="21.75" hidden="false" customHeight="true" outlineLevel="0" collapsed="false">
      <c r="B27" s="18" t="n">
        <v>15</v>
      </c>
      <c r="C27" s="5"/>
      <c r="D27" s="9"/>
      <c r="E27" s="9"/>
      <c r="F27" s="9"/>
      <c r="G27" s="9"/>
      <c r="H27" s="9"/>
      <c r="I27" s="9"/>
      <c r="J27" s="9"/>
      <c r="K27" s="5"/>
      <c r="L27" s="9"/>
      <c r="M27" s="9"/>
      <c r="N27" s="19" t="str">
        <f aca="false">IF(D27="","",IF(OR(E27="Passiva",E27="Ativa"),"Microfone",D27))</f>
        <v/>
      </c>
      <c r="O27" s="20" t="str">
        <f aca="false">IF(OR(D27="",L27=""),"",IF(AND(N27="Alto-falante",L27&lt;&gt;"Caixa passiva"),"Erro",IF(AND(L27="Caixa passiva",N27&lt;&gt;"Alto-falante"),"Erro",IF(AND(N27="Alto-falante",F27&lt;&gt;"Cabo de caixa"),"Erro",IF(AND(F27="Cabo de caixa",N27&lt;&gt;"Alto-falante"),"Erro",IF(AND(M27="Sim",F27="Desbalanceada"),"Erro",IF(AND(N27="Instrumento",L27&lt;&gt;"Instrumento"),"Atenção",IF(AND(N27="Linha",L27="Microfone"),"Atenção",IF(AND(N27="Linha",L27="Instrumento"),"Atenção",IF(AND(N27="Microfone",L27&lt;&gt;"Microfone"),"Atenção",IF(AND(G27="Sim",M27&lt;&gt;"Sim"),"Atenção",IF(AND(F27="Desbalanceada",I27&lt;&gt;"",$M$4&lt;&gt;"",I27&gt;$M$4),"Atenção",IF(AND(J27&lt;&gt;"",COUNTIF($J$13:$J$44,J27)&gt;1),"Atenção",IF(AND(K27&lt;&gt;"",COUNTIF($K$13:$K$44,K27)&gt;1),"Atenção",IF(F27="","Atenção","OK")))))))))))))))</f>
        <v/>
      </c>
      <c r="P27" s="21" t="str">
        <f aca="false">IF(OR(D27="",L27=""),"",IF(AND(N27="Alto-falante",L27&lt;&gt;"Caixa passiva"),"Saída de amplificador só pode ir para caixa passiva",IF(AND(L27="Caixa passiva",N27&lt;&gt;"Alto-falante"),"Caixa passiva precisa de um amplificador antes dela",IF(AND(N27="Alto-falante",F27&lt;&gt;"Cabo de caixa"),"Use cabo de caixa: dois condutores grossos, sem malha",IF(AND(F27="Cabo de caixa",N27&lt;&gt;"Alto-falante"),"Cabo de caixa não tem malha: use cabo blindado",IF(AND(M27="Sim",F27="Desbalanceada"),"Desligue o phantom ou passe a fonte por direct box",IF(AND(N27="Instrumento",L27&lt;&gt;"Instrumento"),"Use direct box ou a entrada de instrumento (Hi-Z)",IF(AND(N27="Linha",L27="Microfone"),"Use a entrada de linha, ou direct box na entrada de microfone",IF(AND(N27="Linha",L27="Instrumento"),"Use a entrada de linha",IF(AND(N27="Microfone",L27&lt;&gt;"Microfone"),"Sinal fraco para esta entrada: use a entrada de microfone",IF(AND(G27="Sim",M27&lt;&gt;"Sim"),"Ligue o phantom deste canal, com o canal em mute",IF(AND(F27="Desbalanceada",I27&lt;&gt;"",$M$4&lt;&gt;"",I27&gt;$M$4),"Cabo desbalanceado longo: use direct box e cabo balanceado",IF(AND(J27&lt;&gt;"",COUNTIF($J$13:$J$44,J27)&gt;1),"Via do multicabo repetida: confira",IF(AND(K27&lt;&gt;"",COUNTIF($K$13:$K$44,K27)&gt;1),"Destino repetido: confira",IF(F27="","Informe o tipo de ligação do cabo","Ligação correta")))))))))))))))</f>
        <v/>
      </c>
      <c r="Q27" s="5"/>
    </row>
    <row r="28" customFormat="false" ht="21.75" hidden="false" customHeight="true" outlineLevel="0" collapsed="false">
      <c r="B28" s="18" t="n">
        <v>16</v>
      </c>
      <c r="C28" s="5"/>
      <c r="D28" s="9"/>
      <c r="E28" s="9"/>
      <c r="F28" s="9"/>
      <c r="G28" s="9"/>
      <c r="H28" s="9"/>
      <c r="I28" s="9"/>
      <c r="J28" s="9"/>
      <c r="K28" s="5"/>
      <c r="L28" s="9"/>
      <c r="M28" s="9"/>
      <c r="N28" s="19" t="str">
        <f aca="false">IF(D28="","",IF(OR(E28="Passiva",E28="Ativa"),"Microfone",D28))</f>
        <v/>
      </c>
      <c r="O28" s="20" t="str">
        <f aca="false">IF(OR(D28="",L28=""),"",IF(AND(N28="Alto-falante",L28&lt;&gt;"Caixa passiva"),"Erro",IF(AND(L28="Caixa passiva",N28&lt;&gt;"Alto-falante"),"Erro",IF(AND(N28="Alto-falante",F28&lt;&gt;"Cabo de caixa"),"Erro",IF(AND(F28="Cabo de caixa",N28&lt;&gt;"Alto-falante"),"Erro",IF(AND(M28="Sim",F28="Desbalanceada"),"Erro",IF(AND(N28="Instrumento",L28&lt;&gt;"Instrumento"),"Atenção",IF(AND(N28="Linha",L28="Microfone"),"Atenção",IF(AND(N28="Linha",L28="Instrumento"),"Atenção",IF(AND(N28="Microfone",L28&lt;&gt;"Microfone"),"Atenção",IF(AND(G28="Sim",M28&lt;&gt;"Sim"),"Atenção",IF(AND(F28="Desbalanceada",I28&lt;&gt;"",$M$4&lt;&gt;"",I28&gt;$M$4),"Atenção",IF(AND(J28&lt;&gt;"",COUNTIF($J$13:$J$44,J28)&gt;1),"Atenção",IF(AND(K28&lt;&gt;"",COUNTIF($K$13:$K$44,K28)&gt;1),"Atenção",IF(F28="","Atenção","OK")))))))))))))))</f>
        <v/>
      </c>
      <c r="P28" s="21" t="str">
        <f aca="false">IF(OR(D28="",L28=""),"",IF(AND(N28="Alto-falante",L28&lt;&gt;"Caixa passiva"),"Saída de amplificador só pode ir para caixa passiva",IF(AND(L28="Caixa passiva",N28&lt;&gt;"Alto-falante"),"Caixa passiva precisa de um amplificador antes dela",IF(AND(N28="Alto-falante",F28&lt;&gt;"Cabo de caixa"),"Use cabo de caixa: dois condutores grossos, sem malha",IF(AND(F28="Cabo de caixa",N28&lt;&gt;"Alto-falante"),"Cabo de caixa não tem malha: use cabo blindado",IF(AND(M28="Sim",F28="Desbalanceada"),"Desligue o phantom ou passe a fonte por direct box",IF(AND(N28="Instrumento",L28&lt;&gt;"Instrumento"),"Use direct box ou a entrada de instrumento (Hi-Z)",IF(AND(N28="Linha",L28="Microfone"),"Use a entrada de linha, ou direct box na entrada de microfone",IF(AND(N28="Linha",L28="Instrumento"),"Use a entrada de linha",IF(AND(N28="Microfone",L28&lt;&gt;"Microfone"),"Sinal fraco para esta entrada: use a entrada de microfone",IF(AND(G28="Sim",M28&lt;&gt;"Sim"),"Ligue o phantom deste canal, com o canal em mute",IF(AND(F28="Desbalanceada",I28&lt;&gt;"",$M$4&lt;&gt;"",I28&gt;$M$4),"Cabo desbalanceado longo: use direct box e cabo balanceado",IF(AND(J28&lt;&gt;"",COUNTIF($J$13:$J$44,J28)&gt;1),"Via do multicabo repetida: confira",IF(AND(K28&lt;&gt;"",COUNTIF($K$13:$K$44,K28)&gt;1),"Destino repetido: confira",IF(F28="","Informe o tipo de ligação do cabo","Ligação correta")))))))))))))))</f>
        <v/>
      </c>
      <c r="Q28" s="5"/>
    </row>
    <row r="29" customFormat="false" ht="21.75" hidden="false" customHeight="true" outlineLevel="0" collapsed="false">
      <c r="B29" s="18" t="n">
        <v>17</v>
      </c>
      <c r="C29" s="5"/>
      <c r="D29" s="9"/>
      <c r="E29" s="9"/>
      <c r="F29" s="9"/>
      <c r="G29" s="9"/>
      <c r="H29" s="9"/>
      <c r="I29" s="9"/>
      <c r="J29" s="9"/>
      <c r="K29" s="5"/>
      <c r="L29" s="9"/>
      <c r="M29" s="9"/>
      <c r="N29" s="19" t="str">
        <f aca="false">IF(D29="","",IF(OR(E29="Passiva",E29="Ativa"),"Microfone",D29))</f>
        <v/>
      </c>
      <c r="O29" s="20" t="str">
        <f aca="false">IF(OR(D29="",L29=""),"",IF(AND(N29="Alto-falante",L29&lt;&gt;"Caixa passiva"),"Erro",IF(AND(L29="Caixa passiva",N29&lt;&gt;"Alto-falante"),"Erro",IF(AND(N29="Alto-falante",F29&lt;&gt;"Cabo de caixa"),"Erro",IF(AND(F29="Cabo de caixa",N29&lt;&gt;"Alto-falante"),"Erro",IF(AND(M29="Sim",F29="Desbalanceada"),"Erro",IF(AND(N29="Instrumento",L29&lt;&gt;"Instrumento"),"Atenção",IF(AND(N29="Linha",L29="Microfone"),"Atenção",IF(AND(N29="Linha",L29="Instrumento"),"Atenção",IF(AND(N29="Microfone",L29&lt;&gt;"Microfone"),"Atenção",IF(AND(G29="Sim",M29&lt;&gt;"Sim"),"Atenção",IF(AND(F29="Desbalanceada",I29&lt;&gt;"",$M$4&lt;&gt;"",I29&gt;$M$4),"Atenção",IF(AND(J29&lt;&gt;"",COUNTIF($J$13:$J$44,J29)&gt;1),"Atenção",IF(AND(K29&lt;&gt;"",COUNTIF($K$13:$K$44,K29)&gt;1),"Atenção",IF(F29="","Atenção","OK")))))))))))))))</f>
        <v/>
      </c>
      <c r="P29" s="21" t="str">
        <f aca="false">IF(OR(D29="",L29=""),"",IF(AND(N29="Alto-falante",L29&lt;&gt;"Caixa passiva"),"Saída de amplificador só pode ir para caixa passiva",IF(AND(L29="Caixa passiva",N29&lt;&gt;"Alto-falante"),"Caixa passiva precisa de um amplificador antes dela",IF(AND(N29="Alto-falante",F29&lt;&gt;"Cabo de caixa"),"Use cabo de caixa: dois condutores grossos, sem malha",IF(AND(F29="Cabo de caixa",N29&lt;&gt;"Alto-falante"),"Cabo de caixa não tem malha: use cabo blindado",IF(AND(M29="Sim",F29="Desbalanceada"),"Desligue o phantom ou passe a fonte por direct box",IF(AND(N29="Instrumento",L29&lt;&gt;"Instrumento"),"Use direct box ou a entrada de instrumento (Hi-Z)",IF(AND(N29="Linha",L29="Microfone"),"Use a entrada de linha, ou direct box na entrada de microfone",IF(AND(N29="Linha",L29="Instrumento"),"Use a entrada de linha",IF(AND(N29="Microfone",L29&lt;&gt;"Microfone"),"Sinal fraco para esta entrada: use a entrada de microfone",IF(AND(G29="Sim",M29&lt;&gt;"Sim"),"Ligue o phantom deste canal, com o canal em mute",IF(AND(F29="Desbalanceada",I29&lt;&gt;"",$M$4&lt;&gt;"",I29&gt;$M$4),"Cabo desbalanceado longo: use direct box e cabo balanceado",IF(AND(J29&lt;&gt;"",COUNTIF($J$13:$J$44,J29)&gt;1),"Via do multicabo repetida: confira",IF(AND(K29&lt;&gt;"",COUNTIF($K$13:$K$44,K29)&gt;1),"Destino repetido: confira",IF(F29="","Informe o tipo de ligação do cabo","Ligação correta")))))))))))))))</f>
        <v/>
      </c>
      <c r="Q29" s="5"/>
    </row>
    <row r="30" customFormat="false" ht="21.75" hidden="false" customHeight="true" outlineLevel="0" collapsed="false">
      <c r="B30" s="18" t="n">
        <v>18</v>
      </c>
      <c r="C30" s="5"/>
      <c r="D30" s="9"/>
      <c r="E30" s="9"/>
      <c r="F30" s="9"/>
      <c r="G30" s="9"/>
      <c r="H30" s="9"/>
      <c r="I30" s="9"/>
      <c r="J30" s="9"/>
      <c r="K30" s="5"/>
      <c r="L30" s="9"/>
      <c r="M30" s="9"/>
      <c r="N30" s="19" t="str">
        <f aca="false">IF(D30="","",IF(OR(E30="Passiva",E30="Ativa"),"Microfone",D30))</f>
        <v/>
      </c>
      <c r="O30" s="20" t="str">
        <f aca="false">IF(OR(D30="",L30=""),"",IF(AND(N30="Alto-falante",L30&lt;&gt;"Caixa passiva"),"Erro",IF(AND(L30="Caixa passiva",N30&lt;&gt;"Alto-falante"),"Erro",IF(AND(N30="Alto-falante",F30&lt;&gt;"Cabo de caixa"),"Erro",IF(AND(F30="Cabo de caixa",N30&lt;&gt;"Alto-falante"),"Erro",IF(AND(M30="Sim",F30="Desbalanceada"),"Erro",IF(AND(N30="Instrumento",L30&lt;&gt;"Instrumento"),"Atenção",IF(AND(N30="Linha",L30="Microfone"),"Atenção",IF(AND(N30="Linha",L30="Instrumento"),"Atenção",IF(AND(N30="Microfone",L30&lt;&gt;"Microfone"),"Atenção",IF(AND(G30="Sim",M30&lt;&gt;"Sim"),"Atenção",IF(AND(F30="Desbalanceada",I30&lt;&gt;"",$M$4&lt;&gt;"",I30&gt;$M$4),"Atenção",IF(AND(J30&lt;&gt;"",COUNTIF($J$13:$J$44,J30)&gt;1),"Atenção",IF(AND(K30&lt;&gt;"",COUNTIF($K$13:$K$44,K30)&gt;1),"Atenção",IF(F30="","Atenção","OK")))))))))))))))</f>
        <v/>
      </c>
      <c r="P30" s="21" t="str">
        <f aca="false">IF(OR(D30="",L30=""),"",IF(AND(N30="Alto-falante",L30&lt;&gt;"Caixa passiva"),"Saída de amplificador só pode ir para caixa passiva",IF(AND(L30="Caixa passiva",N30&lt;&gt;"Alto-falante"),"Caixa passiva precisa de um amplificador antes dela",IF(AND(N30="Alto-falante",F30&lt;&gt;"Cabo de caixa"),"Use cabo de caixa: dois condutores grossos, sem malha",IF(AND(F30="Cabo de caixa",N30&lt;&gt;"Alto-falante"),"Cabo de caixa não tem malha: use cabo blindado",IF(AND(M30="Sim",F30="Desbalanceada"),"Desligue o phantom ou passe a fonte por direct box",IF(AND(N30="Instrumento",L30&lt;&gt;"Instrumento"),"Use direct box ou a entrada de instrumento (Hi-Z)",IF(AND(N30="Linha",L30="Microfone"),"Use a entrada de linha, ou direct box na entrada de microfone",IF(AND(N30="Linha",L30="Instrumento"),"Use a entrada de linha",IF(AND(N30="Microfone",L30&lt;&gt;"Microfone"),"Sinal fraco para esta entrada: use a entrada de microfone",IF(AND(G30="Sim",M30&lt;&gt;"Sim"),"Ligue o phantom deste canal, com o canal em mute",IF(AND(F30="Desbalanceada",I30&lt;&gt;"",$M$4&lt;&gt;"",I30&gt;$M$4),"Cabo desbalanceado longo: use direct box e cabo balanceado",IF(AND(J30&lt;&gt;"",COUNTIF($J$13:$J$44,J30)&gt;1),"Via do multicabo repetida: confira",IF(AND(K30&lt;&gt;"",COUNTIF($K$13:$K$44,K30)&gt;1),"Destino repetido: confira",IF(F30="","Informe o tipo de ligação do cabo","Ligação correta")))))))))))))))</f>
        <v/>
      </c>
      <c r="Q30" s="5"/>
    </row>
    <row r="31" customFormat="false" ht="21.75" hidden="false" customHeight="true" outlineLevel="0" collapsed="false">
      <c r="B31" s="18" t="n">
        <v>19</v>
      </c>
      <c r="C31" s="5"/>
      <c r="D31" s="9"/>
      <c r="E31" s="9"/>
      <c r="F31" s="9"/>
      <c r="G31" s="9"/>
      <c r="H31" s="9"/>
      <c r="I31" s="9"/>
      <c r="J31" s="9"/>
      <c r="K31" s="5"/>
      <c r="L31" s="9"/>
      <c r="M31" s="9"/>
      <c r="N31" s="19" t="str">
        <f aca="false">IF(D31="","",IF(OR(E31="Passiva",E31="Ativa"),"Microfone",D31))</f>
        <v/>
      </c>
      <c r="O31" s="20" t="str">
        <f aca="false">IF(OR(D31="",L31=""),"",IF(AND(N31="Alto-falante",L31&lt;&gt;"Caixa passiva"),"Erro",IF(AND(L31="Caixa passiva",N31&lt;&gt;"Alto-falante"),"Erro",IF(AND(N31="Alto-falante",F31&lt;&gt;"Cabo de caixa"),"Erro",IF(AND(F31="Cabo de caixa",N31&lt;&gt;"Alto-falante"),"Erro",IF(AND(M31="Sim",F31="Desbalanceada"),"Erro",IF(AND(N31="Instrumento",L31&lt;&gt;"Instrumento"),"Atenção",IF(AND(N31="Linha",L31="Microfone"),"Atenção",IF(AND(N31="Linha",L31="Instrumento"),"Atenção",IF(AND(N31="Microfone",L31&lt;&gt;"Microfone"),"Atenção",IF(AND(G31="Sim",M31&lt;&gt;"Sim"),"Atenção",IF(AND(F31="Desbalanceada",I31&lt;&gt;"",$M$4&lt;&gt;"",I31&gt;$M$4),"Atenção",IF(AND(J31&lt;&gt;"",COUNTIF($J$13:$J$44,J31)&gt;1),"Atenção",IF(AND(K31&lt;&gt;"",COUNTIF($K$13:$K$44,K31)&gt;1),"Atenção",IF(F31="","Atenção","OK")))))))))))))))</f>
        <v/>
      </c>
      <c r="P31" s="21" t="str">
        <f aca="false">IF(OR(D31="",L31=""),"",IF(AND(N31="Alto-falante",L31&lt;&gt;"Caixa passiva"),"Saída de amplificador só pode ir para caixa passiva",IF(AND(L31="Caixa passiva",N31&lt;&gt;"Alto-falante"),"Caixa passiva precisa de um amplificador antes dela",IF(AND(N31="Alto-falante",F31&lt;&gt;"Cabo de caixa"),"Use cabo de caixa: dois condutores grossos, sem malha",IF(AND(F31="Cabo de caixa",N31&lt;&gt;"Alto-falante"),"Cabo de caixa não tem malha: use cabo blindado",IF(AND(M31="Sim",F31="Desbalanceada"),"Desligue o phantom ou passe a fonte por direct box",IF(AND(N31="Instrumento",L31&lt;&gt;"Instrumento"),"Use direct box ou a entrada de instrumento (Hi-Z)",IF(AND(N31="Linha",L31="Microfone"),"Use a entrada de linha, ou direct box na entrada de microfone",IF(AND(N31="Linha",L31="Instrumento"),"Use a entrada de linha",IF(AND(N31="Microfone",L31&lt;&gt;"Microfone"),"Sinal fraco para esta entrada: use a entrada de microfone",IF(AND(G31="Sim",M31&lt;&gt;"Sim"),"Ligue o phantom deste canal, com o canal em mute",IF(AND(F31="Desbalanceada",I31&lt;&gt;"",$M$4&lt;&gt;"",I31&gt;$M$4),"Cabo desbalanceado longo: use direct box e cabo balanceado",IF(AND(J31&lt;&gt;"",COUNTIF($J$13:$J$44,J31)&gt;1),"Via do multicabo repetida: confira",IF(AND(K31&lt;&gt;"",COUNTIF($K$13:$K$44,K31)&gt;1),"Destino repetido: confira",IF(F31="","Informe o tipo de ligação do cabo","Ligação correta")))))))))))))))</f>
        <v/>
      </c>
      <c r="Q31" s="5"/>
    </row>
    <row r="32" customFormat="false" ht="21.75" hidden="false" customHeight="true" outlineLevel="0" collapsed="false">
      <c r="B32" s="18" t="n">
        <v>20</v>
      </c>
      <c r="C32" s="5"/>
      <c r="D32" s="9"/>
      <c r="E32" s="9"/>
      <c r="F32" s="9"/>
      <c r="G32" s="9"/>
      <c r="H32" s="9"/>
      <c r="I32" s="9"/>
      <c r="J32" s="9"/>
      <c r="K32" s="5"/>
      <c r="L32" s="9"/>
      <c r="M32" s="9"/>
      <c r="N32" s="19" t="str">
        <f aca="false">IF(D32="","",IF(OR(E32="Passiva",E32="Ativa"),"Microfone",D32))</f>
        <v/>
      </c>
      <c r="O32" s="20" t="str">
        <f aca="false">IF(OR(D32="",L32=""),"",IF(AND(N32="Alto-falante",L32&lt;&gt;"Caixa passiva"),"Erro",IF(AND(L32="Caixa passiva",N32&lt;&gt;"Alto-falante"),"Erro",IF(AND(N32="Alto-falante",F32&lt;&gt;"Cabo de caixa"),"Erro",IF(AND(F32="Cabo de caixa",N32&lt;&gt;"Alto-falante"),"Erro",IF(AND(M32="Sim",F32="Desbalanceada"),"Erro",IF(AND(N32="Instrumento",L32&lt;&gt;"Instrumento"),"Atenção",IF(AND(N32="Linha",L32="Microfone"),"Atenção",IF(AND(N32="Linha",L32="Instrumento"),"Atenção",IF(AND(N32="Microfone",L32&lt;&gt;"Microfone"),"Atenção",IF(AND(G32="Sim",M32&lt;&gt;"Sim"),"Atenção",IF(AND(F32="Desbalanceada",I32&lt;&gt;"",$M$4&lt;&gt;"",I32&gt;$M$4),"Atenção",IF(AND(J32&lt;&gt;"",COUNTIF($J$13:$J$44,J32)&gt;1),"Atenção",IF(AND(K32&lt;&gt;"",COUNTIF($K$13:$K$44,K32)&gt;1),"Atenção",IF(F32="","Atenção","OK")))))))))))))))</f>
        <v/>
      </c>
      <c r="P32" s="21" t="str">
        <f aca="false">IF(OR(D32="",L32=""),"",IF(AND(N32="Alto-falante",L32&lt;&gt;"Caixa passiva"),"Saída de amplificador só pode ir para caixa passiva",IF(AND(L32="Caixa passiva",N32&lt;&gt;"Alto-falante"),"Caixa passiva precisa de um amplificador antes dela",IF(AND(N32="Alto-falante",F32&lt;&gt;"Cabo de caixa"),"Use cabo de caixa: dois condutores grossos, sem malha",IF(AND(F32="Cabo de caixa",N32&lt;&gt;"Alto-falante"),"Cabo de caixa não tem malha: use cabo blindado",IF(AND(M32="Sim",F32="Desbalanceada"),"Desligue o phantom ou passe a fonte por direct box",IF(AND(N32="Instrumento",L32&lt;&gt;"Instrumento"),"Use direct box ou a entrada de instrumento (Hi-Z)",IF(AND(N32="Linha",L32="Microfone"),"Use a entrada de linha, ou direct box na entrada de microfone",IF(AND(N32="Linha",L32="Instrumento"),"Use a entrada de linha",IF(AND(N32="Microfone",L32&lt;&gt;"Microfone"),"Sinal fraco para esta entrada: use a entrada de microfone",IF(AND(G32="Sim",M32&lt;&gt;"Sim"),"Ligue o phantom deste canal, com o canal em mute",IF(AND(F32="Desbalanceada",I32&lt;&gt;"",$M$4&lt;&gt;"",I32&gt;$M$4),"Cabo desbalanceado longo: use direct box e cabo balanceado",IF(AND(J32&lt;&gt;"",COUNTIF($J$13:$J$44,J32)&gt;1),"Via do multicabo repetida: confira",IF(AND(K32&lt;&gt;"",COUNTIF($K$13:$K$44,K32)&gt;1),"Destino repetido: confira",IF(F32="","Informe o tipo de ligação do cabo","Ligação correta")))))))))))))))</f>
        <v/>
      </c>
      <c r="Q32" s="5"/>
    </row>
    <row r="33" customFormat="false" ht="21.75" hidden="false" customHeight="true" outlineLevel="0" collapsed="false">
      <c r="B33" s="18" t="n">
        <v>21</v>
      </c>
      <c r="C33" s="5"/>
      <c r="D33" s="9"/>
      <c r="E33" s="9"/>
      <c r="F33" s="9"/>
      <c r="G33" s="9"/>
      <c r="H33" s="9"/>
      <c r="I33" s="9"/>
      <c r="J33" s="9"/>
      <c r="K33" s="5"/>
      <c r="L33" s="9"/>
      <c r="M33" s="9"/>
      <c r="N33" s="19" t="str">
        <f aca="false">IF(D33="","",IF(OR(E33="Passiva",E33="Ativa"),"Microfone",D33))</f>
        <v/>
      </c>
      <c r="O33" s="20" t="str">
        <f aca="false">IF(OR(D33="",L33=""),"",IF(AND(N33="Alto-falante",L33&lt;&gt;"Caixa passiva"),"Erro",IF(AND(L33="Caixa passiva",N33&lt;&gt;"Alto-falante"),"Erro",IF(AND(N33="Alto-falante",F33&lt;&gt;"Cabo de caixa"),"Erro",IF(AND(F33="Cabo de caixa",N33&lt;&gt;"Alto-falante"),"Erro",IF(AND(M33="Sim",F33="Desbalanceada"),"Erro",IF(AND(N33="Instrumento",L33&lt;&gt;"Instrumento"),"Atenção",IF(AND(N33="Linha",L33="Microfone"),"Atenção",IF(AND(N33="Linha",L33="Instrumento"),"Atenção",IF(AND(N33="Microfone",L33&lt;&gt;"Microfone"),"Atenção",IF(AND(G33="Sim",M33&lt;&gt;"Sim"),"Atenção",IF(AND(F33="Desbalanceada",I33&lt;&gt;"",$M$4&lt;&gt;"",I33&gt;$M$4),"Atenção",IF(AND(J33&lt;&gt;"",COUNTIF($J$13:$J$44,J33)&gt;1),"Atenção",IF(AND(K33&lt;&gt;"",COUNTIF($K$13:$K$44,K33)&gt;1),"Atenção",IF(F33="","Atenção","OK")))))))))))))))</f>
        <v/>
      </c>
      <c r="P33" s="21" t="str">
        <f aca="false">IF(OR(D33="",L33=""),"",IF(AND(N33="Alto-falante",L33&lt;&gt;"Caixa passiva"),"Saída de amplificador só pode ir para caixa passiva",IF(AND(L33="Caixa passiva",N33&lt;&gt;"Alto-falante"),"Caixa passiva precisa de um amplificador antes dela",IF(AND(N33="Alto-falante",F33&lt;&gt;"Cabo de caixa"),"Use cabo de caixa: dois condutores grossos, sem malha",IF(AND(F33="Cabo de caixa",N33&lt;&gt;"Alto-falante"),"Cabo de caixa não tem malha: use cabo blindado",IF(AND(M33="Sim",F33="Desbalanceada"),"Desligue o phantom ou passe a fonte por direct box",IF(AND(N33="Instrumento",L33&lt;&gt;"Instrumento"),"Use direct box ou a entrada de instrumento (Hi-Z)",IF(AND(N33="Linha",L33="Microfone"),"Use a entrada de linha, ou direct box na entrada de microfone",IF(AND(N33="Linha",L33="Instrumento"),"Use a entrada de linha",IF(AND(N33="Microfone",L33&lt;&gt;"Microfone"),"Sinal fraco para esta entrada: use a entrada de microfone",IF(AND(G33="Sim",M33&lt;&gt;"Sim"),"Ligue o phantom deste canal, com o canal em mute",IF(AND(F33="Desbalanceada",I33&lt;&gt;"",$M$4&lt;&gt;"",I33&gt;$M$4),"Cabo desbalanceado longo: use direct box e cabo balanceado",IF(AND(J33&lt;&gt;"",COUNTIF($J$13:$J$44,J33)&gt;1),"Via do multicabo repetida: confira",IF(AND(K33&lt;&gt;"",COUNTIF($K$13:$K$44,K33)&gt;1),"Destino repetido: confira",IF(F33="","Informe o tipo de ligação do cabo","Ligação correta")))))))))))))))</f>
        <v/>
      </c>
      <c r="Q33" s="5"/>
    </row>
    <row r="34" customFormat="false" ht="21.75" hidden="false" customHeight="true" outlineLevel="0" collapsed="false">
      <c r="B34" s="18" t="n">
        <v>22</v>
      </c>
      <c r="C34" s="5"/>
      <c r="D34" s="9"/>
      <c r="E34" s="9"/>
      <c r="F34" s="9"/>
      <c r="G34" s="9"/>
      <c r="H34" s="9"/>
      <c r="I34" s="9"/>
      <c r="J34" s="9"/>
      <c r="K34" s="5"/>
      <c r="L34" s="9"/>
      <c r="M34" s="9"/>
      <c r="N34" s="19" t="str">
        <f aca="false">IF(D34="","",IF(OR(E34="Passiva",E34="Ativa"),"Microfone",D34))</f>
        <v/>
      </c>
      <c r="O34" s="20" t="str">
        <f aca="false">IF(OR(D34="",L34=""),"",IF(AND(N34="Alto-falante",L34&lt;&gt;"Caixa passiva"),"Erro",IF(AND(L34="Caixa passiva",N34&lt;&gt;"Alto-falante"),"Erro",IF(AND(N34="Alto-falante",F34&lt;&gt;"Cabo de caixa"),"Erro",IF(AND(F34="Cabo de caixa",N34&lt;&gt;"Alto-falante"),"Erro",IF(AND(M34="Sim",F34="Desbalanceada"),"Erro",IF(AND(N34="Instrumento",L34&lt;&gt;"Instrumento"),"Atenção",IF(AND(N34="Linha",L34="Microfone"),"Atenção",IF(AND(N34="Linha",L34="Instrumento"),"Atenção",IF(AND(N34="Microfone",L34&lt;&gt;"Microfone"),"Atenção",IF(AND(G34="Sim",M34&lt;&gt;"Sim"),"Atenção",IF(AND(F34="Desbalanceada",I34&lt;&gt;"",$M$4&lt;&gt;"",I34&gt;$M$4),"Atenção",IF(AND(J34&lt;&gt;"",COUNTIF($J$13:$J$44,J34)&gt;1),"Atenção",IF(AND(K34&lt;&gt;"",COUNTIF($K$13:$K$44,K34)&gt;1),"Atenção",IF(F34="","Atenção","OK")))))))))))))))</f>
        <v/>
      </c>
      <c r="P34" s="21" t="str">
        <f aca="false">IF(OR(D34="",L34=""),"",IF(AND(N34="Alto-falante",L34&lt;&gt;"Caixa passiva"),"Saída de amplificador só pode ir para caixa passiva",IF(AND(L34="Caixa passiva",N34&lt;&gt;"Alto-falante"),"Caixa passiva precisa de um amplificador antes dela",IF(AND(N34="Alto-falante",F34&lt;&gt;"Cabo de caixa"),"Use cabo de caixa: dois condutores grossos, sem malha",IF(AND(F34="Cabo de caixa",N34&lt;&gt;"Alto-falante"),"Cabo de caixa não tem malha: use cabo blindado",IF(AND(M34="Sim",F34="Desbalanceada"),"Desligue o phantom ou passe a fonte por direct box",IF(AND(N34="Instrumento",L34&lt;&gt;"Instrumento"),"Use direct box ou a entrada de instrumento (Hi-Z)",IF(AND(N34="Linha",L34="Microfone"),"Use a entrada de linha, ou direct box na entrada de microfone",IF(AND(N34="Linha",L34="Instrumento"),"Use a entrada de linha",IF(AND(N34="Microfone",L34&lt;&gt;"Microfone"),"Sinal fraco para esta entrada: use a entrada de microfone",IF(AND(G34="Sim",M34&lt;&gt;"Sim"),"Ligue o phantom deste canal, com o canal em mute",IF(AND(F34="Desbalanceada",I34&lt;&gt;"",$M$4&lt;&gt;"",I34&gt;$M$4),"Cabo desbalanceado longo: use direct box e cabo balanceado",IF(AND(J34&lt;&gt;"",COUNTIF($J$13:$J$44,J34)&gt;1),"Via do multicabo repetida: confira",IF(AND(K34&lt;&gt;"",COUNTIF($K$13:$K$44,K34)&gt;1),"Destino repetido: confira",IF(F34="","Informe o tipo de ligação do cabo","Ligação correta")))))))))))))))</f>
        <v/>
      </c>
      <c r="Q34" s="5"/>
    </row>
    <row r="35" customFormat="false" ht="21.75" hidden="false" customHeight="true" outlineLevel="0" collapsed="false">
      <c r="B35" s="18" t="n">
        <v>23</v>
      </c>
      <c r="C35" s="5"/>
      <c r="D35" s="9"/>
      <c r="E35" s="9"/>
      <c r="F35" s="9"/>
      <c r="G35" s="9"/>
      <c r="H35" s="9"/>
      <c r="I35" s="9"/>
      <c r="J35" s="9"/>
      <c r="K35" s="5"/>
      <c r="L35" s="9"/>
      <c r="M35" s="9"/>
      <c r="N35" s="19" t="str">
        <f aca="false">IF(D35="","",IF(OR(E35="Passiva",E35="Ativa"),"Microfone",D35))</f>
        <v/>
      </c>
      <c r="O35" s="20" t="str">
        <f aca="false">IF(OR(D35="",L35=""),"",IF(AND(N35="Alto-falante",L35&lt;&gt;"Caixa passiva"),"Erro",IF(AND(L35="Caixa passiva",N35&lt;&gt;"Alto-falante"),"Erro",IF(AND(N35="Alto-falante",F35&lt;&gt;"Cabo de caixa"),"Erro",IF(AND(F35="Cabo de caixa",N35&lt;&gt;"Alto-falante"),"Erro",IF(AND(M35="Sim",F35="Desbalanceada"),"Erro",IF(AND(N35="Instrumento",L35&lt;&gt;"Instrumento"),"Atenção",IF(AND(N35="Linha",L35="Microfone"),"Atenção",IF(AND(N35="Linha",L35="Instrumento"),"Atenção",IF(AND(N35="Microfone",L35&lt;&gt;"Microfone"),"Atenção",IF(AND(G35="Sim",M35&lt;&gt;"Sim"),"Atenção",IF(AND(F35="Desbalanceada",I35&lt;&gt;"",$M$4&lt;&gt;"",I35&gt;$M$4),"Atenção",IF(AND(J35&lt;&gt;"",COUNTIF($J$13:$J$44,J35)&gt;1),"Atenção",IF(AND(K35&lt;&gt;"",COUNTIF($K$13:$K$44,K35)&gt;1),"Atenção",IF(F35="","Atenção","OK")))))))))))))))</f>
        <v/>
      </c>
      <c r="P35" s="21" t="str">
        <f aca="false">IF(OR(D35="",L35=""),"",IF(AND(N35="Alto-falante",L35&lt;&gt;"Caixa passiva"),"Saída de amplificador só pode ir para caixa passiva",IF(AND(L35="Caixa passiva",N35&lt;&gt;"Alto-falante"),"Caixa passiva precisa de um amplificador antes dela",IF(AND(N35="Alto-falante",F35&lt;&gt;"Cabo de caixa"),"Use cabo de caixa: dois condutores grossos, sem malha",IF(AND(F35="Cabo de caixa",N35&lt;&gt;"Alto-falante"),"Cabo de caixa não tem malha: use cabo blindado",IF(AND(M35="Sim",F35="Desbalanceada"),"Desligue o phantom ou passe a fonte por direct box",IF(AND(N35="Instrumento",L35&lt;&gt;"Instrumento"),"Use direct box ou a entrada de instrumento (Hi-Z)",IF(AND(N35="Linha",L35="Microfone"),"Use a entrada de linha, ou direct box na entrada de microfone",IF(AND(N35="Linha",L35="Instrumento"),"Use a entrada de linha",IF(AND(N35="Microfone",L35&lt;&gt;"Microfone"),"Sinal fraco para esta entrada: use a entrada de microfone",IF(AND(G35="Sim",M35&lt;&gt;"Sim"),"Ligue o phantom deste canal, com o canal em mute",IF(AND(F35="Desbalanceada",I35&lt;&gt;"",$M$4&lt;&gt;"",I35&gt;$M$4),"Cabo desbalanceado longo: use direct box e cabo balanceado",IF(AND(J35&lt;&gt;"",COUNTIF($J$13:$J$44,J35)&gt;1),"Via do multicabo repetida: confira",IF(AND(K35&lt;&gt;"",COUNTIF($K$13:$K$44,K35)&gt;1),"Destino repetido: confira",IF(F35="","Informe o tipo de ligação do cabo","Ligação correta")))))))))))))))</f>
        <v/>
      </c>
      <c r="Q35" s="5"/>
    </row>
    <row r="36" customFormat="false" ht="21.75" hidden="false" customHeight="true" outlineLevel="0" collapsed="false">
      <c r="B36" s="18" t="n">
        <v>24</v>
      </c>
      <c r="C36" s="5"/>
      <c r="D36" s="9"/>
      <c r="E36" s="9"/>
      <c r="F36" s="9"/>
      <c r="G36" s="9"/>
      <c r="H36" s="9"/>
      <c r="I36" s="9"/>
      <c r="J36" s="9"/>
      <c r="K36" s="5"/>
      <c r="L36" s="9"/>
      <c r="M36" s="9"/>
      <c r="N36" s="19" t="str">
        <f aca="false">IF(D36="","",IF(OR(E36="Passiva",E36="Ativa"),"Microfone",D36))</f>
        <v/>
      </c>
      <c r="O36" s="20" t="str">
        <f aca="false">IF(OR(D36="",L36=""),"",IF(AND(N36="Alto-falante",L36&lt;&gt;"Caixa passiva"),"Erro",IF(AND(L36="Caixa passiva",N36&lt;&gt;"Alto-falante"),"Erro",IF(AND(N36="Alto-falante",F36&lt;&gt;"Cabo de caixa"),"Erro",IF(AND(F36="Cabo de caixa",N36&lt;&gt;"Alto-falante"),"Erro",IF(AND(M36="Sim",F36="Desbalanceada"),"Erro",IF(AND(N36="Instrumento",L36&lt;&gt;"Instrumento"),"Atenção",IF(AND(N36="Linha",L36="Microfone"),"Atenção",IF(AND(N36="Linha",L36="Instrumento"),"Atenção",IF(AND(N36="Microfone",L36&lt;&gt;"Microfone"),"Atenção",IF(AND(G36="Sim",M36&lt;&gt;"Sim"),"Atenção",IF(AND(F36="Desbalanceada",I36&lt;&gt;"",$M$4&lt;&gt;"",I36&gt;$M$4),"Atenção",IF(AND(J36&lt;&gt;"",COUNTIF($J$13:$J$44,J36)&gt;1),"Atenção",IF(AND(K36&lt;&gt;"",COUNTIF($K$13:$K$44,K36)&gt;1),"Atenção",IF(F36="","Atenção","OK")))))))))))))))</f>
        <v/>
      </c>
      <c r="P36" s="21" t="str">
        <f aca="false">IF(OR(D36="",L36=""),"",IF(AND(N36="Alto-falante",L36&lt;&gt;"Caixa passiva"),"Saída de amplificador só pode ir para caixa passiva",IF(AND(L36="Caixa passiva",N36&lt;&gt;"Alto-falante"),"Caixa passiva precisa de um amplificador antes dela",IF(AND(N36="Alto-falante",F36&lt;&gt;"Cabo de caixa"),"Use cabo de caixa: dois condutores grossos, sem malha",IF(AND(F36="Cabo de caixa",N36&lt;&gt;"Alto-falante"),"Cabo de caixa não tem malha: use cabo blindado",IF(AND(M36="Sim",F36="Desbalanceada"),"Desligue o phantom ou passe a fonte por direct box",IF(AND(N36="Instrumento",L36&lt;&gt;"Instrumento"),"Use direct box ou a entrada de instrumento (Hi-Z)",IF(AND(N36="Linha",L36="Microfone"),"Use a entrada de linha, ou direct box na entrada de microfone",IF(AND(N36="Linha",L36="Instrumento"),"Use a entrada de linha",IF(AND(N36="Microfone",L36&lt;&gt;"Microfone"),"Sinal fraco para esta entrada: use a entrada de microfone",IF(AND(G36="Sim",M36&lt;&gt;"Sim"),"Ligue o phantom deste canal, com o canal em mute",IF(AND(F36="Desbalanceada",I36&lt;&gt;"",$M$4&lt;&gt;"",I36&gt;$M$4),"Cabo desbalanceado longo: use direct box e cabo balanceado",IF(AND(J36&lt;&gt;"",COUNTIF($J$13:$J$44,J36)&gt;1),"Via do multicabo repetida: confira",IF(AND(K36&lt;&gt;"",COUNTIF($K$13:$K$44,K36)&gt;1),"Destino repetido: confira",IF(F36="","Informe o tipo de ligação do cabo","Ligação correta")))))))))))))))</f>
        <v/>
      </c>
      <c r="Q36" s="5"/>
    </row>
    <row r="37" customFormat="false" ht="21.75" hidden="false" customHeight="true" outlineLevel="0" collapsed="false">
      <c r="B37" s="18" t="n">
        <v>25</v>
      </c>
      <c r="C37" s="5"/>
      <c r="D37" s="9"/>
      <c r="E37" s="9"/>
      <c r="F37" s="9"/>
      <c r="G37" s="9"/>
      <c r="H37" s="9"/>
      <c r="I37" s="9"/>
      <c r="J37" s="9"/>
      <c r="K37" s="5"/>
      <c r="L37" s="9"/>
      <c r="M37" s="9"/>
      <c r="N37" s="19" t="str">
        <f aca="false">IF(D37="","",IF(OR(E37="Passiva",E37="Ativa"),"Microfone",D37))</f>
        <v/>
      </c>
      <c r="O37" s="20" t="str">
        <f aca="false">IF(OR(D37="",L37=""),"",IF(AND(N37="Alto-falante",L37&lt;&gt;"Caixa passiva"),"Erro",IF(AND(L37="Caixa passiva",N37&lt;&gt;"Alto-falante"),"Erro",IF(AND(N37="Alto-falante",F37&lt;&gt;"Cabo de caixa"),"Erro",IF(AND(F37="Cabo de caixa",N37&lt;&gt;"Alto-falante"),"Erro",IF(AND(M37="Sim",F37="Desbalanceada"),"Erro",IF(AND(N37="Instrumento",L37&lt;&gt;"Instrumento"),"Atenção",IF(AND(N37="Linha",L37="Microfone"),"Atenção",IF(AND(N37="Linha",L37="Instrumento"),"Atenção",IF(AND(N37="Microfone",L37&lt;&gt;"Microfone"),"Atenção",IF(AND(G37="Sim",M37&lt;&gt;"Sim"),"Atenção",IF(AND(F37="Desbalanceada",I37&lt;&gt;"",$M$4&lt;&gt;"",I37&gt;$M$4),"Atenção",IF(AND(J37&lt;&gt;"",COUNTIF($J$13:$J$44,J37)&gt;1),"Atenção",IF(AND(K37&lt;&gt;"",COUNTIF($K$13:$K$44,K37)&gt;1),"Atenção",IF(F37="","Atenção","OK")))))))))))))))</f>
        <v/>
      </c>
      <c r="P37" s="21" t="str">
        <f aca="false">IF(OR(D37="",L37=""),"",IF(AND(N37="Alto-falante",L37&lt;&gt;"Caixa passiva"),"Saída de amplificador só pode ir para caixa passiva",IF(AND(L37="Caixa passiva",N37&lt;&gt;"Alto-falante"),"Caixa passiva precisa de um amplificador antes dela",IF(AND(N37="Alto-falante",F37&lt;&gt;"Cabo de caixa"),"Use cabo de caixa: dois condutores grossos, sem malha",IF(AND(F37="Cabo de caixa",N37&lt;&gt;"Alto-falante"),"Cabo de caixa não tem malha: use cabo blindado",IF(AND(M37="Sim",F37="Desbalanceada"),"Desligue o phantom ou passe a fonte por direct box",IF(AND(N37="Instrumento",L37&lt;&gt;"Instrumento"),"Use direct box ou a entrada de instrumento (Hi-Z)",IF(AND(N37="Linha",L37="Microfone"),"Use a entrada de linha, ou direct box na entrada de microfone",IF(AND(N37="Linha",L37="Instrumento"),"Use a entrada de linha",IF(AND(N37="Microfone",L37&lt;&gt;"Microfone"),"Sinal fraco para esta entrada: use a entrada de microfone",IF(AND(G37="Sim",M37&lt;&gt;"Sim"),"Ligue o phantom deste canal, com o canal em mute",IF(AND(F37="Desbalanceada",I37&lt;&gt;"",$M$4&lt;&gt;"",I37&gt;$M$4),"Cabo desbalanceado longo: use direct box e cabo balanceado",IF(AND(J37&lt;&gt;"",COUNTIF($J$13:$J$44,J37)&gt;1),"Via do multicabo repetida: confira",IF(AND(K37&lt;&gt;"",COUNTIF($K$13:$K$44,K37)&gt;1),"Destino repetido: confira",IF(F37="","Informe o tipo de ligação do cabo","Ligação correta")))))))))))))))</f>
        <v/>
      </c>
      <c r="Q37" s="5"/>
    </row>
    <row r="38" customFormat="false" ht="21.75" hidden="false" customHeight="true" outlineLevel="0" collapsed="false">
      <c r="B38" s="18" t="n">
        <v>26</v>
      </c>
      <c r="C38" s="5"/>
      <c r="D38" s="9"/>
      <c r="E38" s="9"/>
      <c r="F38" s="9"/>
      <c r="G38" s="9"/>
      <c r="H38" s="9"/>
      <c r="I38" s="9"/>
      <c r="J38" s="9"/>
      <c r="K38" s="5"/>
      <c r="L38" s="9"/>
      <c r="M38" s="9"/>
      <c r="N38" s="19" t="str">
        <f aca="false">IF(D38="","",IF(OR(E38="Passiva",E38="Ativa"),"Microfone",D38))</f>
        <v/>
      </c>
      <c r="O38" s="20" t="str">
        <f aca="false">IF(OR(D38="",L38=""),"",IF(AND(N38="Alto-falante",L38&lt;&gt;"Caixa passiva"),"Erro",IF(AND(L38="Caixa passiva",N38&lt;&gt;"Alto-falante"),"Erro",IF(AND(N38="Alto-falante",F38&lt;&gt;"Cabo de caixa"),"Erro",IF(AND(F38="Cabo de caixa",N38&lt;&gt;"Alto-falante"),"Erro",IF(AND(M38="Sim",F38="Desbalanceada"),"Erro",IF(AND(N38="Instrumento",L38&lt;&gt;"Instrumento"),"Atenção",IF(AND(N38="Linha",L38="Microfone"),"Atenção",IF(AND(N38="Linha",L38="Instrumento"),"Atenção",IF(AND(N38="Microfone",L38&lt;&gt;"Microfone"),"Atenção",IF(AND(G38="Sim",M38&lt;&gt;"Sim"),"Atenção",IF(AND(F38="Desbalanceada",I38&lt;&gt;"",$M$4&lt;&gt;"",I38&gt;$M$4),"Atenção",IF(AND(J38&lt;&gt;"",COUNTIF($J$13:$J$44,J38)&gt;1),"Atenção",IF(AND(K38&lt;&gt;"",COUNTIF($K$13:$K$44,K38)&gt;1),"Atenção",IF(F38="","Atenção","OK")))))))))))))))</f>
        <v/>
      </c>
      <c r="P38" s="21" t="str">
        <f aca="false">IF(OR(D38="",L38=""),"",IF(AND(N38="Alto-falante",L38&lt;&gt;"Caixa passiva"),"Saída de amplificador só pode ir para caixa passiva",IF(AND(L38="Caixa passiva",N38&lt;&gt;"Alto-falante"),"Caixa passiva precisa de um amplificador antes dela",IF(AND(N38="Alto-falante",F38&lt;&gt;"Cabo de caixa"),"Use cabo de caixa: dois condutores grossos, sem malha",IF(AND(F38="Cabo de caixa",N38&lt;&gt;"Alto-falante"),"Cabo de caixa não tem malha: use cabo blindado",IF(AND(M38="Sim",F38="Desbalanceada"),"Desligue o phantom ou passe a fonte por direct box",IF(AND(N38="Instrumento",L38&lt;&gt;"Instrumento"),"Use direct box ou a entrada de instrumento (Hi-Z)",IF(AND(N38="Linha",L38="Microfone"),"Use a entrada de linha, ou direct box na entrada de microfone",IF(AND(N38="Linha",L38="Instrumento"),"Use a entrada de linha",IF(AND(N38="Microfone",L38&lt;&gt;"Microfone"),"Sinal fraco para esta entrada: use a entrada de microfone",IF(AND(G38="Sim",M38&lt;&gt;"Sim"),"Ligue o phantom deste canal, com o canal em mute",IF(AND(F38="Desbalanceada",I38&lt;&gt;"",$M$4&lt;&gt;"",I38&gt;$M$4),"Cabo desbalanceado longo: use direct box e cabo balanceado",IF(AND(J38&lt;&gt;"",COUNTIF($J$13:$J$44,J38)&gt;1),"Via do multicabo repetida: confira",IF(AND(K38&lt;&gt;"",COUNTIF($K$13:$K$44,K38)&gt;1),"Destino repetido: confira",IF(F38="","Informe o tipo de ligação do cabo","Ligação correta")))))))))))))))</f>
        <v/>
      </c>
      <c r="Q38" s="5"/>
    </row>
    <row r="39" customFormat="false" ht="21.75" hidden="false" customHeight="true" outlineLevel="0" collapsed="false">
      <c r="B39" s="18" t="n">
        <v>27</v>
      </c>
      <c r="C39" s="5"/>
      <c r="D39" s="9"/>
      <c r="E39" s="9"/>
      <c r="F39" s="9"/>
      <c r="G39" s="9"/>
      <c r="H39" s="9"/>
      <c r="I39" s="9"/>
      <c r="J39" s="9"/>
      <c r="K39" s="5"/>
      <c r="L39" s="9"/>
      <c r="M39" s="9"/>
      <c r="N39" s="19" t="str">
        <f aca="false">IF(D39="","",IF(OR(E39="Passiva",E39="Ativa"),"Microfone",D39))</f>
        <v/>
      </c>
      <c r="O39" s="20" t="str">
        <f aca="false">IF(OR(D39="",L39=""),"",IF(AND(N39="Alto-falante",L39&lt;&gt;"Caixa passiva"),"Erro",IF(AND(L39="Caixa passiva",N39&lt;&gt;"Alto-falante"),"Erro",IF(AND(N39="Alto-falante",F39&lt;&gt;"Cabo de caixa"),"Erro",IF(AND(F39="Cabo de caixa",N39&lt;&gt;"Alto-falante"),"Erro",IF(AND(M39="Sim",F39="Desbalanceada"),"Erro",IF(AND(N39="Instrumento",L39&lt;&gt;"Instrumento"),"Atenção",IF(AND(N39="Linha",L39="Microfone"),"Atenção",IF(AND(N39="Linha",L39="Instrumento"),"Atenção",IF(AND(N39="Microfone",L39&lt;&gt;"Microfone"),"Atenção",IF(AND(G39="Sim",M39&lt;&gt;"Sim"),"Atenção",IF(AND(F39="Desbalanceada",I39&lt;&gt;"",$M$4&lt;&gt;"",I39&gt;$M$4),"Atenção",IF(AND(J39&lt;&gt;"",COUNTIF($J$13:$J$44,J39)&gt;1),"Atenção",IF(AND(K39&lt;&gt;"",COUNTIF($K$13:$K$44,K39)&gt;1),"Atenção",IF(F39="","Atenção","OK")))))))))))))))</f>
        <v/>
      </c>
      <c r="P39" s="21" t="str">
        <f aca="false">IF(OR(D39="",L39=""),"",IF(AND(N39="Alto-falante",L39&lt;&gt;"Caixa passiva"),"Saída de amplificador só pode ir para caixa passiva",IF(AND(L39="Caixa passiva",N39&lt;&gt;"Alto-falante"),"Caixa passiva precisa de um amplificador antes dela",IF(AND(N39="Alto-falante",F39&lt;&gt;"Cabo de caixa"),"Use cabo de caixa: dois condutores grossos, sem malha",IF(AND(F39="Cabo de caixa",N39&lt;&gt;"Alto-falante"),"Cabo de caixa não tem malha: use cabo blindado",IF(AND(M39="Sim",F39="Desbalanceada"),"Desligue o phantom ou passe a fonte por direct box",IF(AND(N39="Instrumento",L39&lt;&gt;"Instrumento"),"Use direct box ou a entrada de instrumento (Hi-Z)",IF(AND(N39="Linha",L39="Microfone"),"Use a entrada de linha, ou direct box na entrada de microfone",IF(AND(N39="Linha",L39="Instrumento"),"Use a entrada de linha",IF(AND(N39="Microfone",L39&lt;&gt;"Microfone"),"Sinal fraco para esta entrada: use a entrada de microfone",IF(AND(G39="Sim",M39&lt;&gt;"Sim"),"Ligue o phantom deste canal, com o canal em mute",IF(AND(F39="Desbalanceada",I39&lt;&gt;"",$M$4&lt;&gt;"",I39&gt;$M$4),"Cabo desbalanceado longo: use direct box e cabo balanceado",IF(AND(J39&lt;&gt;"",COUNTIF($J$13:$J$44,J39)&gt;1),"Via do multicabo repetida: confira",IF(AND(K39&lt;&gt;"",COUNTIF($K$13:$K$44,K39)&gt;1),"Destino repetido: confira",IF(F39="","Informe o tipo de ligação do cabo","Ligação correta")))))))))))))))</f>
        <v/>
      </c>
      <c r="Q39" s="5"/>
    </row>
    <row r="40" customFormat="false" ht="21.75" hidden="false" customHeight="true" outlineLevel="0" collapsed="false">
      <c r="B40" s="18" t="n">
        <v>28</v>
      </c>
      <c r="C40" s="5"/>
      <c r="D40" s="9"/>
      <c r="E40" s="9"/>
      <c r="F40" s="9"/>
      <c r="G40" s="9"/>
      <c r="H40" s="9"/>
      <c r="I40" s="9"/>
      <c r="J40" s="9"/>
      <c r="K40" s="5"/>
      <c r="L40" s="9"/>
      <c r="M40" s="9"/>
      <c r="N40" s="19" t="str">
        <f aca="false">IF(D40="","",IF(OR(E40="Passiva",E40="Ativa"),"Microfone",D40))</f>
        <v/>
      </c>
      <c r="O40" s="20" t="str">
        <f aca="false">IF(OR(D40="",L40=""),"",IF(AND(N40="Alto-falante",L40&lt;&gt;"Caixa passiva"),"Erro",IF(AND(L40="Caixa passiva",N40&lt;&gt;"Alto-falante"),"Erro",IF(AND(N40="Alto-falante",F40&lt;&gt;"Cabo de caixa"),"Erro",IF(AND(F40="Cabo de caixa",N40&lt;&gt;"Alto-falante"),"Erro",IF(AND(M40="Sim",F40="Desbalanceada"),"Erro",IF(AND(N40="Instrumento",L40&lt;&gt;"Instrumento"),"Atenção",IF(AND(N40="Linha",L40="Microfone"),"Atenção",IF(AND(N40="Linha",L40="Instrumento"),"Atenção",IF(AND(N40="Microfone",L40&lt;&gt;"Microfone"),"Atenção",IF(AND(G40="Sim",M40&lt;&gt;"Sim"),"Atenção",IF(AND(F40="Desbalanceada",I40&lt;&gt;"",$M$4&lt;&gt;"",I40&gt;$M$4),"Atenção",IF(AND(J40&lt;&gt;"",COUNTIF($J$13:$J$44,J40)&gt;1),"Atenção",IF(AND(K40&lt;&gt;"",COUNTIF($K$13:$K$44,K40)&gt;1),"Atenção",IF(F40="","Atenção","OK")))))))))))))))</f>
        <v/>
      </c>
      <c r="P40" s="21" t="str">
        <f aca="false">IF(OR(D40="",L40=""),"",IF(AND(N40="Alto-falante",L40&lt;&gt;"Caixa passiva"),"Saída de amplificador só pode ir para caixa passiva",IF(AND(L40="Caixa passiva",N40&lt;&gt;"Alto-falante"),"Caixa passiva precisa de um amplificador antes dela",IF(AND(N40="Alto-falante",F40&lt;&gt;"Cabo de caixa"),"Use cabo de caixa: dois condutores grossos, sem malha",IF(AND(F40="Cabo de caixa",N40&lt;&gt;"Alto-falante"),"Cabo de caixa não tem malha: use cabo blindado",IF(AND(M40="Sim",F40="Desbalanceada"),"Desligue o phantom ou passe a fonte por direct box",IF(AND(N40="Instrumento",L40&lt;&gt;"Instrumento"),"Use direct box ou a entrada de instrumento (Hi-Z)",IF(AND(N40="Linha",L40="Microfone"),"Use a entrada de linha, ou direct box na entrada de microfone",IF(AND(N40="Linha",L40="Instrumento"),"Use a entrada de linha",IF(AND(N40="Microfone",L40&lt;&gt;"Microfone"),"Sinal fraco para esta entrada: use a entrada de microfone",IF(AND(G40="Sim",M40&lt;&gt;"Sim"),"Ligue o phantom deste canal, com o canal em mute",IF(AND(F40="Desbalanceada",I40&lt;&gt;"",$M$4&lt;&gt;"",I40&gt;$M$4),"Cabo desbalanceado longo: use direct box e cabo balanceado",IF(AND(J40&lt;&gt;"",COUNTIF($J$13:$J$44,J40)&gt;1),"Via do multicabo repetida: confira",IF(AND(K40&lt;&gt;"",COUNTIF($K$13:$K$44,K40)&gt;1),"Destino repetido: confira",IF(F40="","Informe o tipo de ligação do cabo","Ligação correta")))))))))))))))</f>
        <v/>
      </c>
      <c r="Q40" s="5"/>
    </row>
    <row r="41" customFormat="false" ht="21.75" hidden="false" customHeight="true" outlineLevel="0" collapsed="false">
      <c r="B41" s="18" t="n">
        <v>29</v>
      </c>
      <c r="C41" s="5"/>
      <c r="D41" s="9"/>
      <c r="E41" s="9"/>
      <c r="F41" s="9"/>
      <c r="G41" s="9"/>
      <c r="H41" s="9"/>
      <c r="I41" s="9"/>
      <c r="J41" s="9"/>
      <c r="K41" s="5"/>
      <c r="L41" s="9"/>
      <c r="M41" s="9"/>
      <c r="N41" s="19" t="str">
        <f aca="false">IF(D41="","",IF(OR(E41="Passiva",E41="Ativa"),"Microfone",D41))</f>
        <v/>
      </c>
      <c r="O41" s="20" t="str">
        <f aca="false">IF(OR(D41="",L41=""),"",IF(AND(N41="Alto-falante",L41&lt;&gt;"Caixa passiva"),"Erro",IF(AND(L41="Caixa passiva",N41&lt;&gt;"Alto-falante"),"Erro",IF(AND(N41="Alto-falante",F41&lt;&gt;"Cabo de caixa"),"Erro",IF(AND(F41="Cabo de caixa",N41&lt;&gt;"Alto-falante"),"Erro",IF(AND(M41="Sim",F41="Desbalanceada"),"Erro",IF(AND(N41="Instrumento",L41&lt;&gt;"Instrumento"),"Atenção",IF(AND(N41="Linha",L41="Microfone"),"Atenção",IF(AND(N41="Linha",L41="Instrumento"),"Atenção",IF(AND(N41="Microfone",L41&lt;&gt;"Microfone"),"Atenção",IF(AND(G41="Sim",M41&lt;&gt;"Sim"),"Atenção",IF(AND(F41="Desbalanceada",I41&lt;&gt;"",$M$4&lt;&gt;"",I41&gt;$M$4),"Atenção",IF(AND(J41&lt;&gt;"",COUNTIF($J$13:$J$44,J41)&gt;1),"Atenção",IF(AND(K41&lt;&gt;"",COUNTIF($K$13:$K$44,K41)&gt;1),"Atenção",IF(F41="","Atenção","OK")))))))))))))))</f>
        <v/>
      </c>
      <c r="P41" s="21" t="str">
        <f aca="false">IF(OR(D41="",L41=""),"",IF(AND(N41="Alto-falante",L41&lt;&gt;"Caixa passiva"),"Saída de amplificador só pode ir para caixa passiva",IF(AND(L41="Caixa passiva",N41&lt;&gt;"Alto-falante"),"Caixa passiva precisa de um amplificador antes dela",IF(AND(N41="Alto-falante",F41&lt;&gt;"Cabo de caixa"),"Use cabo de caixa: dois condutores grossos, sem malha",IF(AND(F41="Cabo de caixa",N41&lt;&gt;"Alto-falante"),"Cabo de caixa não tem malha: use cabo blindado",IF(AND(M41="Sim",F41="Desbalanceada"),"Desligue o phantom ou passe a fonte por direct box",IF(AND(N41="Instrumento",L41&lt;&gt;"Instrumento"),"Use direct box ou a entrada de instrumento (Hi-Z)",IF(AND(N41="Linha",L41="Microfone"),"Use a entrada de linha, ou direct box na entrada de microfone",IF(AND(N41="Linha",L41="Instrumento"),"Use a entrada de linha",IF(AND(N41="Microfone",L41&lt;&gt;"Microfone"),"Sinal fraco para esta entrada: use a entrada de microfone",IF(AND(G41="Sim",M41&lt;&gt;"Sim"),"Ligue o phantom deste canal, com o canal em mute",IF(AND(F41="Desbalanceada",I41&lt;&gt;"",$M$4&lt;&gt;"",I41&gt;$M$4),"Cabo desbalanceado longo: use direct box e cabo balanceado",IF(AND(J41&lt;&gt;"",COUNTIF($J$13:$J$44,J41)&gt;1),"Via do multicabo repetida: confira",IF(AND(K41&lt;&gt;"",COUNTIF($K$13:$K$44,K41)&gt;1),"Destino repetido: confira",IF(F41="","Informe o tipo de ligação do cabo","Ligação correta")))))))))))))))</f>
        <v/>
      </c>
      <c r="Q41" s="5"/>
    </row>
    <row r="42" customFormat="false" ht="21.75" hidden="false" customHeight="true" outlineLevel="0" collapsed="false">
      <c r="B42" s="18" t="n">
        <v>30</v>
      </c>
      <c r="C42" s="5"/>
      <c r="D42" s="9"/>
      <c r="E42" s="9"/>
      <c r="F42" s="9"/>
      <c r="G42" s="9"/>
      <c r="H42" s="9"/>
      <c r="I42" s="9"/>
      <c r="J42" s="9"/>
      <c r="K42" s="5"/>
      <c r="L42" s="9"/>
      <c r="M42" s="9"/>
      <c r="N42" s="19" t="str">
        <f aca="false">IF(D42="","",IF(OR(E42="Passiva",E42="Ativa"),"Microfone",D42))</f>
        <v/>
      </c>
      <c r="O42" s="20" t="str">
        <f aca="false">IF(OR(D42="",L42=""),"",IF(AND(N42="Alto-falante",L42&lt;&gt;"Caixa passiva"),"Erro",IF(AND(L42="Caixa passiva",N42&lt;&gt;"Alto-falante"),"Erro",IF(AND(N42="Alto-falante",F42&lt;&gt;"Cabo de caixa"),"Erro",IF(AND(F42="Cabo de caixa",N42&lt;&gt;"Alto-falante"),"Erro",IF(AND(M42="Sim",F42="Desbalanceada"),"Erro",IF(AND(N42="Instrumento",L42&lt;&gt;"Instrumento"),"Atenção",IF(AND(N42="Linha",L42="Microfone"),"Atenção",IF(AND(N42="Linha",L42="Instrumento"),"Atenção",IF(AND(N42="Microfone",L42&lt;&gt;"Microfone"),"Atenção",IF(AND(G42="Sim",M42&lt;&gt;"Sim"),"Atenção",IF(AND(F42="Desbalanceada",I42&lt;&gt;"",$M$4&lt;&gt;"",I42&gt;$M$4),"Atenção",IF(AND(J42&lt;&gt;"",COUNTIF($J$13:$J$44,J42)&gt;1),"Atenção",IF(AND(K42&lt;&gt;"",COUNTIF($K$13:$K$44,K42)&gt;1),"Atenção",IF(F42="","Atenção","OK")))))))))))))))</f>
        <v/>
      </c>
      <c r="P42" s="21" t="str">
        <f aca="false">IF(OR(D42="",L42=""),"",IF(AND(N42="Alto-falante",L42&lt;&gt;"Caixa passiva"),"Saída de amplificador só pode ir para caixa passiva",IF(AND(L42="Caixa passiva",N42&lt;&gt;"Alto-falante"),"Caixa passiva precisa de um amplificador antes dela",IF(AND(N42="Alto-falante",F42&lt;&gt;"Cabo de caixa"),"Use cabo de caixa: dois condutores grossos, sem malha",IF(AND(F42="Cabo de caixa",N42&lt;&gt;"Alto-falante"),"Cabo de caixa não tem malha: use cabo blindado",IF(AND(M42="Sim",F42="Desbalanceada"),"Desligue o phantom ou passe a fonte por direct box",IF(AND(N42="Instrumento",L42&lt;&gt;"Instrumento"),"Use direct box ou a entrada de instrumento (Hi-Z)",IF(AND(N42="Linha",L42="Microfone"),"Use a entrada de linha, ou direct box na entrada de microfone",IF(AND(N42="Linha",L42="Instrumento"),"Use a entrada de linha",IF(AND(N42="Microfone",L42&lt;&gt;"Microfone"),"Sinal fraco para esta entrada: use a entrada de microfone",IF(AND(G42="Sim",M42&lt;&gt;"Sim"),"Ligue o phantom deste canal, com o canal em mute",IF(AND(F42="Desbalanceada",I42&lt;&gt;"",$M$4&lt;&gt;"",I42&gt;$M$4),"Cabo desbalanceado longo: use direct box e cabo balanceado",IF(AND(J42&lt;&gt;"",COUNTIF($J$13:$J$44,J42)&gt;1),"Via do multicabo repetida: confira",IF(AND(K42&lt;&gt;"",COUNTIF($K$13:$K$44,K42)&gt;1),"Destino repetido: confira",IF(F42="","Informe o tipo de ligação do cabo","Ligação correta")))))))))))))))</f>
        <v/>
      </c>
      <c r="Q42" s="5"/>
    </row>
    <row r="43" customFormat="false" ht="21.75" hidden="false" customHeight="true" outlineLevel="0" collapsed="false">
      <c r="B43" s="18" t="n">
        <v>31</v>
      </c>
      <c r="C43" s="5"/>
      <c r="D43" s="9"/>
      <c r="E43" s="9"/>
      <c r="F43" s="9"/>
      <c r="G43" s="9"/>
      <c r="H43" s="9"/>
      <c r="I43" s="9"/>
      <c r="J43" s="9"/>
      <c r="K43" s="5"/>
      <c r="L43" s="9"/>
      <c r="M43" s="9"/>
      <c r="N43" s="19" t="str">
        <f aca="false">IF(D43="","",IF(OR(E43="Passiva",E43="Ativa"),"Microfone",D43))</f>
        <v/>
      </c>
      <c r="O43" s="20" t="str">
        <f aca="false">IF(OR(D43="",L43=""),"",IF(AND(N43="Alto-falante",L43&lt;&gt;"Caixa passiva"),"Erro",IF(AND(L43="Caixa passiva",N43&lt;&gt;"Alto-falante"),"Erro",IF(AND(N43="Alto-falante",F43&lt;&gt;"Cabo de caixa"),"Erro",IF(AND(F43="Cabo de caixa",N43&lt;&gt;"Alto-falante"),"Erro",IF(AND(M43="Sim",F43="Desbalanceada"),"Erro",IF(AND(N43="Instrumento",L43&lt;&gt;"Instrumento"),"Atenção",IF(AND(N43="Linha",L43="Microfone"),"Atenção",IF(AND(N43="Linha",L43="Instrumento"),"Atenção",IF(AND(N43="Microfone",L43&lt;&gt;"Microfone"),"Atenção",IF(AND(G43="Sim",M43&lt;&gt;"Sim"),"Atenção",IF(AND(F43="Desbalanceada",I43&lt;&gt;"",$M$4&lt;&gt;"",I43&gt;$M$4),"Atenção",IF(AND(J43&lt;&gt;"",COUNTIF($J$13:$J$44,J43)&gt;1),"Atenção",IF(AND(K43&lt;&gt;"",COUNTIF($K$13:$K$44,K43)&gt;1),"Atenção",IF(F43="","Atenção","OK")))))))))))))))</f>
        <v/>
      </c>
      <c r="P43" s="21" t="str">
        <f aca="false">IF(OR(D43="",L43=""),"",IF(AND(N43="Alto-falante",L43&lt;&gt;"Caixa passiva"),"Saída de amplificador só pode ir para caixa passiva",IF(AND(L43="Caixa passiva",N43&lt;&gt;"Alto-falante"),"Caixa passiva precisa de um amplificador antes dela",IF(AND(N43="Alto-falante",F43&lt;&gt;"Cabo de caixa"),"Use cabo de caixa: dois condutores grossos, sem malha",IF(AND(F43="Cabo de caixa",N43&lt;&gt;"Alto-falante"),"Cabo de caixa não tem malha: use cabo blindado",IF(AND(M43="Sim",F43="Desbalanceada"),"Desligue o phantom ou passe a fonte por direct box",IF(AND(N43="Instrumento",L43&lt;&gt;"Instrumento"),"Use direct box ou a entrada de instrumento (Hi-Z)",IF(AND(N43="Linha",L43="Microfone"),"Use a entrada de linha, ou direct box na entrada de microfone",IF(AND(N43="Linha",L43="Instrumento"),"Use a entrada de linha",IF(AND(N43="Microfone",L43&lt;&gt;"Microfone"),"Sinal fraco para esta entrada: use a entrada de microfone",IF(AND(G43="Sim",M43&lt;&gt;"Sim"),"Ligue o phantom deste canal, com o canal em mute",IF(AND(F43="Desbalanceada",I43&lt;&gt;"",$M$4&lt;&gt;"",I43&gt;$M$4),"Cabo desbalanceado longo: use direct box e cabo balanceado",IF(AND(J43&lt;&gt;"",COUNTIF($J$13:$J$44,J43)&gt;1),"Via do multicabo repetida: confira",IF(AND(K43&lt;&gt;"",COUNTIF($K$13:$K$44,K43)&gt;1),"Destino repetido: confira",IF(F43="","Informe o tipo de ligação do cabo","Ligação correta")))))))))))))))</f>
        <v/>
      </c>
      <c r="Q43" s="5"/>
    </row>
    <row r="44" customFormat="false" ht="21.75" hidden="false" customHeight="true" outlineLevel="0" collapsed="false">
      <c r="B44" s="18" t="n">
        <v>32</v>
      </c>
      <c r="C44" s="5"/>
      <c r="D44" s="9"/>
      <c r="E44" s="9"/>
      <c r="F44" s="9"/>
      <c r="G44" s="9"/>
      <c r="H44" s="9"/>
      <c r="I44" s="9"/>
      <c r="J44" s="9"/>
      <c r="K44" s="5"/>
      <c r="L44" s="9"/>
      <c r="M44" s="9"/>
      <c r="N44" s="19" t="str">
        <f aca="false">IF(D44="","",IF(OR(E44="Passiva",E44="Ativa"),"Microfone",D44))</f>
        <v/>
      </c>
      <c r="O44" s="20" t="str">
        <f aca="false">IF(OR(D44="",L44=""),"",IF(AND(N44="Alto-falante",L44&lt;&gt;"Caixa passiva"),"Erro",IF(AND(L44="Caixa passiva",N44&lt;&gt;"Alto-falante"),"Erro",IF(AND(N44="Alto-falante",F44&lt;&gt;"Cabo de caixa"),"Erro",IF(AND(F44="Cabo de caixa",N44&lt;&gt;"Alto-falante"),"Erro",IF(AND(M44="Sim",F44="Desbalanceada"),"Erro",IF(AND(N44="Instrumento",L44&lt;&gt;"Instrumento"),"Atenção",IF(AND(N44="Linha",L44="Microfone"),"Atenção",IF(AND(N44="Linha",L44="Instrumento"),"Atenção",IF(AND(N44="Microfone",L44&lt;&gt;"Microfone"),"Atenção",IF(AND(G44="Sim",M44&lt;&gt;"Sim"),"Atenção",IF(AND(F44="Desbalanceada",I44&lt;&gt;"",$M$4&lt;&gt;"",I44&gt;$M$4),"Atenção",IF(AND(J44&lt;&gt;"",COUNTIF($J$13:$J$44,J44)&gt;1),"Atenção",IF(AND(K44&lt;&gt;"",COUNTIF($K$13:$K$44,K44)&gt;1),"Atenção",IF(F44="","Atenção","OK")))))))))))))))</f>
        <v/>
      </c>
      <c r="P44" s="21" t="str">
        <f aca="false">IF(OR(D44="",L44=""),"",IF(AND(N44="Alto-falante",L44&lt;&gt;"Caixa passiva"),"Saída de amplificador só pode ir para caixa passiva",IF(AND(L44="Caixa passiva",N44&lt;&gt;"Alto-falante"),"Caixa passiva precisa de um amplificador antes dela",IF(AND(N44="Alto-falante",F44&lt;&gt;"Cabo de caixa"),"Use cabo de caixa: dois condutores grossos, sem malha",IF(AND(F44="Cabo de caixa",N44&lt;&gt;"Alto-falante"),"Cabo de caixa não tem malha: use cabo blindado",IF(AND(M44="Sim",F44="Desbalanceada"),"Desligue o phantom ou passe a fonte por direct box",IF(AND(N44="Instrumento",L44&lt;&gt;"Instrumento"),"Use direct box ou a entrada de instrumento (Hi-Z)",IF(AND(N44="Linha",L44="Microfone"),"Use a entrada de linha, ou direct box na entrada de microfone",IF(AND(N44="Linha",L44="Instrumento"),"Use a entrada de linha",IF(AND(N44="Microfone",L44&lt;&gt;"Microfone"),"Sinal fraco para esta entrada: use a entrada de microfone",IF(AND(G44="Sim",M44&lt;&gt;"Sim"),"Ligue o phantom deste canal, com o canal em mute",IF(AND(F44="Desbalanceada",I44&lt;&gt;"",$M$4&lt;&gt;"",I44&gt;$M$4),"Cabo desbalanceado longo: use direct box e cabo balanceado",IF(AND(J44&lt;&gt;"",COUNTIF($J$13:$J$44,J44)&gt;1),"Via do multicabo repetida: confira",IF(AND(K44&lt;&gt;"",COUNTIF($K$13:$K$44,K44)&gt;1),"Destino repetido: confira",IF(F44="","Informe o tipo de ligação do cabo","Ligação correta")))))))))))))))</f>
        <v/>
      </c>
      <c r="Q44" s="5"/>
    </row>
    <row r="46" customFormat="false" ht="21.75" hidden="false" customHeight="true" outlineLevel="0" collapsed="false">
      <c r="B46" s="12" t="s">
        <v>106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customFormat="false" ht="19.5" hidden="false" customHeight="true" outlineLevel="0" collapsed="false">
      <c r="B47" s="22" t="s">
        <v>107</v>
      </c>
      <c r="C47" s="22"/>
      <c r="D47" s="22"/>
      <c r="E47" s="22"/>
      <c r="F47" s="8" t="n">
        <f aca="false">COUNTA(C13:C44)</f>
        <v>0</v>
      </c>
    </row>
    <row r="48" customFormat="false" ht="19.5" hidden="false" customHeight="true" outlineLevel="0" collapsed="false">
      <c r="B48" s="22" t="s">
        <v>108</v>
      </c>
      <c r="C48" s="22"/>
      <c r="D48" s="22"/>
      <c r="E48" s="22"/>
      <c r="F48" s="8" t="n">
        <f aca="false">COUNTIF(O13:O44,"OK")+COUNTIF(O13:O44,"Atenção")+COUNTIF(O13:O44,"Erro")</f>
        <v>0</v>
      </c>
    </row>
    <row r="49" customFormat="false" ht="19.5" hidden="false" customHeight="true" outlineLevel="0" collapsed="false">
      <c r="B49" s="22" t="s">
        <v>109</v>
      </c>
      <c r="C49" s="22"/>
      <c r="D49" s="22"/>
      <c r="E49" s="22"/>
      <c r="F49" s="8" t="n">
        <f aca="false">COUNTIF(O13:O44,"OK")</f>
        <v>0</v>
      </c>
    </row>
    <row r="50" customFormat="false" ht="19.5" hidden="false" customHeight="true" outlineLevel="0" collapsed="false">
      <c r="B50" s="22" t="s">
        <v>110</v>
      </c>
      <c r="C50" s="22"/>
      <c r="D50" s="22"/>
      <c r="E50" s="22"/>
      <c r="F50" s="8" t="n">
        <f aca="false">COUNTIF(O13:O44,"Atenção")</f>
        <v>0</v>
      </c>
    </row>
    <row r="51" customFormat="false" ht="19.5" hidden="false" customHeight="true" outlineLevel="0" collapsed="false">
      <c r="B51" s="22" t="s">
        <v>111</v>
      </c>
      <c r="C51" s="22"/>
      <c r="D51" s="22"/>
      <c r="E51" s="22"/>
      <c r="F51" s="8" t="n">
        <f aca="false">COUNTIF(O13:O44,"Erro")</f>
        <v>0</v>
      </c>
    </row>
    <row r="52" customFormat="false" ht="19.5" hidden="false" customHeight="true" outlineLevel="0" collapsed="false">
      <c r="B52" s="22" t="s">
        <v>112</v>
      </c>
      <c r="C52" s="22"/>
      <c r="D52" s="22"/>
      <c r="E52" s="22"/>
      <c r="F52" s="8" t="n">
        <f aca="false">COUNTIF(M13:M44,"Sim")</f>
        <v>0</v>
      </c>
    </row>
    <row r="53" customFormat="false" ht="19.5" hidden="false" customHeight="true" outlineLevel="0" collapsed="false">
      <c r="B53" s="22" t="s">
        <v>113</v>
      </c>
      <c r="C53" s="22"/>
      <c r="D53" s="22"/>
      <c r="E53" s="22"/>
      <c r="F53" s="8" t="n">
        <f aca="false">COUNTA(J13:J44)</f>
        <v>0</v>
      </c>
    </row>
    <row r="54" customFormat="false" ht="19.5" hidden="false" customHeight="true" outlineLevel="0" collapsed="false">
      <c r="B54" s="22" t="s">
        <v>114</v>
      </c>
      <c r="C54" s="22"/>
      <c r="D54" s="22"/>
      <c r="E54" s="22"/>
      <c r="F54" s="8" t="n">
        <f aca="false">COUNTIF(E13:E44,"Passiva")+COUNTIF(E13:E44,"Ativa")</f>
        <v>0</v>
      </c>
    </row>
    <row r="55" customFormat="false" ht="21.75" hidden="false" customHeight="true" outlineLevel="0" collapsed="false">
      <c r="B55" s="22" t="s">
        <v>115</v>
      </c>
      <c r="C55" s="22"/>
      <c r="D55" s="22"/>
      <c r="E55" s="22"/>
      <c r="F55" s="23" t="str">
        <f aca="false">IF(F47=0,"Liste as ligações",IF(F51&gt;0,"Há erro de ligação: corrija antes de ligar o sistema",IF(F50&gt;0,"Há ligação a conferir",IF(F48&lt;F47,"Há ligação sem nível ou sem entrada informados","OK"))))</f>
        <v>Liste as ligações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</row>
  </sheetData>
  <mergeCells count="27">
    <mergeCell ref="B1:Q1"/>
    <mergeCell ref="B2:Q2"/>
    <mergeCell ref="B4:C4"/>
    <mergeCell ref="D4:H4"/>
    <mergeCell ref="I4:L4"/>
    <mergeCell ref="N4:Q4"/>
    <mergeCell ref="B5:C5"/>
    <mergeCell ref="D5:H5"/>
    <mergeCell ref="I5:Q5"/>
    <mergeCell ref="B6:C6"/>
    <mergeCell ref="D6:H6"/>
    <mergeCell ref="I6:Q6"/>
    <mergeCell ref="B7:C7"/>
    <mergeCell ref="D7:H7"/>
    <mergeCell ref="I7:Q7"/>
    <mergeCell ref="B9:Q9"/>
    <mergeCell ref="B46:Q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F55:P55"/>
  </mergeCells>
  <conditionalFormatting sqref="O13:O4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"Erro"</formula>
    </cfRule>
  </conditionalFormatting>
  <conditionalFormatting sqref="F55:P55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9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4" type="decimal">
      <formula1>-1000000000</formula1>
      <formula2>1000000000</formula2>
    </dataValidation>
    <dataValidation allowBlank="true" error="Escolha uma das opções da lista." errorStyle="stop" errorTitle="Valor inválido" operator="between" prompt="Microfone, Instrumento, Linha ou Alto-falante." promptTitle="Opções" showDropDown="false" showErrorMessage="true" showInputMessage="true" sqref="D13:D44" type="list">
      <formula1>"Microfone,Instrumento,Linha,Alto-falante"</formula1>
      <formula2>0</formula2>
    </dataValidation>
    <dataValidation allowBlank="true" error="Escolha uma das opções da lista." errorStyle="stop" errorTitle="Valor inválido" operator="between" prompt="A fonte passa por direct box? Não, Passiva ou Ativa." promptTitle="Opções" showDropDown="false" showErrorMessage="true" showInputMessage="true" sqref="E13:E44" type="list">
      <formula1>"Não,Passiva,Ativa"</formula1>
      <formula2>0</formula2>
    </dataValidation>
    <dataValidation allowBlank="true" error="Escolha uma das opções da lista." errorStyle="stop" errorTitle="Valor inválido" operator="between" prompt="Balanceada, Desbalanceada ou Cabo de caixa." promptTitle="Opções" showDropDown="false" showErrorMessage="true" showInputMessage="true" sqref="F13:F44" type="list">
      <formula1>"Balanceada,Desbalanceada,Cabo de caixa"</formula1>
      <formula2>0</formula2>
    </dataValidation>
    <dataValidation allowBlank="true" error="Escolha uma das opções da lista." errorStyle="stop" errorTitle="Valor inválido" operator="between" prompt="A fonte precisa de phantom?" promptTitle="Opções" showDropDown="false" showErrorMessage="true" showInputMessage="true" sqref="G13:G44" type="list">
      <formula1>"Sim,Não"</formula1>
      <formula2>0</formula2>
    </dataValidation>
    <dataValidation allowBlank="true" error="Escolha uma das opções da lista." errorStyle="stop" errorTitle="Valor inválido" operator="between" prompt="Microfone, Instrumento, Linha ou Caixa passiva." promptTitle="Opções" showDropDown="false" showErrorMessage="true" showInputMessage="true" sqref="L13:L44" type="list">
      <formula1>"Microfone,Instrumento,Linha,Caixa passiva"</formula1>
      <formula2>0</formula2>
    </dataValidation>
    <dataValidation allowBlank="true" error="Escolha uma das opções da lista." errorStyle="stop" errorTitle="Valor inválido" operator="between" prompt="O phantom deste canal está ligado?" promptTitle="Opções" showDropDown="false" showErrorMessage="true" showInputMessage="true" sqref="M13:M44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13:I4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N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2" min="9" style="0" width="12"/>
    <col collapsed="false" customWidth="true" hidden="false" outlineLevel="0" max="13" min="13" style="0" width="40"/>
    <col collapsed="false" customWidth="true" hidden="false" outlineLevel="0" max="14" min="14" style="0" width="4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118</v>
      </c>
      <c r="C4" s="4"/>
      <c r="D4" s="4"/>
      <c r="E4" s="5"/>
      <c r="F4" s="5"/>
      <c r="G4" s="5"/>
      <c r="H4" s="5"/>
      <c r="I4" s="10" t="s">
        <v>119</v>
      </c>
      <c r="J4" s="10"/>
      <c r="K4" s="10"/>
      <c r="L4" s="10"/>
      <c r="M4" s="10"/>
      <c r="N4" s="10"/>
    </row>
    <row r="5" customFormat="false" ht="21.75" hidden="false" customHeight="true" outlineLevel="0" collapsed="false">
      <c r="B5" s="4" t="s">
        <v>69</v>
      </c>
      <c r="C5" s="4"/>
      <c r="D5" s="4"/>
      <c r="E5" s="5"/>
      <c r="F5" s="5"/>
      <c r="G5" s="5"/>
      <c r="H5" s="5"/>
      <c r="I5" s="10" t="s">
        <v>120</v>
      </c>
      <c r="J5" s="10"/>
      <c r="K5" s="10"/>
      <c r="L5" s="10"/>
      <c r="M5" s="10"/>
      <c r="N5" s="10"/>
    </row>
    <row r="6" customFormat="false" ht="21.75" hidden="false" customHeight="true" outlineLevel="0" collapsed="false">
      <c r="B6" s="4" t="s">
        <v>121</v>
      </c>
      <c r="C6" s="4"/>
      <c r="D6" s="4"/>
      <c r="E6" s="11"/>
      <c r="F6" s="11"/>
      <c r="G6" s="11"/>
      <c r="H6" s="11"/>
      <c r="I6" s="10" t="s">
        <v>122</v>
      </c>
      <c r="J6" s="10"/>
      <c r="K6" s="10"/>
      <c r="L6" s="10"/>
      <c r="M6" s="10"/>
      <c r="N6" s="10"/>
    </row>
    <row r="8" customFormat="false" ht="21.75" hidden="false" customHeight="true" outlineLevel="0" collapsed="false">
      <c r="B8" s="12" t="s">
        <v>33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30" hidden="false" customHeight="true" outlineLevel="0" collapsed="false">
      <c r="B9" s="13" t="s">
        <v>72</v>
      </c>
      <c r="C9" s="13" t="s">
        <v>123</v>
      </c>
      <c r="D9" s="13" t="s">
        <v>124</v>
      </c>
      <c r="E9" s="13" t="s">
        <v>125</v>
      </c>
      <c r="F9" s="13" t="s">
        <v>126</v>
      </c>
      <c r="G9" s="13" t="s">
        <v>79</v>
      </c>
      <c r="H9" s="15" t="s">
        <v>127</v>
      </c>
      <c r="I9" s="15" t="s">
        <v>128</v>
      </c>
      <c r="J9" s="15" t="s">
        <v>129</v>
      </c>
      <c r="K9" s="15" t="s">
        <v>121</v>
      </c>
      <c r="L9" s="16" t="s">
        <v>84</v>
      </c>
      <c r="M9" s="16" t="s">
        <v>85</v>
      </c>
      <c r="N9" s="13" t="s">
        <v>130</v>
      </c>
    </row>
    <row r="10" customFormat="false" ht="27" hidden="false" customHeight="true" outlineLevel="0" collapsed="false">
      <c r="B10" s="17"/>
      <c r="C10" s="17" t="s">
        <v>131</v>
      </c>
      <c r="D10" s="17" t="s">
        <v>88</v>
      </c>
      <c r="E10" s="17" t="s">
        <v>88</v>
      </c>
      <c r="F10" s="17" t="s">
        <v>88</v>
      </c>
      <c r="G10" s="17" t="s">
        <v>92</v>
      </c>
      <c r="H10" s="17" t="s">
        <v>132</v>
      </c>
      <c r="I10" s="17" t="s">
        <v>132</v>
      </c>
      <c r="J10" s="17" t="s">
        <v>133</v>
      </c>
      <c r="K10" s="17" t="s">
        <v>134</v>
      </c>
      <c r="L10" s="17"/>
      <c r="M10" s="17"/>
      <c r="N10" s="17"/>
    </row>
    <row r="11" customFormat="false" ht="24" hidden="false" customHeight="true" outlineLevel="0" collapsed="false">
      <c r="B11" s="17" t="s">
        <v>95</v>
      </c>
      <c r="C11" s="17" t="s">
        <v>135</v>
      </c>
      <c r="D11" s="10" t="s">
        <v>136</v>
      </c>
      <c r="E11" s="17" t="s">
        <v>137</v>
      </c>
      <c r="F11" s="17" t="s">
        <v>138</v>
      </c>
      <c r="G11" s="17" t="n">
        <v>10</v>
      </c>
      <c r="H11" s="17" t="s">
        <v>104</v>
      </c>
      <c r="I11" s="17" t="s">
        <v>104</v>
      </c>
      <c r="J11" s="17" t="s">
        <v>139</v>
      </c>
      <c r="K11" s="24" t="n">
        <v>46299</v>
      </c>
      <c r="L11" s="17" t="s">
        <v>140</v>
      </c>
      <c r="M11" s="10" t="s">
        <v>141</v>
      </c>
      <c r="N11" s="10"/>
    </row>
    <row r="12" customFormat="false" ht="21.75" hidden="false" customHeight="true" outlineLevel="0" collapsed="false">
      <c r="B12" s="18" t="n">
        <v>1</v>
      </c>
      <c r="C12" s="9"/>
      <c r="D12" s="5"/>
      <c r="E12" s="9"/>
      <c r="F12" s="9"/>
      <c r="G12" s="9"/>
      <c r="H12" s="9"/>
      <c r="I12" s="9"/>
      <c r="J12" s="9"/>
      <c r="K12" s="25"/>
      <c r="L12" s="20" t="str">
        <f aca="false">IF(C12="","",IF(OR(H12="Falha",I12="Falha",J12="Ruim"),"Reparar",IF(OR(H12="",I12=""),"Testar","Liberado")))</f>
        <v/>
      </c>
      <c r="M12" s="21" t="str">
        <f aca="false">IF(L12="","",IF(L12="Reparar","Tire de uso, marque e conserte ou descarte",IF(L12="Testar","Faça os dois testes antes do evento",IF(J12="Regular","Pode usar. Observe no próximo teste","Pode usar"))))</f>
        <v/>
      </c>
      <c r="N12" s="5"/>
    </row>
    <row r="13" customFormat="false" ht="21.75" hidden="false" customHeight="true" outlineLevel="0" collapsed="false">
      <c r="B13" s="18" t="n">
        <v>2</v>
      </c>
      <c r="C13" s="9"/>
      <c r="D13" s="5"/>
      <c r="E13" s="9"/>
      <c r="F13" s="9"/>
      <c r="G13" s="9"/>
      <c r="H13" s="9"/>
      <c r="I13" s="9"/>
      <c r="J13" s="9"/>
      <c r="K13" s="25"/>
      <c r="L13" s="20" t="str">
        <f aca="false">IF(C13="","",IF(OR(H13="Falha",I13="Falha",J13="Ruim"),"Reparar",IF(OR(H13="",I13=""),"Testar","Liberado")))</f>
        <v/>
      </c>
      <c r="M13" s="21" t="str">
        <f aca="false">IF(L13="","",IF(L13="Reparar","Tire de uso, marque e conserte ou descarte",IF(L13="Testar","Faça os dois testes antes do evento",IF(J13="Regular","Pode usar. Observe no próximo teste","Pode usar"))))</f>
        <v/>
      </c>
      <c r="N13" s="5"/>
    </row>
    <row r="14" customFormat="false" ht="21.75" hidden="false" customHeight="true" outlineLevel="0" collapsed="false">
      <c r="B14" s="18" t="n">
        <v>3</v>
      </c>
      <c r="C14" s="9"/>
      <c r="D14" s="5"/>
      <c r="E14" s="9"/>
      <c r="F14" s="9"/>
      <c r="G14" s="9"/>
      <c r="H14" s="9"/>
      <c r="I14" s="9"/>
      <c r="J14" s="9"/>
      <c r="K14" s="25"/>
      <c r="L14" s="20" t="str">
        <f aca="false">IF(C14="","",IF(OR(H14="Falha",I14="Falha",J14="Ruim"),"Reparar",IF(OR(H14="",I14=""),"Testar","Liberado")))</f>
        <v/>
      </c>
      <c r="M14" s="21" t="str">
        <f aca="false">IF(L14="","",IF(L14="Reparar","Tire de uso, marque e conserte ou descarte",IF(L14="Testar","Faça os dois testes antes do evento",IF(J14="Regular","Pode usar. Observe no próximo teste","Pode usar"))))</f>
        <v/>
      </c>
      <c r="N14" s="5"/>
    </row>
    <row r="15" customFormat="false" ht="21.75" hidden="false" customHeight="true" outlineLevel="0" collapsed="false">
      <c r="B15" s="18" t="n">
        <v>4</v>
      </c>
      <c r="C15" s="9"/>
      <c r="D15" s="5"/>
      <c r="E15" s="9"/>
      <c r="F15" s="9"/>
      <c r="G15" s="9"/>
      <c r="H15" s="9"/>
      <c r="I15" s="9"/>
      <c r="J15" s="9"/>
      <c r="K15" s="25"/>
      <c r="L15" s="20" t="str">
        <f aca="false">IF(C15="","",IF(OR(H15="Falha",I15="Falha",J15="Ruim"),"Reparar",IF(OR(H15="",I15=""),"Testar","Liberado")))</f>
        <v/>
      </c>
      <c r="M15" s="21" t="str">
        <f aca="false">IF(L15="","",IF(L15="Reparar","Tire de uso, marque e conserte ou descarte",IF(L15="Testar","Faça os dois testes antes do evento",IF(J15="Regular","Pode usar. Observe no próximo teste","Pode usar"))))</f>
        <v/>
      </c>
      <c r="N15" s="5"/>
    </row>
    <row r="16" customFormat="false" ht="21.75" hidden="false" customHeight="true" outlineLevel="0" collapsed="false">
      <c r="B16" s="18" t="n">
        <v>5</v>
      </c>
      <c r="C16" s="9"/>
      <c r="D16" s="5"/>
      <c r="E16" s="9"/>
      <c r="F16" s="9"/>
      <c r="G16" s="9"/>
      <c r="H16" s="9"/>
      <c r="I16" s="9"/>
      <c r="J16" s="9"/>
      <c r="K16" s="25"/>
      <c r="L16" s="20" t="str">
        <f aca="false">IF(C16="","",IF(OR(H16="Falha",I16="Falha",J16="Ruim"),"Reparar",IF(OR(H16="",I16=""),"Testar","Liberado")))</f>
        <v/>
      </c>
      <c r="M16" s="21" t="str">
        <f aca="false">IF(L16="","",IF(L16="Reparar","Tire de uso, marque e conserte ou descarte",IF(L16="Testar","Faça os dois testes antes do evento",IF(J16="Regular","Pode usar. Observe no próximo teste","Pode usar"))))</f>
        <v/>
      </c>
      <c r="N16" s="5"/>
    </row>
    <row r="17" customFormat="false" ht="21.75" hidden="false" customHeight="true" outlineLevel="0" collapsed="false">
      <c r="B17" s="18" t="n">
        <v>6</v>
      </c>
      <c r="C17" s="9"/>
      <c r="D17" s="5"/>
      <c r="E17" s="9"/>
      <c r="F17" s="9"/>
      <c r="G17" s="9"/>
      <c r="H17" s="9"/>
      <c r="I17" s="9"/>
      <c r="J17" s="9"/>
      <c r="K17" s="25"/>
      <c r="L17" s="20" t="str">
        <f aca="false">IF(C17="","",IF(OR(H17="Falha",I17="Falha",J17="Ruim"),"Reparar",IF(OR(H17="",I17=""),"Testar","Liberado")))</f>
        <v/>
      </c>
      <c r="M17" s="21" t="str">
        <f aca="false">IF(L17="","",IF(L17="Reparar","Tire de uso, marque e conserte ou descarte",IF(L17="Testar","Faça os dois testes antes do evento",IF(J17="Regular","Pode usar. Observe no próximo teste","Pode usar"))))</f>
        <v/>
      </c>
      <c r="N17" s="5"/>
    </row>
    <row r="18" customFormat="false" ht="21.75" hidden="false" customHeight="true" outlineLevel="0" collapsed="false">
      <c r="B18" s="18" t="n">
        <v>7</v>
      </c>
      <c r="C18" s="9"/>
      <c r="D18" s="5"/>
      <c r="E18" s="9"/>
      <c r="F18" s="9"/>
      <c r="G18" s="9"/>
      <c r="H18" s="9"/>
      <c r="I18" s="9"/>
      <c r="J18" s="9"/>
      <c r="K18" s="25"/>
      <c r="L18" s="20" t="str">
        <f aca="false">IF(C18="","",IF(OR(H18="Falha",I18="Falha",J18="Ruim"),"Reparar",IF(OR(H18="",I18=""),"Testar","Liberado")))</f>
        <v/>
      </c>
      <c r="M18" s="21" t="str">
        <f aca="false">IF(L18="","",IF(L18="Reparar","Tire de uso, marque e conserte ou descarte",IF(L18="Testar","Faça os dois testes antes do evento",IF(J18="Regular","Pode usar. Observe no próximo teste","Pode usar"))))</f>
        <v/>
      </c>
      <c r="N18" s="5"/>
    </row>
    <row r="19" customFormat="false" ht="21.75" hidden="false" customHeight="true" outlineLevel="0" collapsed="false">
      <c r="B19" s="18" t="n">
        <v>8</v>
      </c>
      <c r="C19" s="9"/>
      <c r="D19" s="5"/>
      <c r="E19" s="9"/>
      <c r="F19" s="9"/>
      <c r="G19" s="9"/>
      <c r="H19" s="9"/>
      <c r="I19" s="9"/>
      <c r="J19" s="9"/>
      <c r="K19" s="25"/>
      <c r="L19" s="20" t="str">
        <f aca="false">IF(C19="","",IF(OR(H19="Falha",I19="Falha",J19="Ruim"),"Reparar",IF(OR(H19="",I19=""),"Testar","Liberado")))</f>
        <v/>
      </c>
      <c r="M19" s="21" t="str">
        <f aca="false">IF(L19="","",IF(L19="Reparar","Tire de uso, marque e conserte ou descarte",IF(L19="Testar","Faça os dois testes antes do evento",IF(J19="Regular","Pode usar. Observe no próximo teste","Pode usar"))))</f>
        <v/>
      </c>
      <c r="N19" s="5"/>
    </row>
    <row r="20" customFormat="false" ht="21.75" hidden="false" customHeight="true" outlineLevel="0" collapsed="false">
      <c r="B20" s="18" t="n">
        <v>9</v>
      </c>
      <c r="C20" s="9"/>
      <c r="D20" s="5"/>
      <c r="E20" s="9"/>
      <c r="F20" s="9"/>
      <c r="G20" s="9"/>
      <c r="H20" s="9"/>
      <c r="I20" s="9"/>
      <c r="J20" s="9"/>
      <c r="K20" s="25"/>
      <c r="L20" s="20" t="str">
        <f aca="false">IF(C20="","",IF(OR(H20="Falha",I20="Falha",J20="Ruim"),"Reparar",IF(OR(H20="",I20=""),"Testar","Liberado")))</f>
        <v/>
      </c>
      <c r="M20" s="21" t="str">
        <f aca="false">IF(L20="","",IF(L20="Reparar","Tire de uso, marque e conserte ou descarte",IF(L20="Testar","Faça os dois testes antes do evento",IF(J20="Regular","Pode usar. Observe no próximo teste","Pode usar"))))</f>
        <v/>
      </c>
      <c r="N20" s="5"/>
    </row>
    <row r="21" customFormat="false" ht="21.75" hidden="false" customHeight="true" outlineLevel="0" collapsed="false">
      <c r="B21" s="18" t="n">
        <v>10</v>
      </c>
      <c r="C21" s="9"/>
      <c r="D21" s="5"/>
      <c r="E21" s="9"/>
      <c r="F21" s="9"/>
      <c r="G21" s="9"/>
      <c r="H21" s="9"/>
      <c r="I21" s="9"/>
      <c r="J21" s="9"/>
      <c r="K21" s="25"/>
      <c r="L21" s="20" t="str">
        <f aca="false">IF(C21="","",IF(OR(H21="Falha",I21="Falha",J21="Ruim"),"Reparar",IF(OR(H21="",I21=""),"Testar","Liberado")))</f>
        <v/>
      </c>
      <c r="M21" s="21" t="str">
        <f aca="false">IF(L21="","",IF(L21="Reparar","Tire de uso, marque e conserte ou descarte",IF(L21="Testar","Faça os dois testes antes do evento",IF(J21="Regular","Pode usar. Observe no próximo teste","Pode usar"))))</f>
        <v/>
      </c>
      <c r="N21" s="5"/>
    </row>
    <row r="22" customFormat="false" ht="21.75" hidden="false" customHeight="true" outlineLevel="0" collapsed="false">
      <c r="B22" s="18" t="n">
        <v>11</v>
      </c>
      <c r="C22" s="9"/>
      <c r="D22" s="5"/>
      <c r="E22" s="9"/>
      <c r="F22" s="9"/>
      <c r="G22" s="9"/>
      <c r="H22" s="9"/>
      <c r="I22" s="9"/>
      <c r="J22" s="9"/>
      <c r="K22" s="25"/>
      <c r="L22" s="20" t="str">
        <f aca="false">IF(C22="","",IF(OR(H22="Falha",I22="Falha",J22="Ruim"),"Reparar",IF(OR(H22="",I22=""),"Testar","Liberado")))</f>
        <v/>
      </c>
      <c r="M22" s="21" t="str">
        <f aca="false">IF(L22="","",IF(L22="Reparar","Tire de uso, marque e conserte ou descarte",IF(L22="Testar","Faça os dois testes antes do evento",IF(J22="Regular","Pode usar. Observe no próximo teste","Pode usar"))))</f>
        <v/>
      </c>
      <c r="N22" s="5"/>
    </row>
    <row r="23" customFormat="false" ht="21.75" hidden="false" customHeight="true" outlineLevel="0" collapsed="false">
      <c r="B23" s="18" t="n">
        <v>12</v>
      </c>
      <c r="C23" s="9"/>
      <c r="D23" s="5"/>
      <c r="E23" s="9"/>
      <c r="F23" s="9"/>
      <c r="G23" s="9"/>
      <c r="H23" s="9"/>
      <c r="I23" s="9"/>
      <c r="J23" s="9"/>
      <c r="K23" s="25"/>
      <c r="L23" s="20" t="str">
        <f aca="false">IF(C23="","",IF(OR(H23="Falha",I23="Falha",J23="Ruim"),"Reparar",IF(OR(H23="",I23=""),"Testar","Liberado")))</f>
        <v/>
      </c>
      <c r="M23" s="21" t="str">
        <f aca="false">IF(L23="","",IF(L23="Reparar","Tire de uso, marque e conserte ou descarte",IF(L23="Testar","Faça os dois testes antes do evento",IF(J23="Regular","Pode usar. Observe no próximo teste","Pode usar"))))</f>
        <v/>
      </c>
      <c r="N23" s="5"/>
    </row>
    <row r="24" customFormat="false" ht="21.75" hidden="false" customHeight="true" outlineLevel="0" collapsed="false">
      <c r="B24" s="18" t="n">
        <v>13</v>
      </c>
      <c r="C24" s="9"/>
      <c r="D24" s="5"/>
      <c r="E24" s="9"/>
      <c r="F24" s="9"/>
      <c r="G24" s="9"/>
      <c r="H24" s="9"/>
      <c r="I24" s="9"/>
      <c r="J24" s="9"/>
      <c r="K24" s="25"/>
      <c r="L24" s="20" t="str">
        <f aca="false">IF(C24="","",IF(OR(H24="Falha",I24="Falha",J24="Ruim"),"Reparar",IF(OR(H24="",I24=""),"Testar","Liberado")))</f>
        <v/>
      </c>
      <c r="M24" s="21" t="str">
        <f aca="false">IF(L24="","",IF(L24="Reparar","Tire de uso, marque e conserte ou descarte",IF(L24="Testar","Faça os dois testes antes do evento",IF(J24="Regular","Pode usar. Observe no próximo teste","Pode usar"))))</f>
        <v/>
      </c>
      <c r="N24" s="5"/>
    </row>
    <row r="25" customFormat="false" ht="21.75" hidden="false" customHeight="true" outlineLevel="0" collapsed="false">
      <c r="B25" s="18" t="n">
        <v>14</v>
      </c>
      <c r="C25" s="9"/>
      <c r="D25" s="5"/>
      <c r="E25" s="9"/>
      <c r="F25" s="9"/>
      <c r="G25" s="9"/>
      <c r="H25" s="9"/>
      <c r="I25" s="9"/>
      <c r="J25" s="9"/>
      <c r="K25" s="25"/>
      <c r="L25" s="20" t="str">
        <f aca="false">IF(C25="","",IF(OR(H25="Falha",I25="Falha",J25="Ruim"),"Reparar",IF(OR(H25="",I25=""),"Testar","Liberado")))</f>
        <v/>
      </c>
      <c r="M25" s="21" t="str">
        <f aca="false">IF(L25="","",IF(L25="Reparar","Tire de uso, marque e conserte ou descarte",IF(L25="Testar","Faça os dois testes antes do evento",IF(J25="Regular","Pode usar. Observe no próximo teste","Pode usar"))))</f>
        <v/>
      </c>
      <c r="N25" s="5"/>
    </row>
    <row r="26" customFormat="false" ht="21.75" hidden="false" customHeight="true" outlineLevel="0" collapsed="false">
      <c r="B26" s="18" t="n">
        <v>15</v>
      </c>
      <c r="C26" s="9"/>
      <c r="D26" s="5"/>
      <c r="E26" s="9"/>
      <c r="F26" s="9"/>
      <c r="G26" s="9"/>
      <c r="H26" s="9"/>
      <c r="I26" s="9"/>
      <c r="J26" s="9"/>
      <c r="K26" s="25"/>
      <c r="L26" s="20" t="str">
        <f aca="false">IF(C26="","",IF(OR(H26="Falha",I26="Falha",J26="Ruim"),"Reparar",IF(OR(H26="",I26=""),"Testar","Liberado")))</f>
        <v/>
      </c>
      <c r="M26" s="21" t="str">
        <f aca="false">IF(L26="","",IF(L26="Reparar","Tire de uso, marque e conserte ou descarte",IF(L26="Testar","Faça os dois testes antes do evento",IF(J26="Regular","Pode usar. Observe no próximo teste","Pode usar"))))</f>
        <v/>
      </c>
      <c r="N26" s="5"/>
    </row>
    <row r="27" customFormat="false" ht="21.75" hidden="false" customHeight="true" outlineLevel="0" collapsed="false">
      <c r="B27" s="18" t="n">
        <v>16</v>
      </c>
      <c r="C27" s="9"/>
      <c r="D27" s="5"/>
      <c r="E27" s="9"/>
      <c r="F27" s="9"/>
      <c r="G27" s="9"/>
      <c r="H27" s="9"/>
      <c r="I27" s="9"/>
      <c r="J27" s="9"/>
      <c r="K27" s="25"/>
      <c r="L27" s="20" t="str">
        <f aca="false">IF(C27="","",IF(OR(H27="Falha",I27="Falha",J27="Ruim"),"Reparar",IF(OR(H27="",I27=""),"Testar","Liberado")))</f>
        <v/>
      </c>
      <c r="M27" s="21" t="str">
        <f aca="false">IF(L27="","",IF(L27="Reparar","Tire de uso, marque e conserte ou descarte",IF(L27="Testar","Faça os dois testes antes do evento",IF(J27="Regular","Pode usar. Observe no próximo teste","Pode usar"))))</f>
        <v/>
      </c>
      <c r="N27" s="5"/>
    </row>
    <row r="28" customFormat="false" ht="21.75" hidden="false" customHeight="true" outlineLevel="0" collapsed="false">
      <c r="B28" s="18" t="n">
        <v>17</v>
      </c>
      <c r="C28" s="9"/>
      <c r="D28" s="5"/>
      <c r="E28" s="9"/>
      <c r="F28" s="9"/>
      <c r="G28" s="9"/>
      <c r="H28" s="9"/>
      <c r="I28" s="9"/>
      <c r="J28" s="9"/>
      <c r="K28" s="25"/>
      <c r="L28" s="20" t="str">
        <f aca="false">IF(C28="","",IF(OR(H28="Falha",I28="Falha",J28="Ruim"),"Reparar",IF(OR(H28="",I28=""),"Testar","Liberado")))</f>
        <v/>
      </c>
      <c r="M28" s="21" t="str">
        <f aca="false">IF(L28="","",IF(L28="Reparar","Tire de uso, marque e conserte ou descarte",IF(L28="Testar","Faça os dois testes antes do evento",IF(J28="Regular","Pode usar. Observe no próximo teste","Pode usar"))))</f>
        <v/>
      </c>
      <c r="N28" s="5"/>
    </row>
    <row r="29" customFormat="false" ht="21.75" hidden="false" customHeight="true" outlineLevel="0" collapsed="false">
      <c r="B29" s="18" t="n">
        <v>18</v>
      </c>
      <c r="C29" s="9"/>
      <c r="D29" s="5"/>
      <c r="E29" s="9"/>
      <c r="F29" s="9"/>
      <c r="G29" s="9"/>
      <c r="H29" s="9"/>
      <c r="I29" s="9"/>
      <c r="J29" s="9"/>
      <c r="K29" s="25"/>
      <c r="L29" s="20" t="str">
        <f aca="false">IF(C29="","",IF(OR(H29="Falha",I29="Falha",J29="Ruim"),"Reparar",IF(OR(H29="",I29=""),"Testar","Liberado")))</f>
        <v/>
      </c>
      <c r="M29" s="21" t="str">
        <f aca="false">IF(L29="","",IF(L29="Reparar","Tire de uso, marque e conserte ou descarte",IF(L29="Testar","Faça os dois testes antes do evento",IF(J29="Regular","Pode usar. Observe no próximo teste","Pode usar"))))</f>
        <v/>
      </c>
      <c r="N29" s="5"/>
    </row>
    <row r="30" customFormat="false" ht="21.75" hidden="false" customHeight="true" outlineLevel="0" collapsed="false">
      <c r="B30" s="18" t="n">
        <v>19</v>
      </c>
      <c r="C30" s="9"/>
      <c r="D30" s="5"/>
      <c r="E30" s="9"/>
      <c r="F30" s="9"/>
      <c r="G30" s="9"/>
      <c r="H30" s="9"/>
      <c r="I30" s="9"/>
      <c r="J30" s="9"/>
      <c r="K30" s="25"/>
      <c r="L30" s="20" t="str">
        <f aca="false">IF(C30="","",IF(OR(H30="Falha",I30="Falha",J30="Ruim"),"Reparar",IF(OR(H30="",I30=""),"Testar","Liberado")))</f>
        <v/>
      </c>
      <c r="M30" s="21" t="str">
        <f aca="false">IF(L30="","",IF(L30="Reparar","Tire de uso, marque e conserte ou descarte",IF(L30="Testar","Faça os dois testes antes do evento",IF(J30="Regular","Pode usar. Observe no próximo teste","Pode usar"))))</f>
        <v/>
      </c>
      <c r="N30" s="5"/>
    </row>
    <row r="31" customFormat="false" ht="21.75" hidden="false" customHeight="true" outlineLevel="0" collapsed="false">
      <c r="B31" s="18" t="n">
        <v>20</v>
      </c>
      <c r="C31" s="9"/>
      <c r="D31" s="5"/>
      <c r="E31" s="9"/>
      <c r="F31" s="9"/>
      <c r="G31" s="9"/>
      <c r="H31" s="9"/>
      <c r="I31" s="9"/>
      <c r="J31" s="9"/>
      <c r="K31" s="25"/>
      <c r="L31" s="20" t="str">
        <f aca="false">IF(C31="","",IF(OR(H31="Falha",I31="Falha",J31="Ruim"),"Reparar",IF(OR(H31="",I31=""),"Testar","Liberado")))</f>
        <v/>
      </c>
      <c r="M31" s="21" t="str">
        <f aca="false">IF(L31="","",IF(L31="Reparar","Tire de uso, marque e conserte ou descarte",IF(L31="Testar","Faça os dois testes antes do evento",IF(J31="Regular","Pode usar. Observe no próximo teste","Pode usar"))))</f>
        <v/>
      </c>
      <c r="N31" s="5"/>
    </row>
    <row r="32" customFormat="false" ht="21.75" hidden="false" customHeight="true" outlineLevel="0" collapsed="false">
      <c r="B32" s="18" t="n">
        <v>21</v>
      </c>
      <c r="C32" s="9"/>
      <c r="D32" s="5"/>
      <c r="E32" s="9"/>
      <c r="F32" s="9"/>
      <c r="G32" s="9"/>
      <c r="H32" s="9"/>
      <c r="I32" s="9"/>
      <c r="J32" s="9"/>
      <c r="K32" s="25"/>
      <c r="L32" s="20" t="str">
        <f aca="false">IF(C32="","",IF(OR(H32="Falha",I32="Falha",J32="Ruim"),"Reparar",IF(OR(H32="",I32=""),"Testar","Liberado")))</f>
        <v/>
      </c>
      <c r="M32" s="21" t="str">
        <f aca="false">IF(L32="","",IF(L32="Reparar","Tire de uso, marque e conserte ou descarte",IF(L32="Testar","Faça os dois testes antes do evento",IF(J32="Regular","Pode usar. Observe no próximo teste","Pode usar"))))</f>
        <v/>
      </c>
      <c r="N32" s="5"/>
    </row>
    <row r="33" customFormat="false" ht="21.75" hidden="false" customHeight="true" outlineLevel="0" collapsed="false">
      <c r="B33" s="18" t="n">
        <v>22</v>
      </c>
      <c r="C33" s="9"/>
      <c r="D33" s="5"/>
      <c r="E33" s="9"/>
      <c r="F33" s="9"/>
      <c r="G33" s="9"/>
      <c r="H33" s="9"/>
      <c r="I33" s="9"/>
      <c r="J33" s="9"/>
      <c r="K33" s="25"/>
      <c r="L33" s="20" t="str">
        <f aca="false">IF(C33="","",IF(OR(H33="Falha",I33="Falha",J33="Ruim"),"Reparar",IF(OR(H33="",I33=""),"Testar","Liberado")))</f>
        <v/>
      </c>
      <c r="M33" s="21" t="str">
        <f aca="false">IF(L33="","",IF(L33="Reparar","Tire de uso, marque e conserte ou descarte",IF(L33="Testar","Faça os dois testes antes do evento",IF(J33="Regular","Pode usar. Observe no próximo teste","Pode usar"))))</f>
        <v/>
      </c>
      <c r="N33" s="5"/>
    </row>
    <row r="34" customFormat="false" ht="21.75" hidden="false" customHeight="true" outlineLevel="0" collapsed="false">
      <c r="B34" s="18" t="n">
        <v>23</v>
      </c>
      <c r="C34" s="9"/>
      <c r="D34" s="5"/>
      <c r="E34" s="9"/>
      <c r="F34" s="9"/>
      <c r="G34" s="9"/>
      <c r="H34" s="9"/>
      <c r="I34" s="9"/>
      <c r="J34" s="9"/>
      <c r="K34" s="25"/>
      <c r="L34" s="20" t="str">
        <f aca="false">IF(C34="","",IF(OR(H34="Falha",I34="Falha",J34="Ruim"),"Reparar",IF(OR(H34="",I34=""),"Testar","Liberado")))</f>
        <v/>
      </c>
      <c r="M34" s="21" t="str">
        <f aca="false">IF(L34="","",IF(L34="Reparar","Tire de uso, marque e conserte ou descarte",IF(L34="Testar","Faça os dois testes antes do evento",IF(J34="Regular","Pode usar. Observe no próximo teste","Pode usar"))))</f>
        <v/>
      </c>
      <c r="N34" s="5"/>
    </row>
    <row r="35" customFormat="false" ht="21.75" hidden="false" customHeight="true" outlineLevel="0" collapsed="false">
      <c r="B35" s="18" t="n">
        <v>24</v>
      </c>
      <c r="C35" s="9"/>
      <c r="D35" s="5"/>
      <c r="E35" s="9"/>
      <c r="F35" s="9"/>
      <c r="G35" s="9"/>
      <c r="H35" s="9"/>
      <c r="I35" s="9"/>
      <c r="J35" s="9"/>
      <c r="K35" s="25"/>
      <c r="L35" s="20" t="str">
        <f aca="false">IF(C35="","",IF(OR(H35="Falha",I35="Falha",J35="Ruim"),"Reparar",IF(OR(H35="",I35=""),"Testar","Liberado")))</f>
        <v/>
      </c>
      <c r="M35" s="21" t="str">
        <f aca="false">IF(L35="","",IF(L35="Reparar","Tire de uso, marque e conserte ou descarte",IF(L35="Testar","Faça os dois testes antes do evento",IF(J35="Regular","Pode usar. Observe no próximo teste","Pode usar"))))</f>
        <v/>
      </c>
      <c r="N35" s="5"/>
    </row>
    <row r="36" customFormat="false" ht="21.75" hidden="false" customHeight="true" outlineLevel="0" collapsed="false">
      <c r="B36" s="18" t="n">
        <v>25</v>
      </c>
      <c r="C36" s="9"/>
      <c r="D36" s="5"/>
      <c r="E36" s="9"/>
      <c r="F36" s="9"/>
      <c r="G36" s="9"/>
      <c r="H36" s="9"/>
      <c r="I36" s="9"/>
      <c r="J36" s="9"/>
      <c r="K36" s="25"/>
      <c r="L36" s="20" t="str">
        <f aca="false">IF(C36="","",IF(OR(H36="Falha",I36="Falha",J36="Ruim"),"Reparar",IF(OR(H36="",I36=""),"Testar","Liberado")))</f>
        <v/>
      </c>
      <c r="M36" s="21" t="str">
        <f aca="false">IF(L36="","",IF(L36="Reparar","Tire de uso, marque e conserte ou descarte",IF(L36="Testar","Faça os dois testes antes do evento",IF(J36="Regular","Pode usar. Observe no próximo teste","Pode usar"))))</f>
        <v/>
      </c>
      <c r="N36" s="5"/>
    </row>
    <row r="37" customFormat="false" ht="21.75" hidden="false" customHeight="true" outlineLevel="0" collapsed="false">
      <c r="B37" s="18" t="n">
        <v>26</v>
      </c>
      <c r="C37" s="9"/>
      <c r="D37" s="5"/>
      <c r="E37" s="9"/>
      <c r="F37" s="9"/>
      <c r="G37" s="9"/>
      <c r="H37" s="9"/>
      <c r="I37" s="9"/>
      <c r="J37" s="9"/>
      <c r="K37" s="25"/>
      <c r="L37" s="20" t="str">
        <f aca="false">IF(C37="","",IF(OR(H37="Falha",I37="Falha",J37="Ruim"),"Reparar",IF(OR(H37="",I37=""),"Testar","Liberado")))</f>
        <v/>
      </c>
      <c r="M37" s="21" t="str">
        <f aca="false">IF(L37="","",IF(L37="Reparar","Tire de uso, marque e conserte ou descarte",IF(L37="Testar","Faça os dois testes antes do evento",IF(J37="Regular","Pode usar. Observe no próximo teste","Pode usar"))))</f>
        <v/>
      </c>
      <c r="N37" s="5"/>
    </row>
    <row r="38" customFormat="false" ht="21.75" hidden="false" customHeight="true" outlineLevel="0" collapsed="false">
      <c r="B38" s="18" t="n">
        <v>27</v>
      </c>
      <c r="C38" s="9"/>
      <c r="D38" s="5"/>
      <c r="E38" s="9"/>
      <c r="F38" s="9"/>
      <c r="G38" s="9"/>
      <c r="H38" s="9"/>
      <c r="I38" s="9"/>
      <c r="J38" s="9"/>
      <c r="K38" s="25"/>
      <c r="L38" s="20" t="str">
        <f aca="false">IF(C38="","",IF(OR(H38="Falha",I38="Falha",J38="Ruim"),"Reparar",IF(OR(H38="",I38=""),"Testar","Liberado")))</f>
        <v/>
      </c>
      <c r="M38" s="21" t="str">
        <f aca="false">IF(L38="","",IF(L38="Reparar","Tire de uso, marque e conserte ou descarte",IF(L38="Testar","Faça os dois testes antes do evento",IF(J38="Regular","Pode usar. Observe no próximo teste","Pode usar"))))</f>
        <v/>
      </c>
      <c r="N38" s="5"/>
    </row>
    <row r="39" customFormat="false" ht="21.75" hidden="false" customHeight="true" outlineLevel="0" collapsed="false">
      <c r="B39" s="18" t="n">
        <v>28</v>
      </c>
      <c r="C39" s="9"/>
      <c r="D39" s="5"/>
      <c r="E39" s="9"/>
      <c r="F39" s="9"/>
      <c r="G39" s="9"/>
      <c r="H39" s="9"/>
      <c r="I39" s="9"/>
      <c r="J39" s="9"/>
      <c r="K39" s="25"/>
      <c r="L39" s="20" t="str">
        <f aca="false">IF(C39="","",IF(OR(H39="Falha",I39="Falha",J39="Ruim"),"Reparar",IF(OR(H39="",I39=""),"Testar","Liberado")))</f>
        <v/>
      </c>
      <c r="M39" s="21" t="str">
        <f aca="false">IF(L39="","",IF(L39="Reparar","Tire de uso, marque e conserte ou descarte",IF(L39="Testar","Faça os dois testes antes do evento",IF(J39="Regular","Pode usar. Observe no próximo teste","Pode usar"))))</f>
        <v/>
      </c>
      <c r="N39" s="5"/>
    </row>
    <row r="40" customFormat="false" ht="21.75" hidden="false" customHeight="true" outlineLevel="0" collapsed="false">
      <c r="B40" s="18" t="n">
        <v>29</v>
      </c>
      <c r="C40" s="9"/>
      <c r="D40" s="5"/>
      <c r="E40" s="9"/>
      <c r="F40" s="9"/>
      <c r="G40" s="9"/>
      <c r="H40" s="9"/>
      <c r="I40" s="9"/>
      <c r="J40" s="9"/>
      <c r="K40" s="25"/>
      <c r="L40" s="20" t="str">
        <f aca="false">IF(C40="","",IF(OR(H40="Falha",I40="Falha",J40="Ruim"),"Reparar",IF(OR(H40="",I40=""),"Testar","Liberado")))</f>
        <v/>
      </c>
      <c r="M40" s="21" t="str">
        <f aca="false">IF(L40="","",IF(L40="Reparar","Tire de uso, marque e conserte ou descarte",IF(L40="Testar","Faça os dois testes antes do evento",IF(J40="Regular","Pode usar. Observe no próximo teste","Pode usar"))))</f>
        <v/>
      </c>
      <c r="N40" s="5"/>
    </row>
    <row r="41" customFormat="false" ht="21.75" hidden="false" customHeight="true" outlineLevel="0" collapsed="false">
      <c r="B41" s="18" t="n">
        <v>30</v>
      </c>
      <c r="C41" s="9"/>
      <c r="D41" s="5"/>
      <c r="E41" s="9"/>
      <c r="F41" s="9"/>
      <c r="G41" s="9"/>
      <c r="H41" s="9"/>
      <c r="I41" s="9"/>
      <c r="J41" s="9"/>
      <c r="K41" s="25"/>
      <c r="L41" s="20" t="str">
        <f aca="false">IF(C41="","",IF(OR(H41="Falha",I41="Falha",J41="Ruim"),"Reparar",IF(OR(H41="",I41=""),"Testar","Liberado")))</f>
        <v/>
      </c>
      <c r="M41" s="21" t="str">
        <f aca="false">IF(L41="","",IF(L41="Reparar","Tire de uso, marque e conserte ou descarte",IF(L41="Testar","Faça os dois testes antes do evento",IF(J41="Regular","Pode usar. Observe no próximo teste","Pode usar"))))</f>
        <v/>
      </c>
      <c r="N41" s="5"/>
    </row>
    <row r="42" customFormat="false" ht="21.75" hidden="false" customHeight="true" outlineLevel="0" collapsed="false">
      <c r="B42" s="18" t="n">
        <v>31</v>
      </c>
      <c r="C42" s="9"/>
      <c r="D42" s="5"/>
      <c r="E42" s="9"/>
      <c r="F42" s="9"/>
      <c r="G42" s="9"/>
      <c r="H42" s="9"/>
      <c r="I42" s="9"/>
      <c r="J42" s="9"/>
      <c r="K42" s="25"/>
      <c r="L42" s="20" t="str">
        <f aca="false">IF(C42="","",IF(OR(H42="Falha",I42="Falha",J42="Ruim"),"Reparar",IF(OR(H42="",I42=""),"Testar","Liberado")))</f>
        <v/>
      </c>
      <c r="M42" s="21" t="str">
        <f aca="false">IF(L42="","",IF(L42="Reparar","Tire de uso, marque e conserte ou descarte",IF(L42="Testar","Faça os dois testes antes do evento",IF(J42="Regular","Pode usar. Observe no próximo teste","Pode usar"))))</f>
        <v/>
      </c>
      <c r="N42" s="5"/>
    </row>
    <row r="43" customFormat="false" ht="21.75" hidden="false" customHeight="true" outlineLevel="0" collapsed="false">
      <c r="B43" s="18" t="n">
        <v>32</v>
      </c>
      <c r="C43" s="9"/>
      <c r="D43" s="5"/>
      <c r="E43" s="9"/>
      <c r="F43" s="9"/>
      <c r="G43" s="9"/>
      <c r="H43" s="9"/>
      <c r="I43" s="9"/>
      <c r="J43" s="9"/>
      <c r="K43" s="25"/>
      <c r="L43" s="20" t="str">
        <f aca="false">IF(C43="","",IF(OR(H43="Falha",I43="Falha",J43="Ruim"),"Reparar",IF(OR(H43="",I43=""),"Testar","Liberado")))</f>
        <v/>
      </c>
      <c r="M43" s="21" t="str">
        <f aca="false">IF(L43="","",IF(L43="Reparar","Tire de uso, marque e conserte ou descarte",IF(L43="Testar","Faça os dois testes antes do evento",IF(J43="Regular","Pode usar. Observe no próximo teste","Pode usar"))))</f>
        <v/>
      </c>
      <c r="N43" s="5"/>
    </row>
    <row r="44" customFormat="false" ht="21.75" hidden="false" customHeight="true" outlineLevel="0" collapsed="false">
      <c r="B44" s="18" t="n">
        <v>33</v>
      </c>
      <c r="C44" s="9"/>
      <c r="D44" s="5"/>
      <c r="E44" s="9"/>
      <c r="F44" s="9"/>
      <c r="G44" s="9"/>
      <c r="H44" s="9"/>
      <c r="I44" s="9"/>
      <c r="J44" s="9"/>
      <c r="K44" s="25"/>
      <c r="L44" s="20" t="str">
        <f aca="false">IF(C44="","",IF(OR(H44="Falha",I44="Falha",J44="Ruim"),"Reparar",IF(OR(H44="",I44=""),"Testar","Liberado")))</f>
        <v/>
      </c>
      <c r="M44" s="21" t="str">
        <f aca="false">IF(L44="","",IF(L44="Reparar","Tire de uso, marque e conserte ou descarte",IF(L44="Testar","Faça os dois testes antes do evento",IF(J44="Regular","Pode usar. Observe no próximo teste","Pode usar"))))</f>
        <v/>
      </c>
      <c r="N44" s="5"/>
    </row>
    <row r="45" customFormat="false" ht="21.75" hidden="false" customHeight="true" outlineLevel="0" collapsed="false">
      <c r="B45" s="18" t="n">
        <v>34</v>
      </c>
      <c r="C45" s="9"/>
      <c r="D45" s="5"/>
      <c r="E45" s="9"/>
      <c r="F45" s="9"/>
      <c r="G45" s="9"/>
      <c r="H45" s="9"/>
      <c r="I45" s="9"/>
      <c r="J45" s="9"/>
      <c r="K45" s="25"/>
      <c r="L45" s="20" t="str">
        <f aca="false">IF(C45="","",IF(OR(H45="Falha",I45="Falha",J45="Ruim"),"Reparar",IF(OR(H45="",I45=""),"Testar","Liberado")))</f>
        <v/>
      </c>
      <c r="M45" s="21" t="str">
        <f aca="false">IF(L45="","",IF(L45="Reparar","Tire de uso, marque e conserte ou descarte",IF(L45="Testar","Faça os dois testes antes do evento",IF(J45="Regular","Pode usar. Observe no próximo teste","Pode usar"))))</f>
        <v/>
      </c>
      <c r="N45" s="5"/>
    </row>
    <row r="46" customFormat="false" ht="21.75" hidden="false" customHeight="true" outlineLevel="0" collapsed="false">
      <c r="B46" s="18" t="n">
        <v>35</v>
      </c>
      <c r="C46" s="9"/>
      <c r="D46" s="5"/>
      <c r="E46" s="9"/>
      <c r="F46" s="9"/>
      <c r="G46" s="9"/>
      <c r="H46" s="9"/>
      <c r="I46" s="9"/>
      <c r="J46" s="9"/>
      <c r="K46" s="25"/>
      <c r="L46" s="20" t="str">
        <f aca="false">IF(C46="","",IF(OR(H46="Falha",I46="Falha",J46="Ruim"),"Reparar",IF(OR(H46="",I46=""),"Testar","Liberado")))</f>
        <v/>
      </c>
      <c r="M46" s="21" t="str">
        <f aca="false">IF(L46="","",IF(L46="Reparar","Tire de uso, marque e conserte ou descarte",IF(L46="Testar","Faça os dois testes antes do evento",IF(J46="Regular","Pode usar. Observe no próximo teste","Pode usar"))))</f>
        <v/>
      </c>
      <c r="N46" s="5"/>
    </row>
    <row r="47" customFormat="false" ht="21.75" hidden="false" customHeight="true" outlineLevel="0" collapsed="false">
      <c r="B47" s="18" t="n">
        <v>36</v>
      </c>
      <c r="C47" s="9"/>
      <c r="D47" s="5"/>
      <c r="E47" s="9"/>
      <c r="F47" s="9"/>
      <c r="G47" s="9"/>
      <c r="H47" s="9"/>
      <c r="I47" s="9"/>
      <c r="J47" s="9"/>
      <c r="K47" s="25"/>
      <c r="L47" s="20" t="str">
        <f aca="false">IF(C47="","",IF(OR(H47="Falha",I47="Falha",J47="Ruim"),"Reparar",IF(OR(H47="",I47=""),"Testar","Liberado")))</f>
        <v/>
      </c>
      <c r="M47" s="21" t="str">
        <f aca="false">IF(L47="","",IF(L47="Reparar","Tire de uso, marque e conserte ou descarte",IF(L47="Testar","Faça os dois testes antes do evento",IF(J47="Regular","Pode usar. Observe no próximo teste","Pode usar"))))</f>
        <v/>
      </c>
      <c r="N47" s="5"/>
    </row>
    <row r="48" customFormat="false" ht="21.75" hidden="false" customHeight="true" outlineLevel="0" collapsed="false">
      <c r="B48" s="18" t="n">
        <v>37</v>
      </c>
      <c r="C48" s="9"/>
      <c r="D48" s="5"/>
      <c r="E48" s="9"/>
      <c r="F48" s="9"/>
      <c r="G48" s="9"/>
      <c r="H48" s="9"/>
      <c r="I48" s="9"/>
      <c r="J48" s="9"/>
      <c r="K48" s="25"/>
      <c r="L48" s="20" t="str">
        <f aca="false">IF(C48="","",IF(OR(H48="Falha",I48="Falha",J48="Ruim"),"Reparar",IF(OR(H48="",I48=""),"Testar","Liberado")))</f>
        <v/>
      </c>
      <c r="M48" s="21" t="str">
        <f aca="false">IF(L48="","",IF(L48="Reparar","Tire de uso, marque e conserte ou descarte",IF(L48="Testar","Faça os dois testes antes do evento",IF(J48="Regular","Pode usar. Observe no próximo teste","Pode usar"))))</f>
        <v/>
      </c>
      <c r="N48" s="5"/>
    </row>
    <row r="49" customFormat="false" ht="21.75" hidden="false" customHeight="true" outlineLevel="0" collapsed="false">
      <c r="B49" s="18" t="n">
        <v>38</v>
      </c>
      <c r="C49" s="9"/>
      <c r="D49" s="5"/>
      <c r="E49" s="9"/>
      <c r="F49" s="9"/>
      <c r="G49" s="9"/>
      <c r="H49" s="9"/>
      <c r="I49" s="9"/>
      <c r="J49" s="9"/>
      <c r="K49" s="25"/>
      <c r="L49" s="20" t="str">
        <f aca="false">IF(C49="","",IF(OR(H49="Falha",I49="Falha",J49="Ruim"),"Reparar",IF(OR(H49="",I49=""),"Testar","Liberado")))</f>
        <v/>
      </c>
      <c r="M49" s="21" t="str">
        <f aca="false">IF(L49="","",IF(L49="Reparar","Tire de uso, marque e conserte ou descarte",IF(L49="Testar","Faça os dois testes antes do evento",IF(J49="Regular","Pode usar. Observe no próximo teste","Pode usar"))))</f>
        <v/>
      </c>
      <c r="N49" s="5"/>
    </row>
    <row r="50" customFormat="false" ht="21.75" hidden="false" customHeight="true" outlineLevel="0" collapsed="false">
      <c r="B50" s="18" t="n">
        <v>39</v>
      </c>
      <c r="C50" s="9"/>
      <c r="D50" s="5"/>
      <c r="E50" s="9"/>
      <c r="F50" s="9"/>
      <c r="G50" s="9"/>
      <c r="H50" s="9"/>
      <c r="I50" s="9"/>
      <c r="J50" s="9"/>
      <c r="K50" s="25"/>
      <c r="L50" s="20" t="str">
        <f aca="false">IF(C50="","",IF(OR(H50="Falha",I50="Falha",J50="Ruim"),"Reparar",IF(OR(H50="",I50=""),"Testar","Liberado")))</f>
        <v/>
      </c>
      <c r="M50" s="21" t="str">
        <f aca="false">IF(L50="","",IF(L50="Reparar","Tire de uso, marque e conserte ou descarte",IF(L50="Testar","Faça os dois testes antes do evento",IF(J50="Regular","Pode usar. Observe no próximo teste","Pode usar"))))</f>
        <v/>
      </c>
      <c r="N50" s="5"/>
    </row>
    <row r="51" customFormat="false" ht="21.75" hidden="false" customHeight="true" outlineLevel="0" collapsed="false">
      <c r="B51" s="18" t="n">
        <v>40</v>
      </c>
      <c r="C51" s="9"/>
      <c r="D51" s="5"/>
      <c r="E51" s="9"/>
      <c r="F51" s="9"/>
      <c r="G51" s="9"/>
      <c r="H51" s="9"/>
      <c r="I51" s="9"/>
      <c r="J51" s="9"/>
      <c r="K51" s="25"/>
      <c r="L51" s="20" t="str">
        <f aca="false">IF(C51="","",IF(OR(H51="Falha",I51="Falha",J51="Ruim"),"Reparar",IF(OR(H51="",I51=""),"Testar","Liberado")))</f>
        <v/>
      </c>
      <c r="M51" s="21" t="str">
        <f aca="false">IF(L51="","",IF(L51="Reparar","Tire de uso, marque e conserte ou descarte",IF(L51="Testar","Faça os dois testes antes do evento",IF(J51="Regular","Pode usar. Observe no próximo teste","Pode usar"))))</f>
        <v/>
      </c>
      <c r="N51" s="5"/>
    </row>
    <row r="53" customFormat="false" ht="21.75" hidden="false" customHeight="true" outlineLevel="0" collapsed="false">
      <c r="B53" s="12" t="s">
        <v>106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customFormat="false" ht="19.5" hidden="false" customHeight="true" outlineLevel="0" collapsed="false">
      <c r="B54" s="22" t="s">
        <v>142</v>
      </c>
      <c r="C54" s="22"/>
      <c r="D54" s="22"/>
      <c r="E54" s="8" t="n">
        <f aca="false">COUNTA(C12:C51)</f>
        <v>0</v>
      </c>
    </row>
    <row r="55" customFormat="false" ht="19.5" hidden="false" customHeight="true" outlineLevel="0" collapsed="false">
      <c r="B55" s="22" t="s">
        <v>143</v>
      </c>
      <c r="C55" s="22"/>
      <c r="D55" s="22"/>
      <c r="E55" s="8" t="n">
        <f aca="false">COUNTIF(L12:L51,"Liberado")</f>
        <v>0</v>
      </c>
    </row>
    <row r="56" customFormat="false" ht="19.5" hidden="false" customHeight="true" outlineLevel="0" collapsed="false">
      <c r="B56" s="22" t="s">
        <v>144</v>
      </c>
      <c r="C56" s="22"/>
      <c r="D56" s="22"/>
      <c r="E56" s="8" t="n">
        <f aca="false">COUNTIF(L12:L51,"Reparar")</f>
        <v>0</v>
      </c>
    </row>
    <row r="57" customFormat="false" ht="19.5" hidden="false" customHeight="true" outlineLevel="0" collapsed="false">
      <c r="B57" s="22" t="s">
        <v>145</v>
      </c>
      <c r="C57" s="22"/>
      <c r="D57" s="22"/>
      <c r="E57" s="8" t="n">
        <f aca="false">COUNTIF(L12:L51,"Testar")</f>
        <v>0</v>
      </c>
    </row>
    <row r="58" customFormat="false" ht="19.5" hidden="false" customHeight="true" outlineLevel="0" collapsed="false">
      <c r="B58" s="22" t="s">
        <v>146</v>
      </c>
      <c r="C58" s="22"/>
      <c r="D58" s="22"/>
      <c r="E58" s="26" t="n">
        <f aca="false">SUMIF(L12:L51,"Liberado",G12:G51)</f>
        <v>0</v>
      </c>
    </row>
    <row r="59" customFormat="false" ht="21.75" hidden="false" customHeight="true" outlineLevel="0" collapsed="false">
      <c r="B59" s="22" t="s">
        <v>115</v>
      </c>
      <c r="C59" s="22"/>
      <c r="D59" s="22"/>
      <c r="E59" s="23" t="str">
        <f aca="false">IF(E54=0,"Liste os cabos",IF(E56&gt;0,"Há cabo para reparar: tire de circulação",IF(E57&gt;0,"Há cabo sem teste","OK")))</f>
        <v>Liste os cabos</v>
      </c>
      <c r="F59" s="23"/>
      <c r="G59" s="23"/>
      <c r="H59" s="23"/>
      <c r="I59" s="23"/>
      <c r="J59" s="23"/>
      <c r="K59" s="23"/>
      <c r="L59" s="23"/>
      <c r="M59" s="23"/>
    </row>
    <row r="61" customFormat="false" ht="21.75" hidden="false" customHeight="true" outlineLevel="0" collapsed="false">
      <c r="B61" s="12" t="s">
        <v>147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27" hidden="false" customHeight="true" outlineLevel="0" collapsed="false">
      <c r="B62" s="8" t="s">
        <v>124</v>
      </c>
      <c r="C62" s="8"/>
      <c r="D62" s="8"/>
      <c r="E62" s="8" t="s">
        <v>148</v>
      </c>
      <c r="F62" s="8" t="s">
        <v>143</v>
      </c>
      <c r="G62" s="8" t="s">
        <v>149</v>
      </c>
      <c r="H62" s="8" t="s">
        <v>150</v>
      </c>
      <c r="I62" s="8" t="s">
        <v>84</v>
      </c>
      <c r="J62" s="8"/>
      <c r="K62" s="8"/>
      <c r="L62" s="10" t="s">
        <v>151</v>
      </c>
      <c r="M62" s="10"/>
      <c r="N62" s="10"/>
    </row>
    <row r="63" customFormat="false" ht="21.75" hidden="false" customHeight="true" outlineLevel="0" collapsed="false">
      <c r="B63" s="4" t="s">
        <v>136</v>
      </c>
      <c r="C63" s="4"/>
      <c r="D63" s="4"/>
      <c r="E63" s="19" t="n">
        <f aca="false">COUNTIF(D12:D51,B63)</f>
        <v>0</v>
      </c>
      <c r="F63" s="8" t="n">
        <f aca="false">COUNTIFS(D12:D51,B63,L12:L51,"Liberado")</f>
        <v>0</v>
      </c>
      <c r="G63" s="9"/>
      <c r="H63" s="27" t="str">
        <f aca="false">IF(G63="","",F63-G63)</f>
        <v/>
      </c>
      <c r="I63" s="20" t="str">
        <f aca="false">IF(G63="","",IF(H63&lt;0,"Faltam "&amp;ABS(H63),IF(H63=0,"Sem reserva","OK")))</f>
        <v/>
      </c>
      <c r="J63" s="20"/>
      <c r="K63" s="20"/>
    </row>
    <row r="64" customFormat="false" ht="21.75" hidden="false" customHeight="true" outlineLevel="0" collapsed="false">
      <c r="B64" s="4" t="s">
        <v>152</v>
      </c>
      <c r="C64" s="4"/>
      <c r="D64" s="4"/>
      <c r="E64" s="19" t="n">
        <f aca="false">COUNTIF(D12:D51,B64)</f>
        <v>0</v>
      </c>
      <c r="F64" s="8" t="n">
        <f aca="false">COUNTIFS(D12:D51,B64,L12:L51,"Liberado")</f>
        <v>0</v>
      </c>
      <c r="G64" s="9"/>
      <c r="H64" s="27" t="str">
        <f aca="false">IF(G64="","",F64-G64)</f>
        <v/>
      </c>
      <c r="I64" s="20" t="str">
        <f aca="false">IF(G64="","",IF(H64&lt;0,"Faltam "&amp;ABS(H64),IF(H64=0,"Sem reserva","OK")))</f>
        <v/>
      </c>
      <c r="J64" s="20"/>
      <c r="K64" s="20"/>
    </row>
    <row r="65" customFormat="false" ht="21.75" hidden="false" customHeight="true" outlineLevel="0" collapsed="false">
      <c r="B65" s="4" t="s">
        <v>153</v>
      </c>
      <c r="C65" s="4"/>
      <c r="D65" s="4"/>
      <c r="E65" s="19" t="n">
        <f aca="false">COUNTIF(D12:D51,B65)</f>
        <v>0</v>
      </c>
      <c r="F65" s="8" t="n">
        <f aca="false">COUNTIFS(D12:D51,B65,L12:L51,"Liberado")</f>
        <v>0</v>
      </c>
      <c r="G65" s="9"/>
      <c r="H65" s="27" t="str">
        <f aca="false">IF(G65="","",F65-G65)</f>
        <v/>
      </c>
      <c r="I65" s="20" t="str">
        <f aca="false">IF(G65="","",IF(H65&lt;0,"Faltam "&amp;ABS(H65),IF(H65=0,"Sem reserva","OK")))</f>
        <v/>
      </c>
      <c r="J65" s="20"/>
      <c r="K65" s="20"/>
    </row>
    <row r="66" customFormat="false" ht="21.75" hidden="false" customHeight="true" outlineLevel="0" collapsed="false">
      <c r="B66" s="4" t="s">
        <v>154</v>
      </c>
      <c r="C66" s="4"/>
      <c r="D66" s="4"/>
      <c r="E66" s="19" t="n">
        <f aca="false">COUNTIF(D12:D51,B66)</f>
        <v>0</v>
      </c>
      <c r="F66" s="8" t="n">
        <f aca="false">COUNTIFS(D12:D51,B66,L12:L51,"Liberado")</f>
        <v>0</v>
      </c>
      <c r="G66" s="9"/>
      <c r="H66" s="27" t="str">
        <f aca="false">IF(G66="","",F66-G66)</f>
        <v/>
      </c>
      <c r="I66" s="20" t="str">
        <f aca="false">IF(G66="","",IF(H66&lt;0,"Faltam "&amp;ABS(H66),IF(H66=0,"Sem reserva","OK")))</f>
        <v/>
      </c>
      <c r="J66" s="20"/>
      <c r="K66" s="20"/>
    </row>
    <row r="67" customFormat="false" ht="21.75" hidden="false" customHeight="true" outlineLevel="0" collapsed="false">
      <c r="B67" s="4" t="s">
        <v>155</v>
      </c>
      <c r="C67" s="4"/>
      <c r="D67" s="4"/>
      <c r="E67" s="19" t="n">
        <f aca="false">COUNTIF(D12:D51,B67)</f>
        <v>0</v>
      </c>
      <c r="F67" s="8" t="n">
        <f aca="false">COUNTIFS(D12:D51,B67,L12:L51,"Liberado")</f>
        <v>0</v>
      </c>
      <c r="G67" s="9"/>
      <c r="H67" s="27" t="str">
        <f aca="false">IF(G67="","",F67-G67)</f>
        <v/>
      </c>
      <c r="I67" s="20" t="str">
        <f aca="false">IF(G67="","",IF(H67&lt;0,"Faltam "&amp;ABS(H67),IF(H67=0,"Sem reserva","OK")))</f>
        <v/>
      </c>
      <c r="J67" s="20"/>
      <c r="K67" s="20"/>
    </row>
    <row r="68" customFormat="false" ht="21.75" hidden="false" customHeight="true" outlineLevel="0" collapsed="false">
      <c r="B68" s="4" t="s">
        <v>156</v>
      </c>
      <c r="C68" s="4"/>
      <c r="D68" s="4"/>
      <c r="E68" s="19" t="n">
        <f aca="false">COUNTIF(D12:D51,B68)</f>
        <v>0</v>
      </c>
      <c r="F68" s="8" t="n">
        <f aca="false">COUNTIFS(D12:D51,B68,L12:L51,"Liberado")</f>
        <v>0</v>
      </c>
      <c r="G68" s="9"/>
      <c r="H68" s="27" t="str">
        <f aca="false">IF(G68="","",F68-G68)</f>
        <v/>
      </c>
      <c r="I68" s="20" t="str">
        <f aca="false">IF(G68="","",IF(H68&lt;0,"Faltam "&amp;ABS(H68),IF(H68=0,"Sem reserva","OK")))</f>
        <v/>
      </c>
      <c r="J68" s="20"/>
      <c r="K68" s="20"/>
    </row>
    <row r="69" customFormat="false" ht="21.75" hidden="false" customHeight="true" outlineLevel="0" collapsed="false">
      <c r="B69" s="4" t="s">
        <v>157</v>
      </c>
      <c r="C69" s="4"/>
      <c r="D69" s="4"/>
      <c r="E69" s="19" t="n">
        <f aca="false">COUNTIF(D12:D51,B69)</f>
        <v>0</v>
      </c>
      <c r="F69" s="8" t="n">
        <f aca="false">COUNTIFS(D12:D51,B69,L12:L51,"Liberado")</f>
        <v>0</v>
      </c>
      <c r="G69" s="9"/>
      <c r="H69" s="27" t="str">
        <f aca="false">IF(G69="","",F69-G69)</f>
        <v/>
      </c>
      <c r="I69" s="20" t="str">
        <f aca="false">IF(G69="","",IF(H69&lt;0,"Faltam "&amp;ABS(H69),IF(H69=0,"Sem reserva","OK")))</f>
        <v/>
      </c>
      <c r="J69" s="20"/>
      <c r="K69" s="20"/>
    </row>
  </sheetData>
  <mergeCells count="38">
    <mergeCell ref="B1:N1"/>
    <mergeCell ref="B2:N2"/>
    <mergeCell ref="B4:D4"/>
    <mergeCell ref="E4:H4"/>
    <mergeCell ref="I4:N4"/>
    <mergeCell ref="B5:D5"/>
    <mergeCell ref="E5:H5"/>
    <mergeCell ref="I5:N5"/>
    <mergeCell ref="B6:D6"/>
    <mergeCell ref="E6:H6"/>
    <mergeCell ref="I6:N6"/>
    <mergeCell ref="B8:N8"/>
    <mergeCell ref="B53:N53"/>
    <mergeCell ref="B54:D54"/>
    <mergeCell ref="B55:D55"/>
    <mergeCell ref="B56:D56"/>
    <mergeCell ref="B57:D57"/>
    <mergeCell ref="B58:D58"/>
    <mergeCell ref="B59:D59"/>
    <mergeCell ref="E59:M59"/>
    <mergeCell ref="B61:N61"/>
    <mergeCell ref="B62:D62"/>
    <mergeCell ref="I62:K62"/>
    <mergeCell ref="L62:N62"/>
    <mergeCell ref="B63:D63"/>
    <mergeCell ref="I63:K63"/>
    <mergeCell ref="B64:D64"/>
    <mergeCell ref="I64:K64"/>
    <mergeCell ref="B65:D65"/>
    <mergeCell ref="I65:K65"/>
    <mergeCell ref="B66:D66"/>
    <mergeCell ref="I66:K66"/>
    <mergeCell ref="B67:D67"/>
    <mergeCell ref="I67:K67"/>
    <mergeCell ref="B68:D68"/>
    <mergeCell ref="I68:K68"/>
    <mergeCell ref="B69:D69"/>
    <mergeCell ref="I69:K69"/>
  </mergeCells>
  <conditionalFormatting sqref="L12:L51">
    <cfRule type="cellIs" priority="2" operator="equal" aboveAverage="0" equalAverage="0" bottom="0" percent="0" rank="0" text="" dxfId="0">
      <formula>"Liberado"</formula>
    </cfRule>
    <cfRule type="cellIs" priority="3" operator="equal" aboveAverage="0" equalAverage="0" bottom="0" percent="0" rank="0" text="" dxfId="1">
      <formula>"Testar"</formula>
    </cfRule>
    <cfRule type="cellIs" priority="4" operator="equal" aboveAverage="0" equalAverage="0" bottom="0" percent="0" rank="0" text="" dxfId="2">
      <formula>"Reparar"</formula>
    </cfRule>
  </conditionalFormatting>
  <conditionalFormatting sqref="H12:I51">
    <cfRule type="cellIs" priority="5" operator="equal" aboveAverage="0" equalAverage="0" bottom="0" percent="0" rank="0" text="" dxfId="2">
      <formula>"Falha"</formula>
    </cfRule>
  </conditionalFormatting>
  <conditionalFormatting sqref="J12:J51">
    <cfRule type="cellIs" priority="6" operator="equal" aboveAverage="0" equalAverage="0" bottom="0" percent="0" rank="0" text="" dxfId="2">
      <formula>"Ruim"</formula>
    </cfRule>
  </conditionalFormatting>
  <conditionalFormatting sqref="E59:M59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conditionalFormatting sqref="I63:K63">
    <cfRule type="cellIs" priority="9" operator="equal" aboveAverage="0" equalAverage="0" bottom="0" percent="0" rank="0" text="" dxfId="0">
      <formula>"OK"</formula>
    </cfRule>
    <cfRule type="expression" priority="10" aboveAverage="0" equalAverage="0" bottom="0" percent="0" rank="0" text="" dxfId="1">
      <formula>AND(LEN($I$63)&gt;0,$I$63&lt;&gt;"OK")</formula>
    </cfRule>
  </conditionalFormatting>
  <conditionalFormatting sqref="I64:K64">
    <cfRule type="cellIs" priority="11" operator="equal" aboveAverage="0" equalAverage="0" bottom="0" percent="0" rank="0" text="" dxfId="0">
      <formula>"OK"</formula>
    </cfRule>
    <cfRule type="expression" priority="12" aboveAverage="0" equalAverage="0" bottom="0" percent="0" rank="0" text="" dxfId="1">
      <formula>AND(LEN($I$64)&gt;0,$I$64&lt;&gt;"OK")</formula>
    </cfRule>
  </conditionalFormatting>
  <conditionalFormatting sqref="I65:K65">
    <cfRule type="cellIs" priority="13" operator="equal" aboveAverage="0" equalAverage="0" bottom="0" percent="0" rank="0" text="" dxfId="0">
      <formula>"OK"</formula>
    </cfRule>
    <cfRule type="expression" priority="14" aboveAverage="0" equalAverage="0" bottom="0" percent="0" rank="0" text="" dxfId="1">
      <formula>AND(LEN($I$65)&gt;0,$I$65&lt;&gt;"OK")</formula>
    </cfRule>
  </conditionalFormatting>
  <conditionalFormatting sqref="I66:K66">
    <cfRule type="cellIs" priority="15" operator="equal" aboveAverage="0" equalAverage="0" bottom="0" percent="0" rank="0" text="" dxfId="0">
      <formula>"OK"</formula>
    </cfRule>
    <cfRule type="expression" priority="16" aboveAverage="0" equalAverage="0" bottom="0" percent="0" rank="0" text="" dxfId="1">
      <formula>AND(LEN($I$66)&gt;0,$I$66&lt;&gt;"OK")</formula>
    </cfRule>
  </conditionalFormatting>
  <conditionalFormatting sqref="I67:K67">
    <cfRule type="cellIs" priority="17" operator="equal" aboveAverage="0" equalAverage="0" bottom="0" percent="0" rank="0" text="" dxfId="0">
      <formula>"OK"</formula>
    </cfRule>
    <cfRule type="expression" priority="18" aboveAverage="0" equalAverage="0" bottom="0" percent="0" rank="0" text="" dxfId="1">
      <formula>AND(LEN($I$67)&gt;0,$I$67&lt;&gt;"OK")</formula>
    </cfRule>
  </conditionalFormatting>
  <conditionalFormatting sqref="I68:K68">
    <cfRule type="cellIs" priority="19" operator="equal" aboveAverage="0" equalAverage="0" bottom="0" percent="0" rank="0" text="" dxfId="0">
      <formula>"OK"</formula>
    </cfRule>
    <cfRule type="expression" priority="20" aboveAverage="0" equalAverage="0" bottom="0" percent="0" rank="0" text="" dxfId="1">
      <formula>AND(LEN($I$68)&gt;0,$I$68&lt;&gt;"OK")</formula>
    </cfRule>
  </conditionalFormatting>
  <conditionalFormatting sqref="I69:K69">
    <cfRule type="cellIs" priority="21" operator="equal" aboveAverage="0" equalAverage="0" bottom="0" percent="0" rank="0" text="" dxfId="0">
      <formula>"OK"</formula>
    </cfRule>
    <cfRule type="expression" priority="22" aboveAverage="0" equalAverage="0" bottom="0" percent="0" rank="0" text="" dxfId="1">
      <formula>AND(LEN($I$69)&gt;0,$I$69&lt;&gt;"OK")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E6 K12:K51" type="date">
      <formula1>36526</formula1>
      <formula2>0</formula2>
    </dataValidation>
    <dataValidation allowBlank="true" error="Escolha uma das opções da lista." errorStyle="stop" errorTitle="Valor inválido" operator="between" prompt="Escolha o tipo do cabo." promptTitle="Opções" showDropDown="false" showErrorMessage="true" showInputMessage="true" sqref="D12:D51" type="list">
      <formula1>"Microfone (XLR),Instrumento (P10),Linha balanceado,Caixa (alto-falante),Adaptador ou Y,Rede,Multicabo"</formula1>
      <formula2>0</formula2>
    </dataValidation>
    <dataValidation allowBlank="true" error="Escolha uma das opções da lista." errorStyle="stop" errorTitle="Valor inválido" operator="between" prompt="Escolha o conector desta ponta." promptTitle="Opções" showDropDown="false" showErrorMessage="true" showInputMessage="true" sqref="E12:F51" type="list">
      <formula1>"XLR macho,XLR fêmea,P10 TS,P10 TRS,P2,RCA,Speakon,RJ45,Outro"</formula1>
      <formula2>0</formula2>
    </dataValidation>
    <dataValidation allowBlank="true" error="Escolha uma das opções da lista." errorStyle="stop" errorTitle="Valor inválido" operator="between" prompt="OK ou Falha. Deixe em branco se não testou." promptTitle="Opções" showDropDown="false" showErrorMessage="true" showInputMessage="true" sqref="H12:I51" type="list">
      <formula1>"OK,Falha"</formula1>
      <formula2>0</formula2>
    </dataValidation>
    <dataValidation allowBlank="true" error="Escolha uma das opções da lista." errorStyle="stop" errorTitle="Valor inválido" operator="between" prompt="Bom, Regular ou Ruim." promptTitle="Opções" showDropDown="false" showErrorMessage="true" showInputMessage="true" sqref="J12:J51" type="list">
      <formula1>"Bom,Regular,Ruim"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2:G5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G63:G6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34"/>
    <col collapsed="false" customWidth="true" hidden="false" outlineLevel="0" max="5" min="5" style="0" width="6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158</v>
      </c>
      <c r="C1" s="1"/>
      <c r="D1" s="1"/>
      <c r="E1" s="1"/>
    </row>
    <row r="2" customFormat="false" ht="19.5" hidden="false" customHeight="true" outlineLevel="0" collapsed="false">
      <c r="B2" s="2" t="s">
        <v>159</v>
      </c>
      <c r="C2" s="2"/>
      <c r="D2" s="2"/>
      <c r="E2" s="2"/>
    </row>
    <row r="4" customFormat="false" ht="21.75" hidden="false" customHeight="true" outlineLevel="0" collapsed="false">
      <c r="B4" s="12" t="s">
        <v>160</v>
      </c>
      <c r="C4" s="12"/>
      <c r="D4" s="12"/>
      <c r="E4" s="12"/>
    </row>
    <row r="5" customFormat="false" ht="21.75" hidden="false" customHeight="true" outlineLevel="0" collapsed="false">
      <c r="B5" s="8" t="s">
        <v>161</v>
      </c>
      <c r="C5" s="8" t="s">
        <v>162</v>
      </c>
      <c r="D5" s="8" t="s">
        <v>163</v>
      </c>
      <c r="E5" s="8" t="s">
        <v>164</v>
      </c>
    </row>
    <row r="6" customFormat="false" ht="31.5" hidden="false" customHeight="true" outlineLevel="0" collapsed="false">
      <c r="B6" s="28" t="s">
        <v>103</v>
      </c>
      <c r="C6" s="29" t="s">
        <v>165</v>
      </c>
      <c r="D6" s="29" t="s">
        <v>166</v>
      </c>
      <c r="E6" s="7" t="s">
        <v>167</v>
      </c>
    </row>
    <row r="7" customFormat="false" ht="31.5" hidden="false" customHeight="true" outlineLevel="0" collapsed="false">
      <c r="B7" s="28" t="s">
        <v>97</v>
      </c>
      <c r="C7" s="29" t="s">
        <v>168</v>
      </c>
      <c r="D7" s="29" t="s">
        <v>169</v>
      </c>
      <c r="E7" s="7" t="s">
        <v>170</v>
      </c>
    </row>
    <row r="8" customFormat="false" ht="31.5" hidden="false" customHeight="true" outlineLevel="0" collapsed="false">
      <c r="B8" s="28" t="s">
        <v>171</v>
      </c>
      <c r="C8" s="29" t="s">
        <v>172</v>
      </c>
      <c r="D8" s="29" t="s">
        <v>173</v>
      </c>
      <c r="E8" s="7" t="s">
        <v>174</v>
      </c>
    </row>
    <row r="9" customFormat="false" ht="31.5" hidden="false" customHeight="true" outlineLevel="0" collapsed="false">
      <c r="B9" s="28" t="s">
        <v>175</v>
      </c>
      <c r="C9" s="29" t="s">
        <v>176</v>
      </c>
      <c r="D9" s="29" t="s">
        <v>177</v>
      </c>
      <c r="E9" s="7" t="s">
        <v>178</v>
      </c>
    </row>
    <row r="10" customFormat="false" ht="31.5" hidden="false" customHeight="true" outlineLevel="0" collapsed="false">
      <c r="B10" s="28" t="s">
        <v>179</v>
      </c>
      <c r="C10" s="29" t="s">
        <v>180</v>
      </c>
      <c r="D10" s="29" t="s">
        <v>181</v>
      </c>
      <c r="E10" s="7" t="s">
        <v>182</v>
      </c>
    </row>
    <row r="12" customFormat="false" ht="21.75" hidden="false" customHeight="true" outlineLevel="0" collapsed="false">
      <c r="B12" s="12" t="s">
        <v>183</v>
      </c>
      <c r="C12" s="12"/>
      <c r="D12" s="12"/>
      <c r="E12" s="12"/>
    </row>
    <row r="13" customFormat="false" ht="21.75" hidden="false" customHeight="true" outlineLevel="0" collapsed="false">
      <c r="B13" s="8" t="s">
        <v>184</v>
      </c>
      <c r="C13" s="8" t="s">
        <v>185</v>
      </c>
      <c r="D13" s="8" t="s">
        <v>186</v>
      </c>
      <c r="E13" s="8" t="s">
        <v>86</v>
      </c>
    </row>
    <row r="14" customFormat="false" ht="31.5" hidden="false" customHeight="true" outlineLevel="0" collapsed="false">
      <c r="B14" s="28" t="s">
        <v>187</v>
      </c>
      <c r="C14" s="29" t="s">
        <v>188</v>
      </c>
      <c r="D14" s="29" t="s">
        <v>189</v>
      </c>
      <c r="E14" s="7" t="s">
        <v>190</v>
      </c>
    </row>
    <row r="15" customFormat="false" ht="31.5" hidden="false" customHeight="true" outlineLevel="0" collapsed="false">
      <c r="B15" s="28" t="s">
        <v>191</v>
      </c>
      <c r="C15" s="29" t="s">
        <v>192</v>
      </c>
      <c r="D15" s="29" t="s">
        <v>193</v>
      </c>
      <c r="E15" s="7" t="s">
        <v>194</v>
      </c>
    </row>
    <row r="16" customFormat="false" ht="31.5" hidden="false" customHeight="true" outlineLevel="0" collapsed="false">
      <c r="B16" s="28" t="s">
        <v>195</v>
      </c>
      <c r="C16" s="29" t="s">
        <v>196</v>
      </c>
      <c r="D16" s="29" t="s">
        <v>197</v>
      </c>
      <c r="E16" s="7" t="s">
        <v>198</v>
      </c>
    </row>
    <row r="17" customFormat="false" ht="31.5" hidden="false" customHeight="true" outlineLevel="0" collapsed="false">
      <c r="B17" s="28" t="s">
        <v>199</v>
      </c>
      <c r="C17" s="29" t="s">
        <v>200</v>
      </c>
      <c r="D17" s="29" t="s">
        <v>201</v>
      </c>
      <c r="E17" s="7" t="s">
        <v>202</v>
      </c>
    </row>
    <row r="18" customFormat="false" ht="31.5" hidden="false" customHeight="true" outlineLevel="0" collapsed="false">
      <c r="B18" s="28" t="s">
        <v>203</v>
      </c>
      <c r="C18" s="29" t="s">
        <v>204</v>
      </c>
      <c r="D18" s="29" t="s">
        <v>205</v>
      </c>
      <c r="E18" s="7" t="s">
        <v>206</v>
      </c>
    </row>
    <row r="19" customFormat="false" ht="31.5" hidden="false" customHeight="true" outlineLevel="0" collapsed="false">
      <c r="B19" s="28" t="s">
        <v>207</v>
      </c>
      <c r="C19" s="29" t="s">
        <v>208</v>
      </c>
      <c r="D19" s="29" t="s">
        <v>179</v>
      </c>
      <c r="E19" s="7" t="s">
        <v>209</v>
      </c>
    </row>
    <row r="20" customFormat="false" ht="31.5" hidden="false" customHeight="true" outlineLevel="0" collapsed="false">
      <c r="B20" s="28" t="s">
        <v>210</v>
      </c>
      <c r="C20" s="29" t="s">
        <v>211</v>
      </c>
      <c r="D20" s="29" t="s">
        <v>212</v>
      </c>
      <c r="E20" s="7" t="s">
        <v>213</v>
      </c>
    </row>
    <row r="22" customFormat="false" ht="21.75" hidden="false" customHeight="true" outlineLevel="0" collapsed="false">
      <c r="B22" s="12" t="s">
        <v>214</v>
      </c>
      <c r="C22" s="12"/>
      <c r="D22" s="12"/>
      <c r="E22" s="12"/>
    </row>
    <row r="23" customFormat="false" ht="21.75" hidden="false" customHeight="true" outlineLevel="0" collapsed="false">
      <c r="B23" s="8" t="s">
        <v>215</v>
      </c>
      <c r="C23" s="8" t="s">
        <v>78</v>
      </c>
      <c r="D23" s="8" t="s">
        <v>216</v>
      </c>
      <c r="E23" s="8" t="s">
        <v>86</v>
      </c>
    </row>
    <row r="24" customFormat="false" ht="31.5" hidden="false" customHeight="true" outlineLevel="0" collapsed="false">
      <c r="B24" s="28" t="s">
        <v>217</v>
      </c>
      <c r="C24" s="29" t="s">
        <v>218</v>
      </c>
      <c r="D24" s="29" t="s">
        <v>219</v>
      </c>
      <c r="E24" s="7" t="s">
        <v>220</v>
      </c>
    </row>
    <row r="25" customFormat="false" ht="31.5" hidden="false" customHeight="true" outlineLevel="0" collapsed="false">
      <c r="B25" s="28" t="s">
        <v>221</v>
      </c>
      <c r="C25" s="29" t="s">
        <v>222</v>
      </c>
      <c r="D25" s="29" t="s">
        <v>223</v>
      </c>
      <c r="E25" s="7" t="s">
        <v>224</v>
      </c>
    </row>
    <row r="26" customFormat="false" ht="31.5" hidden="false" customHeight="true" outlineLevel="0" collapsed="false">
      <c r="B26" s="28" t="s">
        <v>225</v>
      </c>
      <c r="C26" s="29" t="s">
        <v>226</v>
      </c>
      <c r="D26" s="29" t="s">
        <v>223</v>
      </c>
      <c r="E26" s="7" t="s">
        <v>227</v>
      </c>
    </row>
    <row r="27" customFormat="false" ht="31.5" hidden="false" customHeight="true" outlineLevel="0" collapsed="false">
      <c r="B27" s="28" t="s">
        <v>228</v>
      </c>
      <c r="C27" s="29" t="s">
        <v>218</v>
      </c>
      <c r="D27" s="29" t="s">
        <v>219</v>
      </c>
      <c r="E27" s="7" t="s">
        <v>229</v>
      </c>
    </row>
    <row r="28" customFormat="false" ht="31.5" hidden="false" customHeight="true" outlineLevel="0" collapsed="false">
      <c r="B28" s="28" t="s">
        <v>230</v>
      </c>
      <c r="C28" s="29" t="s">
        <v>231</v>
      </c>
      <c r="D28" s="29" t="s">
        <v>219</v>
      </c>
      <c r="E28" s="7" t="s">
        <v>232</v>
      </c>
    </row>
    <row r="29" customFormat="false" ht="31.5" hidden="false" customHeight="true" outlineLevel="0" collapsed="false">
      <c r="B29" s="28" t="s">
        <v>233</v>
      </c>
      <c r="C29" s="29" t="s">
        <v>234</v>
      </c>
      <c r="D29" s="29" t="s">
        <v>235</v>
      </c>
      <c r="E29" s="7" t="s">
        <v>236</v>
      </c>
    </row>
    <row r="30" customFormat="false" ht="31.5" hidden="false" customHeight="true" outlineLevel="0" collapsed="false">
      <c r="B30" s="28" t="s">
        <v>237</v>
      </c>
      <c r="C30" s="29" t="s">
        <v>238</v>
      </c>
      <c r="D30" s="29" t="s">
        <v>239</v>
      </c>
      <c r="E30" s="7" t="s">
        <v>240</v>
      </c>
    </row>
    <row r="32" customFormat="false" ht="21.75" hidden="false" customHeight="true" outlineLevel="0" collapsed="false">
      <c r="B32" s="12" t="s">
        <v>241</v>
      </c>
      <c r="C32" s="12"/>
      <c r="D32" s="12"/>
      <c r="E32" s="12"/>
    </row>
    <row r="33" customFormat="false" ht="21.75" hidden="false" customHeight="true" outlineLevel="0" collapsed="false">
      <c r="B33" s="8" t="s">
        <v>242</v>
      </c>
      <c r="C33" s="8" t="s">
        <v>54</v>
      </c>
      <c r="D33" s="8" t="s">
        <v>243</v>
      </c>
      <c r="E33" s="8" t="s">
        <v>244</v>
      </c>
    </row>
    <row r="34" customFormat="false" ht="31.5" hidden="false" customHeight="true" outlineLevel="0" collapsed="false">
      <c r="B34" s="28" t="s">
        <v>245</v>
      </c>
      <c r="C34" s="29" t="s">
        <v>246</v>
      </c>
      <c r="D34" s="29" t="s">
        <v>247</v>
      </c>
      <c r="E34" s="7" t="s">
        <v>248</v>
      </c>
    </row>
    <row r="35" customFormat="false" ht="31.5" hidden="false" customHeight="true" outlineLevel="0" collapsed="false">
      <c r="B35" s="28" t="s">
        <v>249</v>
      </c>
      <c r="C35" s="29" t="s">
        <v>246</v>
      </c>
      <c r="D35" s="29" t="s">
        <v>250</v>
      </c>
      <c r="E35" s="7" t="s">
        <v>251</v>
      </c>
    </row>
    <row r="36" customFormat="false" ht="31.5" hidden="false" customHeight="true" outlineLevel="0" collapsed="false">
      <c r="B36" s="28" t="s">
        <v>252</v>
      </c>
      <c r="C36" s="29" t="s">
        <v>253</v>
      </c>
      <c r="D36" s="29" t="s">
        <v>254</v>
      </c>
      <c r="E36" s="7" t="s">
        <v>255</v>
      </c>
    </row>
    <row r="37" customFormat="false" ht="31.5" hidden="false" customHeight="true" outlineLevel="0" collapsed="false">
      <c r="B37" s="28" t="s">
        <v>256</v>
      </c>
      <c r="C37" s="29" t="s">
        <v>253</v>
      </c>
      <c r="D37" s="29" t="s">
        <v>257</v>
      </c>
      <c r="E37" s="7" t="s">
        <v>258</v>
      </c>
    </row>
    <row r="38" customFormat="false" ht="31.5" hidden="false" customHeight="true" outlineLevel="0" collapsed="false">
      <c r="B38" s="28" t="s">
        <v>259</v>
      </c>
      <c r="C38" s="29" t="s">
        <v>260</v>
      </c>
      <c r="D38" s="29" t="s">
        <v>261</v>
      </c>
      <c r="E38" s="7" t="s">
        <v>262</v>
      </c>
    </row>
    <row r="39" customFormat="false" ht="31.5" hidden="false" customHeight="true" outlineLevel="0" collapsed="false">
      <c r="B39" s="28" t="s">
        <v>263</v>
      </c>
      <c r="C39" s="29" t="s">
        <v>260</v>
      </c>
      <c r="D39" s="29" t="s">
        <v>264</v>
      </c>
      <c r="E39" s="7" t="s">
        <v>265</v>
      </c>
    </row>
    <row r="41" customFormat="false" ht="21.75" hidden="false" customHeight="true" outlineLevel="0" collapsed="false">
      <c r="B41" s="12" t="s">
        <v>266</v>
      </c>
      <c r="C41" s="12"/>
      <c r="D41" s="12"/>
      <c r="E41" s="12"/>
    </row>
    <row r="42" customFormat="false" ht="21.75" hidden="false" customHeight="true" outlineLevel="0" collapsed="false">
      <c r="B42" s="8" t="s">
        <v>267</v>
      </c>
      <c r="C42" s="8" t="s">
        <v>268</v>
      </c>
      <c r="D42" s="8" t="s">
        <v>269</v>
      </c>
      <c r="E42" s="8" t="s">
        <v>85</v>
      </c>
    </row>
    <row r="43" customFormat="false" ht="31.5" hidden="false" customHeight="true" outlineLevel="0" collapsed="false">
      <c r="B43" s="28" t="s">
        <v>270</v>
      </c>
      <c r="C43" s="29" t="s">
        <v>271</v>
      </c>
      <c r="D43" s="29" t="s">
        <v>272</v>
      </c>
      <c r="E43" s="7" t="s">
        <v>273</v>
      </c>
    </row>
    <row r="44" customFormat="false" ht="31.5" hidden="false" customHeight="true" outlineLevel="0" collapsed="false">
      <c r="B44" s="28" t="s">
        <v>274</v>
      </c>
      <c r="C44" s="29" t="s">
        <v>275</v>
      </c>
      <c r="D44" s="29" t="s">
        <v>276</v>
      </c>
      <c r="E44" s="7" t="s">
        <v>277</v>
      </c>
    </row>
    <row r="45" customFormat="false" ht="31.5" hidden="false" customHeight="true" outlineLevel="0" collapsed="false">
      <c r="B45" s="28" t="s">
        <v>278</v>
      </c>
      <c r="C45" s="29" t="s">
        <v>279</v>
      </c>
      <c r="D45" s="29" t="s">
        <v>280</v>
      </c>
      <c r="E45" s="7" t="s">
        <v>281</v>
      </c>
    </row>
    <row r="46" customFormat="false" ht="31.5" hidden="false" customHeight="true" outlineLevel="0" collapsed="false">
      <c r="B46" s="28" t="s">
        <v>282</v>
      </c>
      <c r="C46" s="29" t="s">
        <v>283</v>
      </c>
      <c r="D46" s="29" t="s">
        <v>284</v>
      </c>
      <c r="E46" s="7" t="s">
        <v>285</v>
      </c>
    </row>
    <row r="47" customFormat="false" ht="31.5" hidden="false" customHeight="true" outlineLevel="0" collapsed="false">
      <c r="B47" s="28" t="s">
        <v>286</v>
      </c>
      <c r="C47" s="29" t="s">
        <v>54</v>
      </c>
      <c r="D47" s="29" t="s">
        <v>287</v>
      </c>
      <c r="E47" s="7" t="s">
        <v>288</v>
      </c>
    </row>
    <row r="48" customFormat="false" ht="15" hidden="false" customHeight="true" outlineLevel="0" collapsed="false">
      <c r="B48" s="10" t="s">
        <v>289</v>
      </c>
      <c r="C48" s="10"/>
      <c r="D48" s="10"/>
      <c r="E48" s="10"/>
    </row>
  </sheetData>
  <mergeCells count="8">
    <mergeCell ref="B1:E1"/>
    <mergeCell ref="B2:E2"/>
    <mergeCell ref="B4:E4"/>
    <mergeCell ref="B12:E12"/>
    <mergeCell ref="B22:E22"/>
    <mergeCell ref="B32:E32"/>
    <mergeCell ref="B41:E41"/>
    <mergeCell ref="B48:E4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290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291</v>
      </c>
      <c r="C2" s="2"/>
      <c r="D2" s="2"/>
      <c r="E2" s="2"/>
      <c r="F2" s="2"/>
    </row>
    <row r="4" customFormat="false" ht="21.75" hidden="false" customHeight="true" outlineLevel="0" collapsed="false">
      <c r="B4" s="13" t="s">
        <v>72</v>
      </c>
      <c r="C4" s="13" t="s">
        <v>292</v>
      </c>
      <c r="D4" s="13" t="s">
        <v>293</v>
      </c>
      <c r="E4" s="13" t="s">
        <v>84</v>
      </c>
      <c r="F4" s="13" t="s">
        <v>86</v>
      </c>
    </row>
    <row r="5" customFormat="false" ht="31.5" hidden="false" customHeight="true" outlineLevel="0" collapsed="false">
      <c r="B5" s="18" t="n">
        <v>1</v>
      </c>
      <c r="C5" s="6" t="s">
        <v>294</v>
      </c>
      <c r="D5" s="7" t="s">
        <v>295</v>
      </c>
      <c r="E5" s="9"/>
      <c r="F5" s="5"/>
    </row>
    <row r="6" customFormat="false" ht="19.5" hidden="false" customHeight="true" outlineLevel="0" collapsed="false">
      <c r="B6" s="18" t="n">
        <v>2</v>
      </c>
      <c r="C6" s="6" t="s">
        <v>294</v>
      </c>
      <c r="D6" s="7" t="s">
        <v>296</v>
      </c>
      <c r="E6" s="9"/>
      <c r="F6" s="5"/>
    </row>
    <row r="7" customFormat="false" ht="19.5" hidden="false" customHeight="true" outlineLevel="0" collapsed="false">
      <c r="B7" s="18" t="n">
        <v>3</v>
      </c>
      <c r="C7" s="6" t="s">
        <v>297</v>
      </c>
      <c r="D7" s="7" t="s">
        <v>298</v>
      </c>
      <c r="E7" s="9"/>
      <c r="F7" s="5"/>
    </row>
    <row r="8" customFormat="false" ht="31.5" hidden="false" customHeight="true" outlineLevel="0" collapsed="false">
      <c r="B8" s="18" t="n">
        <v>4</v>
      </c>
      <c r="C8" s="6" t="s">
        <v>297</v>
      </c>
      <c r="D8" s="7" t="s">
        <v>299</v>
      </c>
      <c r="E8" s="9"/>
      <c r="F8" s="5"/>
    </row>
    <row r="9" customFormat="false" ht="19.5" hidden="false" customHeight="true" outlineLevel="0" collapsed="false">
      <c r="B9" s="18" t="n">
        <v>5</v>
      </c>
      <c r="C9" s="6" t="s">
        <v>297</v>
      </c>
      <c r="D9" s="7" t="s">
        <v>300</v>
      </c>
      <c r="E9" s="9"/>
      <c r="F9" s="5"/>
    </row>
    <row r="10" customFormat="false" ht="31.5" hidden="false" customHeight="true" outlineLevel="0" collapsed="false">
      <c r="B10" s="18" t="n">
        <v>6</v>
      </c>
      <c r="C10" s="6" t="s">
        <v>297</v>
      </c>
      <c r="D10" s="7" t="s">
        <v>301</v>
      </c>
      <c r="E10" s="9"/>
      <c r="F10" s="5"/>
    </row>
    <row r="11" customFormat="false" ht="31.5" hidden="false" customHeight="true" outlineLevel="0" collapsed="false">
      <c r="B11" s="18" t="n">
        <v>7</v>
      </c>
      <c r="C11" s="6" t="s">
        <v>54</v>
      </c>
      <c r="D11" s="7" t="s">
        <v>302</v>
      </c>
      <c r="E11" s="9"/>
      <c r="F11" s="5"/>
    </row>
    <row r="12" customFormat="false" ht="31.5" hidden="false" customHeight="true" outlineLevel="0" collapsed="false">
      <c r="B12" s="18" t="n">
        <v>8</v>
      </c>
      <c r="C12" s="6" t="s">
        <v>54</v>
      </c>
      <c r="D12" s="7" t="s">
        <v>303</v>
      </c>
      <c r="E12" s="9"/>
      <c r="F12" s="5"/>
    </row>
    <row r="13" customFormat="false" ht="31.5" hidden="false" customHeight="true" outlineLevel="0" collapsed="false">
      <c r="B13" s="18" t="n">
        <v>9</v>
      </c>
      <c r="C13" s="6" t="s">
        <v>304</v>
      </c>
      <c r="D13" s="7" t="s">
        <v>305</v>
      </c>
      <c r="E13" s="9"/>
      <c r="F13" s="5"/>
    </row>
    <row r="14" customFormat="false" ht="31.5" hidden="false" customHeight="true" outlineLevel="0" collapsed="false">
      <c r="B14" s="18" t="n">
        <v>10</v>
      </c>
      <c r="C14" s="6" t="s">
        <v>304</v>
      </c>
      <c r="D14" s="7" t="s">
        <v>306</v>
      </c>
      <c r="E14" s="9"/>
      <c r="F14" s="5"/>
    </row>
    <row r="15" customFormat="false" ht="31.5" hidden="false" customHeight="true" outlineLevel="0" collapsed="false">
      <c r="B15" s="18" t="n">
        <v>11</v>
      </c>
      <c r="C15" s="6" t="s">
        <v>304</v>
      </c>
      <c r="D15" s="7" t="s">
        <v>307</v>
      </c>
      <c r="E15" s="9"/>
      <c r="F15" s="5"/>
    </row>
    <row r="16" customFormat="false" ht="31.5" hidden="false" customHeight="true" outlineLevel="0" collapsed="false">
      <c r="B16" s="18" t="n">
        <v>12</v>
      </c>
      <c r="C16" s="6" t="s">
        <v>308</v>
      </c>
      <c r="D16" s="7" t="s">
        <v>309</v>
      </c>
      <c r="E16" s="9"/>
      <c r="F16" s="5"/>
    </row>
    <row r="18" customFormat="false" ht="19.5" hidden="false" customHeight="true" outlineLevel="0" collapsed="false">
      <c r="B18" s="22" t="s">
        <v>310</v>
      </c>
      <c r="C18" s="22"/>
      <c r="D18" s="22"/>
      <c r="E18" s="8" t="n">
        <f aca="false">COUNTA(E5:E16)</f>
        <v>0</v>
      </c>
    </row>
    <row r="19" customFormat="false" ht="19.5" hidden="false" customHeight="true" outlineLevel="0" collapsed="false">
      <c r="B19" s="22" t="s">
        <v>311</v>
      </c>
      <c r="C19" s="22"/>
      <c r="D19" s="22"/>
      <c r="E19" s="30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2" t="s">
        <v>84</v>
      </c>
      <c r="C20" s="22"/>
      <c r="D20" s="22"/>
      <c r="E20" s="20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50"/>
    <col collapsed="false" customWidth="true" hidden="false" outlineLevel="0" max="17" min="17" style="0" width="34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312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62</v>
      </c>
      <c r="C4" s="4"/>
      <c r="D4" s="31" t="s">
        <v>313</v>
      </c>
      <c r="E4" s="31"/>
      <c r="F4" s="31"/>
      <c r="G4" s="31"/>
      <c r="H4" s="31"/>
      <c r="I4" s="4" t="s">
        <v>63</v>
      </c>
      <c r="J4" s="4"/>
      <c r="K4" s="4"/>
      <c r="L4" s="4"/>
      <c r="M4" s="32" t="n">
        <v>6</v>
      </c>
      <c r="N4" s="10" t="s">
        <v>64</v>
      </c>
      <c r="O4" s="10"/>
      <c r="P4" s="10"/>
      <c r="Q4" s="10"/>
    </row>
    <row r="5" customFormat="false" ht="21.75" hidden="false" customHeight="true" outlineLevel="0" collapsed="false">
      <c r="B5" s="4" t="s">
        <v>65</v>
      </c>
      <c r="C5" s="4"/>
      <c r="D5" s="31" t="s">
        <v>314</v>
      </c>
      <c r="E5" s="31"/>
      <c r="F5" s="31"/>
      <c r="G5" s="31"/>
      <c r="H5" s="31"/>
      <c r="I5" s="10" t="s">
        <v>66</v>
      </c>
      <c r="J5" s="10"/>
      <c r="K5" s="10"/>
      <c r="L5" s="10"/>
      <c r="M5" s="10"/>
      <c r="N5" s="10"/>
      <c r="O5" s="10"/>
      <c r="P5" s="10"/>
      <c r="Q5" s="10"/>
    </row>
    <row r="6" customFormat="false" ht="21.75" hidden="false" customHeight="true" outlineLevel="0" collapsed="false">
      <c r="B6" s="4" t="s">
        <v>67</v>
      </c>
      <c r="C6" s="4"/>
      <c r="D6" s="33" t="n">
        <v>46299</v>
      </c>
      <c r="E6" s="33"/>
      <c r="F6" s="33"/>
      <c r="G6" s="33"/>
      <c r="H6" s="33"/>
      <c r="I6" s="10" t="s">
        <v>68</v>
      </c>
      <c r="J6" s="10"/>
      <c r="K6" s="10"/>
      <c r="L6" s="10"/>
      <c r="M6" s="10"/>
      <c r="N6" s="10"/>
      <c r="O6" s="10"/>
      <c r="P6" s="10"/>
      <c r="Q6" s="10"/>
    </row>
    <row r="7" customFormat="false" ht="21.75" hidden="false" customHeight="true" outlineLevel="0" collapsed="false">
      <c r="B7" s="4" t="s">
        <v>69</v>
      </c>
      <c r="C7" s="4"/>
      <c r="D7" s="31" t="s">
        <v>315</v>
      </c>
      <c r="E7" s="31"/>
      <c r="F7" s="31"/>
      <c r="G7" s="31"/>
      <c r="H7" s="31"/>
      <c r="I7" s="10" t="s">
        <v>70</v>
      </c>
      <c r="J7" s="10"/>
      <c r="K7" s="10"/>
      <c r="L7" s="10"/>
      <c r="M7" s="10"/>
      <c r="N7" s="10"/>
      <c r="O7" s="10"/>
      <c r="P7" s="10"/>
      <c r="Q7" s="10"/>
    </row>
    <row r="9" customFormat="false" ht="21.75" hidden="false" customHeight="true" outlineLevel="0" collapsed="false">
      <c r="B9" s="12" t="s">
        <v>71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customFormat="false" ht="30" hidden="false" customHeight="true" outlineLevel="0" collapsed="false">
      <c r="B10" s="13" t="s">
        <v>72</v>
      </c>
      <c r="C10" s="13" t="s">
        <v>73</v>
      </c>
      <c r="D10" s="14" t="s">
        <v>74</v>
      </c>
      <c r="E10" s="14" t="s">
        <v>75</v>
      </c>
      <c r="F10" s="14" t="s">
        <v>76</v>
      </c>
      <c r="G10" s="14" t="s">
        <v>77</v>
      </c>
      <c r="H10" s="13" t="s">
        <v>78</v>
      </c>
      <c r="I10" s="13" t="s">
        <v>79</v>
      </c>
      <c r="J10" s="13" t="s">
        <v>80</v>
      </c>
      <c r="K10" s="15" t="s">
        <v>81</v>
      </c>
      <c r="L10" s="15" t="s">
        <v>82</v>
      </c>
      <c r="M10" s="15" t="s">
        <v>83</v>
      </c>
      <c r="N10" s="16" t="s">
        <v>44</v>
      </c>
      <c r="O10" s="16" t="s">
        <v>84</v>
      </c>
      <c r="P10" s="16" t="s">
        <v>85</v>
      </c>
      <c r="Q10" s="13" t="s">
        <v>86</v>
      </c>
    </row>
    <row r="11" customFormat="false" ht="27" hidden="false" customHeight="true" outlineLevel="0" collapsed="false">
      <c r="B11" s="17"/>
      <c r="C11" s="17" t="s">
        <v>87</v>
      </c>
      <c r="D11" s="17" t="s">
        <v>88</v>
      </c>
      <c r="E11" s="17" t="s">
        <v>88</v>
      </c>
      <c r="F11" s="17" t="s">
        <v>89</v>
      </c>
      <c r="G11" s="17" t="s">
        <v>90</v>
      </c>
      <c r="H11" s="17" t="s">
        <v>91</v>
      </c>
      <c r="I11" s="17" t="s">
        <v>92</v>
      </c>
      <c r="J11" s="17" t="s">
        <v>93</v>
      </c>
      <c r="K11" s="17" t="s">
        <v>94</v>
      </c>
      <c r="L11" s="17" t="s">
        <v>88</v>
      </c>
      <c r="M11" s="17" t="s">
        <v>90</v>
      </c>
      <c r="N11" s="17"/>
      <c r="O11" s="17"/>
      <c r="P11" s="17"/>
      <c r="Q11" s="17"/>
    </row>
    <row r="12" customFormat="false" ht="24" hidden="false" customHeight="true" outlineLevel="0" collapsed="false">
      <c r="B12" s="10" t="s">
        <v>316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customFormat="false" ht="21.75" hidden="false" customHeight="true" outlineLevel="0" collapsed="false">
      <c r="B13" s="18" t="n">
        <v>1</v>
      </c>
      <c r="C13" s="31" t="s">
        <v>317</v>
      </c>
      <c r="D13" s="32" t="s">
        <v>103</v>
      </c>
      <c r="E13" s="32" t="s">
        <v>318</v>
      </c>
      <c r="F13" s="32" t="s">
        <v>99</v>
      </c>
      <c r="G13" s="32" t="s">
        <v>318</v>
      </c>
      <c r="H13" s="32" t="s">
        <v>135</v>
      </c>
      <c r="I13" s="32" t="n">
        <v>10</v>
      </c>
      <c r="J13" s="32" t="n">
        <v>1</v>
      </c>
      <c r="K13" s="31" t="s">
        <v>319</v>
      </c>
      <c r="L13" s="32" t="s">
        <v>103</v>
      </c>
      <c r="M13" s="32" t="s">
        <v>318</v>
      </c>
      <c r="N13" s="19" t="str">
        <f aca="false">IF(D13="","",IF(OR(E13="Passiva",E13="Ativa"),"Microfone",D13))</f>
        <v>Microfone</v>
      </c>
      <c r="O13" s="20" t="str">
        <f aca="false">IF(OR(D13="",L13=""),"",IF(AND(N13="Alto-falante",L13&lt;&gt;"Caixa passiva"),"Erro",IF(AND(L13="Caixa passiva",N13&lt;&gt;"Alto-falante"),"Erro",IF(AND(N13="Alto-falante",F13&lt;&gt;"Cabo de caixa"),"Erro",IF(AND(F13="Cabo de caixa",N13&lt;&gt;"Alto-falante"),"Erro",IF(AND(M13="Sim",F13="Desbalanceada"),"Erro",IF(AND(N13="Instrumento",L13&lt;&gt;"Instrumento"),"Atenção",IF(AND(N13="Linha",L13="Microfone"),"Atenção",IF(AND(N13="Linha",L13="Instrumento"),"Atenção",IF(AND(N13="Microfone",L13&lt;&gt;"Microfone"),"Atenção",IF(AND(G13="Sim",M13&lt;&gt;"Sim"),"Atenção",IF(AND(F13="Desbalanceada",I13&lt;&gt;"",$M$4&lt;&gt;"",I13&gt;$M$4),"Atenção",IF(AND(J13&lt;&gt;"",COUNTIF($J$13:$J$44,J13)&gt;1),"Atenção",IF(AND(K13&lt;&gt;"",COUNTIF($K$13:$K$44,K13)&gt;1),"Atenção",IF(F13="","Atenção","OK")))))))))))))))</f>
        <v>OK</v>
      </c>
      <c r="P13" s="21" t="str">
        <f aca="false">IF(OR(D13="",L13=""),"",IF(AND(N13="Alto-falante",L13&lt;&gt;"Caixa passiva"),"Saída de amplificador só pode ir para caixa passiva",IF(AND(L13="Caixa passiva",N13&lt;&gt;"Alto-falante"),"Caixa passiva precisa de um amplificador antes dela",IF(AND(N13="Alto-falante",F13&lt;&gt;"Cabo de caixa"),"Use cabo de caixa: dois condutores grossos, sem malha",IF(AND(F13="Cabo de caixa",N13&lt;&gt;"Alto-falante"),"Cabo de caixa não tem malha: use cabo blindado",IF(AND(M13="Sim",F13="Desbalanceada"),"Desligue o phantom ou passe a fonte por direct box",IF(AND(N13="Instrumento",L13&lt;&gt;"Instrumento"),"Use direct box ou a entrada de instrumento (Hi-Z)",IF(AND(N13="Linha",L13="Microfone"),"Use a entrada de linha, ou direct box na entrada de microfone",IF(AND(N13="Linha",L13="Instrumento"),"Use a entrada de linha",IF(AND(N13="Microfone",L13&lt;&gt;"Microfone"),"Sinal fraco para esta entrada: use a entrada de microfone",IF(AND(G13="Sim",M13&lt;&gt;"Sim"),"Ligue o phantom deste canal, com o canal em mute",IF(AND(F13="Desbalanceada",I13&lt;&gt;"",$M$4&lt;&gt;"",I13&gt;$M$4),"Cabo desbalanceado longo: use direct box e cabo balanceado",IF(AND(J13&lt;&gt;"",COUNTIF($J$13:$J$44,J13)&gt;1),"Via do multicabo repetida: confira",IF(AND(K13&lt;&gt;"",COUNTIF($K$13:$K$44,K13)&gt;1),"Destino repetido: confira",IF(F13="","Informe o tipo de ligação do cabo","Ligação correta")))))))))))))))</f>
        <v>Ligação correta</v>
      </c>
      <c r="Q13" s="31"/>
    </row>
    <row r="14" customFormat="false" ht="21.75" hidden="false" customHeight="true" outlineLevel="0" collapsed="false">
      <c r="B14" s="18" t="n">
        <v>2</v>
      </c>
      <c r="C14" s="31" t="s">
        <v>320</v>
      </c>
      <c r="D14" s="32" t="s">
        <v>103</v>
      </c>
      <c r="E14" s="32" t="s">
        <v>318</v>
      </c>
      <c r="F14" s="32" t="s">
        <v>99</v>
      </c>
      <c r="G14" s="32" t="s">
        <v>318</v>
      </c>
      <c r="H14" s="32" t="s">
        <v>321</v>
      </c>
      <c r="I14" s="32" t="n">
        <v>10</v>
      </c>
      <c r="J14" s="32" t="n">
        <v>2</v>
      </c>
      <c r="K14" s="31" t="s">
        <v>322</v>
      </c>
      <c r="L14" s="32" t="s">
        <v>103</v>
      </c>
      <c r="M14" s="32" t="s">
        <v>318</v>
      </c>
      <c r="N14" s="19" t="str">
        <f aca="false">IF(D14="","",IF(OR(E14="Passiva",E14="Ativa"),"Microfone",D14))</f>
        <v>Microfone</v>
      </c>
      <c r="O14" s="20" t="str">
        <f aca="false">IF(OR(D14="",L14=""),"",IF(AND(N14="Alto-falante",L14&lt;&gt;"Caixa passiva"),"Erro",IF(AND(L14="Caixa passiva",N14&lt;&gt;"Alto-falante"),"Erro",IF(AND(N14="Alto-falante",F14&lt;&gt;"Cabo de caixa"),"Erro",IF(AND(F14="Cabo de caixa",N14&lt;&gt;"Alto-falante"),"Erro",IF(AND(M14="Sim",F14="Desbalanceada"),"Erro",IF(AND(N14="Instrumento",L14&lt;&gt;"Instrumento"),"Atenção",IF(AND(N14="Linha",L14="Microfone"),"Atenção",IF(AND(N14="Linha",L14="Instrumento"),"Atenção",IF(AND(N14="Microfone",L14&lt;&gt;"Microfone"),"Atenção",IF(AND(G14="Sim",M14&lt;&gt;"Sim"),"Atenção",IF(AND(F14="Desbalanceada",I14&lt;&gt;"",$M$4&lt;&gt;"",I14&gt;$M$4),"Atenção",IF(AND(J14&lt;&gt;"",COUNTIF($J$13:$J$44,J14)&gt;1),"Atenção",IF(AND(K14&lt;&gt;"",COUNTIF($K$13:$K$44,K14)&gt;1),"Atenção",IF(F14="","Atenção","OK")))))))))))))))</f>
        <v>OK</v>
      </c>
      <c r="P14" s="21" t="str">
        <f aca="false">IF(OR(D14="",L14=""),"",IF(AND(N14="Alto-falante",L14&lt;&gt;"Caixa passiva"),"Saída de amplificador só pode ir para caixa passiva",IF(AND(L14="Caixa passiva",N14&lt;&gt;"Alto-falante"),"Caixa passiva precisa de um amplificador antes dela",IF(AND(N14="Alto-falante",F14&lt;&gt;"Cabo de caixa"),"Use cabo de caixa: dois condutores grossos, sem malha",IF(AND(F14="Cabo de caixa",N14&lt;&gt;"Alto-falante"),"Cabo de caixa não tem malha: use cabo blindado",IF(AND(M14="Sim",F14="Desbalanceada"),"Desligue o phantom ou passe a fonte por direct box",IF(AND(N14="Instrumento",L14&lt;&gt;"Instrumento"),"Use direct box ou a entrada de instrumento (Hi-Z)",IF(AND(N14="Linha",L14="Microfone"),"Use a entrada de linha, ou direct box na entrada de microfone",IF(AND(N14="Linha",L14="Instrumento"),"Use a entrada de linha",IF(AND(N14="Microfone",L14&lt;&gt;"Microfone"),"Sinal fraco para esta entrada: use a entrada de microfone",IF(AND(G14="Sim",M14&lt;&gt;"Sim"),"Ligue o phantom deste canal, com o canal em mute",IF(AND(F14="Desbalanceada",I14&lt;&gt;"",$M$4&lt;&gt;"",I14&gt;$M$4),"Cabo desbalanceado longo: use direct box e cabo balanceado",IF(AND(J14&lt;&gt;"",COUNTIF($J$13:$J$44,J14)&gt;1),"Via do multicabo repetida: confira",IF(AND(K14&lt;&gt;"",COUNTIF($K$13:$K$44,K14)&gt;1),"Destino repetido: confira",IF(F14="","Informe o tipo de ligação do cabo","Ligação correta")))))))))))))))</f>
        <v>Ligação correta</v>
      </c>
      <c r="Q14" s="31"/>
    </row>
    <row r="15" customFormat="false" ht="21.75" hidden="false" customHeight="true" outlineLevel="0" collapsed="false">
      <c r="B15" s="18" t="n">
        <v>3</v>
      </c>
      <c r="C15" s="31" t="s">
        <v>323</v>
      </c>
      <c r="D15" s="32" t="s">
        <v>103</v>
      </c>
      <c r="E15" s="32" t="s">
        <v>318</v>
      </c>
      <c r="F15" s="32" t="s">
        <v>99</v>
      </c>
      <c r="G15" s="32" t="s">
        <v>100</v>
      </c>
      <c r="H15" s="32" t="s">
        <v>324</v>
      </c>
      <c r="I15" s="32" t="n">
        <v>15</v>
      </c>
      <c r="J15" s="32" t="n">
        <v>3</v>
      </c>
      <c r="K15" s="31" t="s">
        <v>325</v>
      </c>
      <c r="L15" s="32" t="s">
        <v>103</v>
      </c>
      <c r="M15" s="32" t="s">
        <v>318</v>
      </c>
      <c r="N15" s="19" t="str">
        <f aca="false">IF(D15="","",IF(OR(E15="Passiva",E15="Ativa"),"Microfone",D15))</f>
        <v>Microfone</v>
      </c>
      <c r="O15" s="20" t="str">
        <f aca="false">IF(OR(D15="",L15=""),"",IF(AND(N15="Alto-falante",L15&lt;&gt;"Caixa passiva"),"Erro",IF(AND(L15="Caixa passiva",N15&lt;&gt;"Alto-falante"),"Erro",IF(AND(N15="Alto-falante",F15&lt;&gt;"Cabo de caixa"),"Erro",IF(AND(F15="Cabo de caixa",N15&lt;&gt;"Alto-falante"),"Erro",IF(AND(M15="Sim",F15="Desbalanceada"),"Erro",IF(AND(N15="Instrumento",L15&lt;&gt;"Instrumento"),"Atenção",IF(AND(N15="Linha",L15="Microfone"),"Atenção",IF(AND(N15="Linha",L15="Instrumento"),"Atenção",IF(AND(N15="Microfone",L15&lt;&gt;"Microfone"),"Atenção",IF(AND(G15="Sim",M15&lt;&gt;"Sim"),"Atenção",IF(AND(F15="Desbalanceada",I15&lt;&gt;"",$M$4&lt;&gt;"",I15&gt;$M$4),"Atenção",IF(AND(J15&lt;&gt;"",COUNTIF($J$13:$J$44,J15)&gt;1),"Atenção",IF(AND(K15&lt;&gt;"",COUNTIF($K$13:$K$44,K15)&gt;1),"Atenção",IF(F15="","Atenção","OK")))))))))))))))</f>
        <v>Atenção</v>
      </c>
      <c r="P15" s="21" t="str">
        <f aca="false">IF(OR(D15="",L15=""),"",IF(AND(N15="Alto-falante",L15&lt;&gt;"Caixa passiva"),"Saída de amplificador só pode ir para caixa passiva",IF(AND(L15="Caixa passiva",N15&lt;&gt;"Alto-falante"),"Caixa passiva precisa de um amplificador antes dela",IF(AND(N15="Alto-falante",F15&lt;&gt;"Cabo de caixa"),"Use cabo de caixa: dois condutores grossos, sem malha",IF(AND(F15="Cabo de caixa",N15&lt;&gt;"Alto-falante"),"Cabo de caixa não tem malha: use cabo blindado",IF(AND(M15="Sim",F15="Desbalanceada"),"Desligue o phantom ou passe a fonte por direct box",IF(AND(N15="Instrumento",L15&lt;&gt;"Instrumento"),"Use direct box ou a entrada de instrumento (Hi-Z)",IF(AND(N15="Linha",L15="Microfone"),"Use a entrada de linha, ou direct box na entrada de microfone",IF(AND(N15="Linha",L15="Instrumento"),"Use a entrada de linha",IF(AND(N15="Microfone",L15&lt;&gt;"Microfone"),"Sinal fraco para esta entrada: use a entrada de microfone",IF(AND(G15="Sim",M15&lt;&gt;"Sim"),"Ligue o phantom deste canal, com o canal em mute",IF(AND(F15="Desbalanceada",I15&lt;&gt;"",$M$4&lt;&gt;"",I15&gt;$M$4),"Cabo desbalanceado longo: use direct box e cabo balanceado",IF(AND(J15&lt;&gt;"",COUNTIF($J$13:$J$44,J15)&gt;1),"Via do multicabo repetida: confira",IF(AND(K15&lt;&gt;"",COUNTIF($K$13:$K$44,K15)&gt;1),"Destino repetido: confira",IF(F15="","Informe o tipo de ligação do cabo","Ligação correta")))))))))))))))</f>
        <v>Ligue o phantom deste canal, com o canal em mute</v>
      </c>
      <c r="Q15" s="31" t="s">
        <v>326</v>
      </c>
    </row>
    <row r="16" customFormat="false" ht="21.75" hidden="false" customHeight="true" outlineLevel="0" collapsed="false">
      <c r="B16" s="18" t="n">
        <v>4</v>
      </c>
      <c r="C16" s="31" t="s">
        <v>96</v>
      </c>
      <c r="D16" s="32" t="s">
        <v>97</v>
      </c>
      <c r="E16" s="32" t="s">
        <v>318</v>
      </c>
      <c r="F16" s="32" t="s">
        <v>327</v>
      </c>
      <c r="G16" s="32" t="s">
        <v>318</v>
      </c>
      <c r="H16" s="32" t="s">
        <v>328</v>
      </c>
      <c r="I16" s="32" t="n">
        <v>9</v>
      </c>
      <c r="J16" s="32" t="n">
        <v>4</v>
      </c>
      <c r="K16" s="31" t="s">
        <v>102</v>
      </c>
      <c r="L16" s="32" t="s">
        <v>103</v>
      </c>
      <c r="M16" s="32" t="s">
        <v>318</v>
      </c>
      <c r="N16" s="19" t="str">
        <f aca="false">IF(D16="","",IF(OR(E16="Passiva",E16="Ativa"),"Microfone",D16))</f>
        <v>Instrumento</v>
      </c>
      <c r="O16" s="20" t="str">
        <f aca="false">IF(OR(D16="",L16=""),"",IF(AND(N16="Alto-falante",L16&lt;&gt;"Caixa passiva"),"Erro",IF(AND(L16="Caixa passiva",N16&lt;&gt;"Alto-falante"),"Erro",IF(AND(N16="Alto-falante",F16&lt;&gt;"Cabo de caixa"),"Erro",IF(AND(F16="Cabo de caixa",N16&lt;&gt;"Alto-falante"),"Erro",IF(AND(M16="Sim",F16="Desbalanceada"),"Erro",IF(AND(N16="Instrumento",L16&lt;&gt;"Instrumento"),"Atenção",IF(AND(N16="Linha",L16="Microfone"),"Atenção",IF(AND(N16="Linha",L16="Instrumento"),"Atenção",IF(AND(N16="Microfone",L16&lt;&gt;"Microfone"),"Atenção",IF(AND(G16="Sim",M16&lt;&gt;"Sim"),"Atenção",IF(AND(F16="Desbalanceada",I16&lt;&gt;"",$M$4&lt;&gt;"",I16&gt;$M$4),"Atenção",IF(AND(J16&lt;&gt;"",COUNTIF($J$13:$J$44,J16)&gt;1),"Atenção",IF(AND(K16&lt;&gt;"",COUNTIF($K$13:$K$44,K16)&gt;1),"Atenção",IF(F16="","Atenção","OK")))))))))))))))</f>
        <v>Atenção</v>
      </c>
      <c r="P16" s="21" t="str">
        <f aca="false">IF(OR(D16="",L16=""),"",IF(AND(N16="Alto-falante",L16&lt;&gt;"Caixa passiva"),"Saída de amplificador só pode ir para caixa passiva",IF(AND(L16="Caixa passiva",N16&lt;&gt;"Alto-falante"),"Caixa passiva precisa de um amplificador antes dela",IF(AND(N16="Alto-falante",F16&lt;&gt;"Cabo de caixa"),"Use cabo de caixa: dois condutores grossos, sem malha",IF(AND(F16="Cabo de caixa",N16&lt;&gt;"Alto-falante"),"Cabo de caixa não tem malha: use cabo blindado",IF(AND(M16="Sim",F16="Desbalanceada"),"Desligue o phantom ou passe a fonte por direct box",IF(AND(N16="Instrumento",L16&lt;&gt;"Instrumento"),"Use direct box ou a entrada de instrumento (Hi-Z)",IF(AND(N16="Linha",L16="Microfone"),"Use a entrada de linha, ou direct box na entrada de microfone",IF(AND(N16="Linha",L16="Instrumento"),"Use a entrada de linha",IF(AND(N16="Microfone",L16&lt;&gt;"Microfone"),"Sinal fraco para esta entrada: use a entrada de microfone",IF(AND(G16="Sim",M16&lt;&gt;"Sim"),"Ligue o phantom deste canal, com o canal em mute",IF(AND(F16="Desbalanceada",I16&lt;&gt;"",$M$4&lt;&gt;"",I16&gt;$M$4),"Cabo desbalanceado longo: use direct box e cabo balanceado",IF(AND(J16&lt;&gt;"",COUNTIF($J$13:$J$44,J16)&gt;1),"Via do multicabo repetida: confira",IF(AND(K16&lt;&gt;"",COUNTIF($K$13:$K$44,K16)&gt;1),"Destino repetido: confira",IF(F16="","Informe o tipo de ligação do cabo","Ligação correta")))))))))))))))</f>
        <v>Use direct box ou a entrada de instrumento (Hi-Z)</v>
      </c>
      <c r="Q16" s="31" t="s">
        <v>329</v>
      </c>
    </row>
    <row r="17" customFormat="false" ht="21.75" hidden="false" customHeight="true" outlineLevel="0" collapsed="false">
      <c r="B17" s="18" t="n">
        <v>5</v>
      </c>
      <c r="C17" s="31" t="s">
        <v>330</v>
      </c>
      <c r="D17" s="32" t="s">
        <v>97</v>
      </c>
      <c r="E17" s="32" t="s">
        <v>98</v>
      </c>
      <c r="F17" s="32" t="s">
        <v>99</v>
      </c>
      <c r="G17" s="32" t="s">
        <v>100</v>
      </c>
      <c r="H17" s="32" t="s">
        <v>101</v>
      </c>
      <c r="I17" s="32" t="n">
        <v>5</v>
      </c>
      <c r="J17" s="32" t="n">
        <v>5</v>
      </c>
      <c r="K17" s="31" t="s">
        <v>331</v>
      </c>
      <c r="L17" s="32" t="s">
        <v>103</v>
      </c>
      <c r="M17" s="32" t="s">
        <v>100</v>
      </c>
      <c r="N17" s="19" t="str">
        <f aca="false">IF(D17="","",IF(OR(E17="Passiva",E17="Ativa"),"Microfone",D17))</f>
        <v>Microfone</v>
      </c>
      <c r="O17" s="20" t="str">
        <f aca="false">IF(OR(D17="",L17=""),"",IF(AND(N17="Alto-falante",L17&lt;&gt;"Caixa passiva"),"Erro",IF(AND(L17="Caixa passiva",N17&lt;&gt;"Alto-falante"),"Erro",IF(AND(N17="Alto-falante",F17&lt;&gt;"Cabo de caixa"),"Erro",IF(AND(F17="Cabo de caixa",N17&lt;&gt;"Alto-falante"),"Erro",IF(AND(M17="Sim",F17="Desbalanceada"),"Erro",IF(AND(N17="Instrumento",L17&lt;&gt;"Instrumento"),"Atenção",IF(AND(N17="Linha",L17="Microfone"),"Atenção",IF(AND(N17="Linha",L17="Instrumento"),"Atenção",IF(AND(N17="Microfone",L17&lt;&gt;"Microfone"),"Atenção",IF(AND(G17="Sim",M17&lt;&gt;"Sim"),"Atenção",IF(AND(F17="Desbalanceada",I17&lt;&gt;"",$M$4&lt;&gt;"",I17&gt;$M$4),"Atenção",IF(AND(J17&lt;&gt;"",COUNTIF($J$13:$J$44,J17)&gt;1),"Atenção",IF(AND(K17&lt;&gt;"",COUNTIF($K$13:$K$44,K17)&gt;1),"Atenção",IF(F17="","Atenção","OK")))))))))))))))</f>
        <v>OK</v>
      </c>
      <c r="P17" s="21" t="str">
        <f aca="false">IF(OR(D17="",L17=""),"",IF(AND(N17="Alto-falante",L17&lt;&gt;"Caixa passiva"),"Saída de amplificador só pode ir para caixa passiva",IF(AND(L17="Caixa passiva",N17&lt;&gt;"Alto-falante"),"Caixa passiva precisa de um amplificador antes dela",IF(AND(N17="Alto-falante",F17&lt;&gt;"Cabo de caixa"),"Use cabo de caixa: dois condutores grossos, sem malha",IF(AND(F17="Cabo de caixa",N17&lt;&gt;"Alto-falante"),"Cabo de caixa não tem malha: use cabo blindado",IF(AND(M17="Sim",F17="Desbalanceada"),"Desligue o phantom ou passe a fonte por direct box",IF(AND(N17="Instrumento",L17&lt;&gt;"Instrumento"),"Use direct box ou a entrada de instrumento (Hi-Z)",IF(AND(N17="Linha",L17="Microfone"),"Use a entrada de linha, ou direct box na entrada de microfone",IF(AND(N17="Linha",L17="Instrumento"),"Use a entrada de linha",IF(AND(N17="Microfone",L17&lt;&gt;"Microfone"),"Sinal fraco para esta entrada: use a entrada de microfone",IF(AND(G17="Sim",M17&lt;&gt;"Sim"),"Ligue o phantom deste canal, com o canal em mute",IF(AND(F17="Desbalanceada",I17&lt;&gt;"",$M$4&lt;&gt;"",I17&gt;$M$4),"Cabo desbalanceado longo: use direct box e cabo balanceado",IF(AND(J17&lt;&gt;"",COUNTIF($J$13:$J$44,J17)&gt;1),"Via do multicabo repetida: confira",IF(AND(K17&lt;&gt;"",COUNTIF($K$13:$K$44,K17)&gt;1),"Destino repetido: confira",IF(F17="","Informe o tipo de ligação do cabo","Ligação correta")))))))))))))))</f>
        <v>Ligação correta</v>
      </c>
      <c r="Q17" s="31" t="s">
        <v>332</v>
      </c>
    </row>
    <row r="18" customFormat="false" ht="21.75" hidden="false" customHeight="true" outlineLevel="0" collapsed="false">
      <c r="B18" s="18" t="n">
        <v>6</v>
      </c>
      <c r="C18" s="31" t="s">
        <v>333</v>
      </c>
      <c r="D18" s="32" t="s">
        <v>334</v>
      </c>
      <c r="E18" s="32" t="s">
        <v>318</v>
      </c>
      <c r="F18" s="32" t="s">
        <v>327</v>
      </c>
      <c r="G18" s="32" t="s">
        <v>318</v>
      </c>
      <c r="H18" s="32" t="s">
        <v>335</v>
      </c>
      <c r="I18" s="32" t="n">
        <v>12</v>
      </c>
      <c r="J18" s="32" t="n">
        <v>6</v>
      </c>
      <c r="K18" s="31" t="s">
        <v>336</v>
      </c>
      <c r="L18" s="32" t="s">
        <v>103</v>
      </c>
      <c r="M18" s="32" t="s">
        <v>100</v>
      </c>
      <c r="N18" s="19" t="str">
        <f aca="false">IF(D18="","",IF(OR(E18="Passiva",E18="Ativa"),"Microfone",D18))</f>
        <v>Linha</v>
      </c>
      <c r="O18" s="20" t="str">
        <f aca="false">IF(OR(D18="",L18=""),"",IF(AND(N18="Alto-falante",L18&lt;&gt;"Caixa passiva"),"Erro",IF(AND(L18="Caixa passiva",N18&lt;&gt;"Alto-falante"),"Erro",IF(AND(N18="Alto-falante",F18&lt;&gt;"Cabo de caixa"),"Erro",IF(AND(F18="Cabo de caixa",N18&lt;&gt;"Alto-falante"),"Erro",IF(AND(M18="Sim",F18="Desbalanceada"),"Erro",IF(AND(N18="Instrumento",L18&lt;&gt;"Instrumento"),"Atenção",IF(AND(N18="Linha",L18="Microfone"),"Atenção",IF(AND(N18="Linha",L18="Instrumento"),"Atenção",IF(AND(N18="Microfone",L18&lt;&gt;"Microfone"),"Atenção",IF(AND(G18="Sim",M18&lt;&gt;"Sim"),"Atenção",IF(AND(F18="Desbalanceada",I18&lt;&gt;"",$M$4&lt;&gt;"",I18&gt;$M$4),"Atenção",IF(AND(J18&lt;&gt;"",COUNTIF($J$13:$J$44,J18)&gt;1),"Atenção",IF(AND(K18&lt;&gt;"",COUNTIF($K$13:$K$44,K18)&gt;1),"Atenção",IF(F18="","Atenção","OK")))))))))))))))</f>
        <v>Erro</v>
      </c>
      <c r="P18" s="21" t="str">
        <f aca="false">IF(OR(D18="",L18=""),"",IF(AND(N18="Alto-falante",L18&lt;&gt;"Caixa passiva"),"Saída de amplificador só pode ir para caixa passiva",IF(AND(L18="Caixa passiva",N18&lt;&gt;"Alto-falante"),"Caixa passiva precisa de um amplificador antes dela",IF(AND(N18="Alto-falante",F18&lt;&gt;"Cabo de caixa"),"Use cabo de caixa: dois condutores grossos, sem malha",IF(AND(F18="Cabo de caixa",N18&lt;&gt;"Alto-falante"),"Cabo de caixa não tem malha: use cabo blindado",IF(AND(M18="Sim",F18="Desbalanceada"),"Desligue o phantom ou passe a fonte por direct box",IF(AND(N18="Instrumento",L18&lt;&gt;"Instrumento"),"Use direct box ou a entrada de instrumento (Hi-Z)",IF(AND(N18="Linha",L18="Microfone"),"Use a entrada de linha, ou direct box na entrada de microfone",IF(AND(N18="Linha",L18="Instrumento"),"Use a entrada de linha",IF(AND(N18="Microfone",L18&lt;&gt;"Microfone"),"Sinal fraco para esta entrada: use a entrada de microfone",IF(AND(G18="Sim",M18&lt;&gt;"Sim"),"Ligue o phantom deste canal, com o canal em mute",IF(AND(F18="Desbalanceada",I18&lt;&gt;"",$M$4&lt;&gt;"",I18&gt;$M$4),"Cabo desbalanceado longo: use direct box e cabo balanceado",IF(AND(J18&lt;&gt;"",COUNTIF($J$13:$J$44,J18)&gt;1),"Via do multicabo repetida: confira",IF(AND(K18&lt;&gt;"",COUNTIF($K$13:$K$44,K18)&gt;1),"Destino repetido: confira",IF(F18="","Informe o tipo de ligação do cabo","Ligação correta")))))))))))))))</f>
        <v>Desligue o phantom ou passe a fonte por direct box</v>
      </c>
      <c r="Q18" s="31" t="s">
        <v>337</v>
      </c>
    </row>
    <row r="19" customFormat="false" ht="21.75" hidden="false" customHeight="true" outlineLevel="0" collapsed="false">
      <c r="B19" s="18" t="n">
        <v>7</v>
      </c>
      <c r="C19" s="31" t="s">
        <v>338</v>
      </c>
      <c r="D19" s="32" t="s">
        <v>334</v>
      </c>
      <c r="E19" s="32" t="s">
        <v>318</v>
      </c>
      <c r="F19" s="32" t="s">
        <v>327</v>
      </c>
      <c r="G19" s="32" t="s">
        <v>318</v>
      </c>
      <c r="H19" s="32" t="s">
        <v>339</v>
      </c>
      <c r="I19" s="32" t="n">
        <v>12</v>
      </c>
      <c r="J19" s="32" t="n">
        <v>7</v>
      </c>
      <c r="K19" s="31" t="s">
        <v>340</v>
      </c>
      <c r="L19" s="32" t="s">
        <v>103</v>
      </c>
      <c r="M19" s="32" t="s">
        <v>100</v>
      </c>
      <c r="N19" s="19" t="str">
        <f aca="false">IF(D19="","",IF(OR(E19="Passiva",E19="Ativa"),"Microfone",D19))</f>
        <v>Linha</v>
      </c>
      <c r="O19" s="20" t="str">
        <f aca="false">IF(OR(D19="",L19=""),"",IF(AND(N19="Alto-falante",L19&lt;&gt;"Caixa passiva"),"Erro",IF(AND(L19="Caixa passiva",N19&lt;&gt;"Alto-falante"),"Erro",IF(AND(N19="Alto-falante",F19&lt;&gt;"Cabo de caixa"),"Erro",IF(AND(F19="Cabo de caixa",N19&lt;&gt;"Alto-falante"),"Erro",IF(AND(M19="Sim",F19="Desbalanceada"),"Erro",IF(AND(N19="Instrumento",L19&lt;&gt;"Instrumento"),"Atenção",IF(AND(N19="Linha",L19="Microfone"),"Atenção",IF(AND(N19="Linha",L19="Instrumento"),"Atenção",IF(AND(N19="Microfone",L19&lt;&gt;"Microfone"),"Atenção",IF(AND(G19="Sim",M19&lt;&gt;"Sim"),"Atenção",IF(AND(F19="Desbalanceada",I19&lt;&gt;"",$M$4&lt;&gt;"",I19&gt;$M$4),"Atenção",IF(AND(J19&lt;&gt;"",COUNTIF($J$13:$J$44,J19)&gt;1),"Atenção",IF(AND(K19&lt;&gt;"",COUNTIF($K$13:$K$44,K19)&gt;1),"Atenção",IF(F19="","Atenção","OK")))))))))))))))</f>
        <v>Erro</v>
      </c>
      <c r="P19" s="21" t="str">
        <f aca="false">IF(OR(D19="",L19=""),"",IF(AND(N19="Alto-falante",L19&lt;&gt;"Caixa passiva"),"Saída de amplificador só pode ir para caixa passiva",IF(AND(L19="Caixa passiva",N19&lt;&gt;"Alto-falante"),"Caixa passiva precisa de um amplificador antes dela",IF(AND(N19="Alto-falante",F19&lt;&gt;"Cabo de caixa"),"Use cabo de caixa: dois condutores grossos, sem malha",IF(AND(F19="Cabo de caixa",N19&lt;&gt;"Alto-falante"),"Cabo de caixa não tem malha: use cabo blindado",IF(AND(M19="Sim",F19="Desbalanceada"),"Desligue o phantom ou passe a fonte por direct box",IF(AND(N19="Instrumento",L19&lt;&gt;"Instrumento"),"Use direct box ou a entrada de instrumento (Hi-Z)",IF(AND(N19="Linha",L19="Microfone"),"Use a entrada de linha, ou direct box na entrada de microfone",IF(AND(N19="Linha",L19="Instrumento"),"Use a entrada de linha",IF(AND(N19="Microfone",L19&lt;&gt;"Microfone"),"Sinal fraco para esta entrada: use a entrada de microfone",IF(AND(G19="Sim",M19&lt;&gt;"Sim"),"Ligue o phantom deste canal, com o canal em mute",IF(AND(F19="Desbalanceada",I19&lt;&gt;"",$M$4&lt;&gt;"",I19&gt;$M$4),"Cabo desbalanceado longo: use direct box e cabo balanceado",IF(AND(J19&lt;&gt;"",COUNTIF($J$13:$J$44,J19)&gt;1),"Via do multicabo repetida: confira",IF(AND(K19&lt;&gt;"",COUNTIF($K$13:$K$44,K19)&gt;1),"Destino repetido: confira",IF(F19="","Informe o tipo de ligação do cabo","Ligação correta")))))))))))))))</f>
        <v>Desligue o phantom ou passe a fonte por direct box</v>
      </c>
      <c r="Q19" s="31" t="s">
        <v>337</v>
      </c>
    </row>
    <row r="20" customFormat="false" ht="21.75" hidden="false" customHeight="true" outlineLevel="0" collapsed="false">
      <c r="B20" s="18" t="n">
        <v>8</v>
      </c>
      <c r="C20" s="31" t="s">
        <v>341</v>
      </c>
      <c r="D20" s="32" t="s">
        <v>103</v>
      </c>
      <c r="E20" s="32" t="s">
        <v>318</v>
      </c>
      <c r="F20" s="32" t="s">
        <v>99</v>
      </c>
      <c r="G20" s="32" t="s">
        <v>318</v>
      </c>
      <c r="H20" s="32" t="s">
        <v>342</v>
      </c>
      <c r="I20" s="32" t="n">
        <v>5</v>
      </c>
      <c r="J20" s="32" t="n">
        <v>8</v>
      </c>
      <c r="K20" s="31" t="s">
        <v>343</v>
      </c>
      <c r="L20" s="32" t="s">
        <v>103</v>
      </c>
      <c r="M20" s="32" t="s">
        <v>318</v>
      </c>
      <c r="N20" s="19" t="str">
        <f aca="false">IF(D20="","",IF(OR(E20="Passiva",E20="Ativa"),"Microfone",D20))</f>
        <v>Microfone</v>
      </c>
      <c r="O20" s="20" t="str">
        <f aca="false">IF(OR(D20="",L20=""),"",IF(AND(N20="Alto-falante",L20&lt;&gt;"Caixa passiva"),"Erro",IF(AND(L20="Caixa passiva",N20&lt;&gt;"Alto-falante"),"Erro",IF(AND(N20="Alto-falante",F20&lt;&gt;"Cabo de caixa"),"Erro",IF(AND(F20="Cabo de caixa",N20&lt;&gt;"Alto-falante"),"Erro",IF(AND(M20="Sim",F20="Desbalanceada"),"Erro",IF(AND(N20="Instrumento",L20&lt;&gt;"Instrumento"),"Atenção",IF(AND(N20="Linha",L20="Microfone"),"Atenção",IF(AND(N20="Linha",L20="Instrumento"),"Atenção",IF(AND(N20="Microfone",L20&lt;&gt;"Microfone"),"Atenção",IF(AND(G20="Sim",M20&lt;&gt;"Sim"),"Atenção",IF(AND(F20="Desbalanceada",I20&lt;&gt;"",$M$4&lt;&gt;"",I20&gt;$M$4),"Atenção",IF(AND(J20&lt;&gt;"",COUNTIF($J$13:$J$44,J20)&gt;1),"Atenção",IF(AND(K20&lt;&gt;"",COUNTIF($K$13:$K$44,K20)&gt;1),"Atenção",IF(F20="","Atenção","OK")))))))))))))))</f>
        <v>OK</v>
      </c>
      <c r="P20" s="21" t="str">
        <f aca="false">IF(OR(D20="",L20=""),"",IF(AND(N20="Alto-falante",L20&lt;&gt;"Caixa passiva"),"Saída de amplificador só pode ir para caixa passiva",IF(AND(L20="Caixa passiva",N20&lt;&gt;"Alto-falante"),"Caixa passiva precisa de um amplificador antes dela",IF(AND(N20="Alto-falante",F20&lt;&gt;"Cabo de caixa"),"Use cabo de caixa: dois condutores grossos, sem malha",IF(AND(F20="Cabo de caixa",N20&lt;&gt;"Alto-falante"),"Cabo de caixa não tem malha: use cabo blindado",IF(AND(M20="Sim",F20="Desbalanceada"),"Desligue o phantom ou passe a fonte por direct box",IF(AND(N20="Instrumento",L20&lt;&gt;"Instrumento"),"Use direct box ou a entrada de instrumento (Hi-Z)",IF(AND(N20="Linha",L20="Microfone"),"Use a entrada de linha, ou direct box na entrada de microfone",IF(AND(N20="Linha",L20="Instrumento"),"Use a entrada de linha",IF(AND(N20="Microfone",L20&lt;&gt;"Microfone"),"Sinal fraco para esta entrada: use a entrada de microfone",IF(AND(G20="Sim",M20&lt;&gt;"Sim"),"Ligue o phantom deste canal, com o canal em mute",IF(AND(F20="Desbalanceada",I20&lt;&gt;"",$M$4&lt;&gt;"",I20&gt;$M$4),"Cabo desbalanceado longo: use direct box e cabo balanceado",IF(AND(J20&lt;&gt;"",COUNTIF($J$13:$J$44,J20)&gt;1),"Via do multicabo repetida: confira",IF(AND(K20&lt;&gt;"",COUNTIF($K$13:$K$44,K20)&gt;1),"Destino repetido: confira",IF(F20="","Informe o tipo de ligação do cabo","Ligação correta")))))))))))))))</f>
        <v>Ligação correta</v>
      </c>
      <c r="Q20" s="31"/>
    </row>
    <row r="21" customFormat="false" ht="21.75" hidden="false" customHeight="true" outlineLevel="0" collapsed="false">
      <c r="B21" s="18" t="n">
        <v>9</v>
      </c>
      <c r="C21" s="31" t="s">
        <v>344</v>
      </c>
      <c r="D21" s="32" t="s">
        <v>103</v>
      </c>
      <c r="E21" s="32" t="s">
        <v>318</v>
      </c>
      <c r="F21" s="32" t="s">
        <v>99</v>
      </c>
      <c r="G21" s="32" t="s">
        <v>318</v>
      </c>
      <c r="H21" s="32" t="s">
        <v>345</v>
      </c>
      <c r="I21" s="32" t="n">
        <v>5</v>
      </c>
      <c r="J21" s="32" t="n">
        <v>9</v>
      </c>
      <c r="K21" s="31" t="s">
        <v>346</v>
      </c>
      <c r="L21" s="32" t="s">
        <v>103</v>
      </c>
      <c r="M21" s="32" t="s">
        <v>318</v>
      </c>
      <c r="N21" s="19" t="str">
        <f aca="false">IF(D21="","",IF(OR(E21="Passiva",E21="Ativa"),"Microfone",D21))</f>
        <v>Microfone</v>
      </c>
      <c r="O21" s="20" t="str">
        <f aca="false">IF(OR(D21="",L21=""),"",IF(AND(N21="Alto-falante",L21&lt;&gt;"Caixa passiva"),"Erro",IF(AND(L21="Caixa passiva",N21&lt;&gt;"Alto-falante"),"Erro",IF(AND(N21="Alto-falante",F21&lt;&gt;"Cabo de caixa"),"Erro",IF(AND(F21="Cabo de caixa",N21&lt;&gt;"Alto-falante"),"Erro",IF(AND(M21="Sim",F21="Desbalanceada"),"Erro",IF(AND(N21="Instrumento",L21&lt;&gt;"Instrumento"),"Atenção",IF(AND(N21="Linha",L21="Microfone"),"Atenção",IF(AND(N21="Linha",L21="Instrumento"),"Atenção",IF(AND(N21="Microfone",L21&lt;&gt;"Microfone"),"Atenção",IF(AND(G21="Sim",M21&lt;&gt;"Sim"),"Atenção",IF(AND(F21="Desbalanceada",I21&lt;&gt;"",$M$4&lt;&gt;"",I21&gt;$M$4),"Atenção",IF(AND(J21&lt;&gt;"",COUNTIF($J$13:$J$44,J21)&gt;1),"Atenção",IF(AND(K21&lt;&gt;"",COUNTIF($K$13:$K$44,K21)&gt;1),"Atenção",IF(F21="","Atenção","OK")))))))))))))))</f>
        <v>OK</v>
      </c>
      <c r="P21" s="21" t="str">
        <f aca="false">IF(OR(D21="",L21=""),"",IF(AND(N21="Alto-falante",L21&lt;&gt;"Caixa passiva"),"Saída de amplificador só pode ir para caixa passiva",IF(AND(L21="Caixa passiva",N21&lt;&gt;"Alto-falante"),"Caixa passiva precisa de um amplificador antes dela",IF(AND(N21="Alto-falante",F21&lt;&gt;"Cabo de caixa"),"Use cabo de caixa: dois condutores grossos, sem malha",IF(AND(F21="Cabo de caixa",N21&lt;&gt;"Alto-falante"),"Cabo de caixa não tem malha: use cabo blindado",IF(AND(M21="Sim",F21="Desbalanceada"),"Desligue o phantom ou passe a fonte por direct box",IF(AND(N21="Instrumento",L21&lt;&gt;"Instrumento"),"Use direct box ou a entrada de instrumento (Hi-Z)",IF(AND(N21="Linha",L21="Microfone"),"Use a entrada de linha, ou direct box na entrada de microfone",IF(AND(N21="Linha",L21="Instrumento"),"Use a entrada de linha",IF(AND(N21="Microfone",L21&lt;&gt;"Microfone"),"Sinal fraco para esta entrada: use a entrada de microfone",IF(AND(G21="Sim",M21&lt;&gt;"Sim"),"Ligue o phantom deste canal, com o canal em mute",IF(AND(F21="Desbalanceada",I21&lt;&gt;"",$M$4&lt;&gt;"",I21&gt;$M$4),"Cabo desbalanceado longo: use direct box e cabo balanceado",IF(AND(J21&lt;&gt;"",COUNTIF($J$13:$J$44,J21)&gt;1),"Via do multicabo repetida: confira",IF(AND(K21&lt;&gt;"",COUNTIF($K$13:$K$44,K21)&gt;1),"Destino repetido: confira",IF(F21="","Informe o tipo de ligação do cabo","Ligação correta")))))))))))))))</f>
        <v>Ligação correta</v>
      </c>
      <c r="Q21" s="31"/>
    </row>
    <row r="22" customFormat="false" ht="21.75" hidden="false" customHeight="true" outlineLevel="0" collapsed="false">
      <c r="B22" s="18" t="n">
        <v>10</v>
      </c>
      <c r="C22" s="31" t="s">
        <v>347</v>
      </c>
      <c r="D22" s="32" t="s">
        <v>334</v>
      </c>
      <c r="E22" s="32" t="s">
        <v>318</v>
      </c>
      <c r="F22" s="32" t="s">
        <v>327</v>
      </c>
      <c r="G22" s="32" t="s">
        <v>318</v>
      </c>
      <c r="H22" s="32" t="s">
        <v>348</v>
      </c>
      <c r="I22" s="32" t="n">
        <v>2</v>
      </c>
      <c r="J22" s="32"/>
      <c r="K22" s="31" t="s">
        <v>349</v>
      </c>
      <c r="L22" s="32" t="s">
        <v>334</v>
      </c>
      <c r="M22" s="32" t="s">
        <v>318</v>
      </c>
      <c r="N22" s="19" t="str">
        <f aca="false">IF(D22="","",IF(OR(E22="Passiva",E22="Ativa"),"Microfone",D22))</f>
        <v>Linha</v>
      </c>
      <c r="O22" s="20" t="str">
        <f aca="false">IF(OR(D22="",L22=""),"",IF(AND(N22="Alto-falante",L22&lt;&gt;"Caixa passiva"),"Erro",IF(AND(L22="Caixa passiva",N22&lt;&gt;"Alto-falante"),"Erro",IF(AND(N22="Alto-falante",F22&lt;&gt;"Cabo de caixa"),"Erro",IF(AND(F22="Cabo de caixa",N22&lt;&gt;"Alto-falante"),"Erro",IF(AND(M22="Sim",F22="Desbalanceada"),"Erro",IF(AND(N22="Instrumento",L22&lt;&gt;"Instrumento"),"Atenção",IF(AND(N22="Linha",L22="Microfone"),"Atenção",IF(AND(N22="Linha",L22="Instrumento"),"Atenção",IF(AND(N22="Microfone",L22&lt;&gt;"Microfone"),"Atenção",IF(AND(G22="Sim",M22&lt;&gt;"Sim"),"Atenção",IF(AND(F22="Desbalanceada",I22&lt;&gt;"",$M$4&lt;&gt;"",I22&gt;$M$4),"Atenção",IF(AND(J22&lt;&gt;"",COUNTIF($J$13:$J$44,J22)&gt;1),"Atenção",IF(AND(K22&lt;&gt;"",COUNTIF($K$13:$K$44,K22)&gt;1),"Atenção",IF(F22="","Atenção","OK")))))))))))))))</f>
        <v>OK</v>
      </c>
      <c r="P22" s="21" t="str">
        <f aca="false">IF(OR(D22="",L22=""),"",IF(AND(N22="Alto-falante",L22&lt;&gt;"Caixa passiva"),"Saída de amplificador só pode ir para caixa passiva",IF(AND(L22="Caixa passiva",N22&lt;&gt;"Alto-falante"),"Caixa passiva precisa de um amplificador antes dela",IF(AND(N22="Alto-falante",F22&lt;&gt;"Cabo de caixa"),"Use cabo de caixa: dois condutores grossos, sem malha",IF(AND(F22="Cabo de caixa",N22&lt;&gt;"Alto-falante"),"Cabo de caixa não tem malha: use cabo blindado",IF(AND(M22="Sim",F22="Desbalanceada"),"Desligue o phantom ou passe a fonte por direct box",IF(AND(N22="Instrumento",L22&lt;&gt;"Instrumento"),"Use direct box ou a entrada de instrumento (Hi-Z)",IF(AND(N22="Linha",L22="Microfone"),"Use a entrada de linha, ou direct box na entrada de microfone",IF(AND(N22="Linha",L22="Instrumento"),"Use a entrada de linha",IF(AND(N22="Microfone",L22&lt;&gt;"Microfone"),"Sinal fraco para esta entrada: use a entrada de microfone",IF(AND(G22="Sim",M22&lt;&gt;"Sim"),"Ligue o phantom deste canal, com o canal em mute",IF(AND(F22="Desbalanceada",I22&lt;&gt;"",$M$4&lt;&gt;"",I22&gt;$M$4),"Cabo desbalanceado longo: use direct box e cabo balanceado",IF(AND(J22&lt;&gt;"",COUNTIF($J$13:$J$44,J22)&gt;1),"Via do multicabo repetida: confira",IF(AND(K22&lt;&gt;"",COUNTIF($K$13:$K$44,K22)&gt;1),"Destino repetido: confira",IF(F22="","Informe o tipo de ligação do cabo","Ligação correta")))))))))))))))</f>
        <v>Ligação correta</v>
      </c>
      <c r="Q22" s="31" t="s">
        <v>350</v>
      </c>
    </row>
    <row r="23" customFormat="false" ht="21.75" hidden="false" customHeight="true" outlineLevel="0" collapsed="false">
      <c r="B23" s="18" t="n">
        <v>11</v>
      </c>
      <c r="C23" s="31" t="s">
        <v>351</v>
      </c>
      <c r="D23" s="32" t="s">
        <v>334</v>
      </c>
      <c r="E23" s="32" t="s">
        <v>318</v>
      </c>
      <c r="F23" s="32" t="s">
        <v>99</v>
      </c>
      <c r="G23" s="32" t="s">
        <v>318</v>
      </c>
      <c r="H23" s="32" t="s">
        <v>352</v>
      </c>
      <c r="I23" s="32" t="n">
        <v>15</v>
      </c>
      <c r="J23" s="32" t="s">
        <v>353</v>
      </c>
      <c r="K23" s="31" t="s">
        <v>354</v>
      </c>
      <c r="L23" s="32" t="s">
        <v>334</v>
      </c>
      <c r="M23" s="32" t="s">
        <v>318</v>
      </c>
      <c r="N23" s="19" t="str">
        <f aca="false">IF(D23="","",IF(OR(E23="Passiva",E23="Ativa"),"Microfone",D23))</f>
        <v>Linha</v>
      </c>
      <c r="O23" s="20" t="str">
        <f aca="false">IF(OR(D23="",L23=""),"",IF(AND(N23="Alto-falante",L23&lt;&gt;"Caixa passiva"),"Erro",IF(AND(L23="Caixa passiva",N23&lt;&gt;"Alto-falante"),"Erro",IF(AND(N23="Alto-falante",F23&lt;&gt;"Cabo de caixa"),"Erro",IF(AND(F23="Cabo de caixa",N23&lt;&gt;"Alto-falante"),"Erro",IF(AND(M23="Sim",F23="Desbalanceada"),"Erro",IF(AND(N23="Instrumento",L23&lt;&gt;"Instrumento"),"Atenção",IF(AND(N23="Linha",L23="Microfone"),"Atenção",IF(AND(N23="Linha",L23="Instrumento"),"Atenção",IF(AND(N23="Microfone",L23&lt;&gt;"Microfone"),"Atenção",IF(AND(G23="Sim",M23&lt;&gt;"Sim"),"Atenção",IF(AND(F23="Desbalanceada",I23&lt;&gt;"",$M$4&lt;&gt;"",I23&gt;$M$4),"Atenção",IF(AND(J23&lt;&gt;"",COUNTIF($J$13:$J$44,J23)&gt;1),"Atenção",IF(AND(K23&lt;&gt;"",COUNTIF($K$13:$K$44,K23)&gt;1),"Atenção",IF(F23="","Atenção","OK")))))))))))))))</f>
        <v>OK</v>
      </c>
      <c r="P23" s="21" t="str">
        <f aca="false">IF(OR(D23="",L23=""),"",IF(AND(N23="Alto-falante",L23&lt;&gt;"Caixa passiva"),"Saída de amplificador só pode ir para caixa passiva",IF(AND(L23="Caixa passiva",N23&lt;&gt;"Alto-falante"),"Caixa passiva precisa de um amplificador antes dela",IF(AND(N23="Alto-falante",F23&lt;&gt;"Cabo de caixa"),"Use cabo de caixa: dois condutores grossos, sem malha",IF(AND(F23="Cabo de caixa",N23&lt;&gt;"Alto-falante"),"Cabo de caixa não tem malha: use cabo blindado",IF(AND(M23="Sim",F23="Desbalanceada"),"Desligue o phantom ou passe a fonte por direct box",IF(AND(N23="Instrumento",L23&lt;&gt;"Instrumento"),"Use direct box ou a entrada de instrumento (Hi-Z)",IF(AND(N23="Linha",L23="Microfone"),"Use a entrada de linha, ou direct box na entrada de microfone",IF(AND(N23="Linha",L23="Instrumento"),"Use a entrada de linha",IF(AND(N23="Microfone",L23&lt;&gt;"Microfone"),"Sinal fraco para esta entrada: use a entrada de microfone",IF(AND(G23="Sim",M23&lt;&gt;"Sim"),"Ligue o phantom deste canal, com o canal em mute",IF(AND(F23="Desbalanceada",I23&lt;&gt;"",$M$4&lt;&gt;"",I23&gt;$M$4),"Cabo desbalanceado longo: use direct box e cabo balanceado",IF(AND(J23&lt;&gt;"",COUNTIF($J$13:$J$44,J23)&gt;1),"Via do multicabo repetida: confira",IF(AND(K23&lt;&gt;"",COUNTIF($K$13:$K$44,K23)&gt;1),"Destino repetido: confira",IF(F23="","Informe o tipo de ligação do cabo","Ligação correta")))))))))))))))</f>
        <v>Ligação correta</v>
      </c>
      <c r="Q23" s="31"/>
    </row>
    <row r="24" customFormat="false" ht="21.75" hidden="false" customHeight="true" outlineLevel="0" collapsed="false">
      <c r="B24" s="18" t="n">
        <v>12</v>
      </c>
      <c r="C24" s="31" t="s">
        <v>355</v>
      </c>
      <c r="D24" s="32" t="s">
        <v>334</v>
      </c>
      <c r="E24" s="32" t="s">
        <v>318</v>
      </c>
      <c r="F24" s="32" t="s">
        <v>99</v>
      </c>
      <c r="G24" s="32" t="s">
        <v>318</v>
      </c>
      <c r="H24" s="32" t="s">
        <v>356</v>
      </c>
      <c r="I24" s="32" t="n">
        <v>15</v>
      </c>
      <c r="J24" s="32" t="s">
        <v>357</v>
      </c>
      <c r="K24" s="31" t="s">
        <v>358</v>
      </c>
      <c r="L24" s="32" t="s">
        <v>334</v>
      </c>
      <c r="M24" s="32" t="s">
        <v>318</v>
      </c>
      <c r="N24" s="19" t="str">
        <f aca="false">IF(D24="","",IF(OR(E24="Passiva",E24="Ativa"),"Microfone",D24))</f>
        <v>Linha</v>
      </c>
      <c r="O24" s="20" t="str">
        <f aca="false">IF(OR(D24="",L24=""),"",IF(AND(N24="Alto-falante",L24&lt;&gt;"Caixa passiva"),"Erro",IF(AND(L24="Caixa passiva",N24&lt;&gt;"Alto-falante"),"Erro",IF(AND(N24="Alto-falante",F24&lt;&gt;"Cabo de caixa"),"Erro",IF(AND(F24="Cabo de caixa",N24&lt;&gt;"Alto-falante"),"Erro",IF(AND(M24="Sim",F24="Desbalanceada"),"Erro",IF(AND(N24="Instrumento",L24&lt;&gt;"Instrumento"),"Atenção",IF(AND(N24="Linha",L24="Microfone"),"Atenção",IF(AND(N24="Linha",L24="Instrumento"),"Atenção",IF(AND(N24="Microfone",L24&lt;&gt;"Microfone"),"Atenção",IF(AND(G24="Sim",M24&lt;&gt;"Sim"),"Atenção",IF(AND(F24="Desbalanceada",I24&lt;&gt;"",$M$4&lt;&gt;"",I24&gt;$M$4),"Atenção",IF(AND(J24&lt;&gt;"",COUNTIF($J$13:$J$44,J24)&gt;1),"Atenção",IF(AND(K24&lt;&gt;"",COUNTIF($K$13:$K$44,K24)&gt;1),"Atenção",IF(F24="","Atenção","OK")))))))))))))))</f>
        <v>OK</v>
      </c>
      <c r="P24" s="21" t="str">
        <f aca="false">IF(OR(D24="",L24=""),"",IF(AND(N24="Alto-falante",L24&lt;&gt;"Caixa passiva"),"Saída de amplificador só pode ir para caixa passiva",IF(AND(L24="Caixa passiva",N24&lt;&gt;"Alto-falante"),"Caixa passiva precisa de um amplificador antes dela",IF(AND(N24="Alto-falante",F24&lt;&gt;"Cabo de caixa"),"Use cabo de caixa: dois condutores grossos, sem malha",IF(AND(F24="Cabo de caixa",N24&lt;&gt;"Alto-falante"),"Cabo de caixa não tem malha: use cabo blindado",IF(AND(M24="Sim",F24="Desbalanceada"),"Desligue o phantom ou passe a fonte por direct box",IF(AND(N24="Instrumento",L24&lt;&gt;"Instrumento"),"Use direct box ou a entrada de instrumento (Hi-Z)",IF(AND(N24="Linha",L24="Microfone"),"Use a entrada de linha, ou direct box na entrada de microfone",IF(AND(N24="Linha",L24="Instrumento"),"Use a entrada de linha",IF(AND(N24="Microfone",L24&lt;&gt;"Microfone"),"Sinal fraco para esta entrada: use a entrada de microfone",IF(AND(G24="Sim",M24&lt;&gt;"Sim"),"Ligue o phantom deste canal, com o canal em mute",IF(AND(F24="Desbalanceada",I24&lt;&gt;"",$M$4&lt;&gt;"",I24&gt;$M$4),"Cabo desbalanceado longo: use direct box e cabo balanceado",IF(AND(J24&lt;&gt;"",COUNTIF($J$13:$J$44,J24)&gt;1),"Via do multicabo repetida: confira",IF(AND(K24&lt;&gt;"",COUNTIF($K$13:$K$44,K24)&gt;1),"Destino repetido: confira",IF(F24="","Informe o tipo de ligação do cabo","Ligação correta")))))))))))))))</f>
        <v>Ligação correta</v>
      </c>
      <c r="Q24" s="31"/>
    </row>
    <row r="25" customFormat="false" ht="21.75" hidden="false" customHeight="true" outlineLevel="0" collapsed="false">
      <c r="B25" s="18" t="n">
        <v>13</v>
      </c>
      <c r="C25" s="31" t="s">
        <v>359</v>
      </c>
      <c r="D25" s="32" t="s">
        <v>334</v>
      </c>
      <c r="E25" s="32" t="s">
        <v>318</v>
      </c>
      <c r="F25" s="32" t="s">
        <v>99</v>
      </c>
      <c r="G25" s="32" t="s">
        <v>318</v>
      </c>
      <c r="H25" s="32" t="s">
        <v>360</v>
      </c>
      <c r="I25" s="32" t="n">
        <v>3</v>
      </c>
      <c r="J25" s="32" t="s">
        <v>361</v>
      </c>
      <c r="K25" s="31" t="s">
        <v>362</v>
      </c>
      <c r="L25" s="32" t="s">
        <v>334</v>
      </c>
      <c r="M25" s="32" t="s">
        <v>318</v>
      </c>
      <c r="N25" s="19" t="str">
        <f aca="false">IF(D25="","",IF(OR(E25="Passiva",E25="Ativa"),"Microfone",D25))</f>
        <v>Linha</v>
      </c>
      <c r="O25" s="20" t="str">
        <f aca="false">IF(OR(D25="",L25=""),"",IF(AND(N25="Alto-falante",L25&lt;&gt;"Caixa passiva"),"Erro",IF(AND(L25="Caixa passiva",N25&lt;&gt;"Alto-falante"),"Erro",IF(AND(N25="Alto-falante",F25&lt;&gt;"Cabo de caixa"),"Erro",IF(AND(F25="Cabo de caixa",N25&lt;&gt;"Alto-falante"),"Erro",IF(AND(M25="Sim",F25="Desbalanceada"),"Erro",IF(AND(N25="Instrumento",L25&lt;&gt;"Instrumento"),"Atenção",IF(AND(N25="Linha",L25="Microfone"),"Atenção",IF(AND(N25="Linha",L25="Instrumento"),"Atenção",IF(AND(N25="Microfone",L25&lt;&gt;"Microfone"),"Atenção",IF(AND(G25="Sim",M25&lt;&gt;"Sim"),"Atenção",IF(AND(F25="Desbalanceada",I25&lt;&gt;"",$M$4&lt;&gt;"",I25&gt;$M$4),"Atenção",IF(AND(J25&lt;&gt;"",COUNTIF($J$13:$J$44,J25)&gt;1),"Atenção",IF(AND(K25&lt;&gt;"",COUNTIF($K$13:$K$44,K25)&gt;1),"Atenção",IF(F25="","Atenção","OK")))))))))))))))</f>
        <v>OK</v>
      </c>
      <c r="P25" s="21" t="str">
        <f aca="false">IF(OR(D25="",L25=""),"",IF(AND(N25="Alto-falante",L25&lt;&gt;"Caixa passiva"),"Saída de amplificador só pode ir para caixa passiva",IF(AND(L25="Caixa passiva",N25&lt;&gt;"Alto-falante"),"Caixa passiva precisa de um amplificador antes dela",IF(AND(N25="Alto-falante",F25&lt;&gt;"Cabo de caixa"),"Use cabo de caixa: dois condutores grossos, sem malha",IF(AND(F25="Cabo de caixa",N25&lt;&gt;"Alto-falante"),"Cabo de caixa não tem malha: use cabo blindado",IF(AND(M25="Sim",F25="Desbalanceada"),"Desligue o phantom ou passe a fonte por direct box",IF(AND(N25="Instrumento",L25&lt;&gt;"Instrumento"),"Use direct box ou a entrada de instrumento (Hi-Z)",IF(AND(N25="Linha",L25="Microfone"),"Use a entrada de linha, ou direct box na entrada de microfone",IF(AND(N25="Linha",L25="Instrumento"),"Use a entrada de linha",IF(AND(N25="Microfone",L25&lt;&gt;"Microfone"),"Sinal fraco para esta entrada: use a entrada de microfone",IF(AND(G25="Sim",M25&lt;&gt;"Sim"),"Ligue o phantom deste canal, com o canal em mute",IF(AND(F25="Desbalanceada",I25&lt;&gt;"",$M$4&lt;&gt;"",I25&gt;$M$4),"Cabo desbalanceado longo: use direct box e cabo balanceado",IF(AND(J25&lt;&gt;"",COUNTIF($J$13:$J$44,J25)&gt;1),"Via do multicabo repetida: confira",IF(AND(K25&lt;&gt;"",COUNTIF($K$13:$K$44,K25)&gt;1),"Destino repetido: confira",IF(F25="","Informe o tipo de ligação do cabo","Ligação correta")))))))))))))))</f>
        <v>Ligação correta</v>
      </c>
      <c r="Q25" s="31"/>
    </row>
    <row r="26" customFormat="false" ht="21.75" hidden="false" customHeight="true" outlineLevel="0" collapsed="false">
      <c r="B26" s="18" t="n">
        <v>14</v>
      </c>
      <c r="C26" s="31" t="s">
        <v>363</v>
      </c>
      <c r="D26" s="32" t="s">
        <v>179</v>
      </c>
      <c r="E26" s="32" t="s">
        <v>318</v>
      </c>
      <c r="F26" s="32" t="s">
        <v>327</v>
      </c>
      <c r="G26" s="32" t="s">
        <v>318</v>
      </c>
      <c r="H26" s="32" t="s">
        <v>364</v>
      </c>
      <c r="I26" s="32" t="n">
        <v>8</v>
      </c>
      <c r="J26" s="32"/>
      <c r="K26" s="31" t="s">
        <v>365</v>
      </c>
      <c r="L26" s="32" t="s">
        <v>366</v>
      </c>
      <c r="M26" s="32" t="s">
        <v>318</v>
      </c>
      <c r="N26" s="19" t="str">
        <f aca="false">IF(D26="","",IF(OR(E26="Passiva",E26="Ativa"),"Microfone",D26))</f>
        <v>Alto-falante</v>
      </c>
      <c r="O26" s="20" t="str">
        <f aca="false">IF(OR(D26="",L26=""),"",IF(AND(N26="Alto-falante",L26&lt;&gt;"Caixa passiva"),"Erro",IF(AND(L26="Caixa passiva",N26&lt;&gt;"Alto-falante"),"Erro",IF(AND(N26="Alto-falante",F26&lt;&gt;"Cabo de caixa"),"Erro",IF(AND(F26="Cabo de caixa",N26&lt;&gt;"Alto-falante"),"Erro",IF(AND(M26="Sim",F26="Desbalanceada"),"Erro",IF(AND(N26="Instrumento",L26&lt;&gt;"Instrumento"),"Atenção",IF(AND(N26="Linha",L26="Microfone"),"Atenção",IF(AND(N26="Linha",L26="Instrumento"),"Atenção",IF(AND(N26="Microfone",L26&lt;&gt;"Microfone"),"Atenção",IF(AND(G26="Sim",M26&lt;&gt;"Sim"),"Atenção",IF(AND(F26="Desbalanceada",I26&lt;&gt;"",$M$4&lt;&gt;"",I26&gt;$M$4),"Atenção",IF(AND(J26&lt;&gt;"",COUNTIF($J$13:$J$44,J26)&gt;1),"Atenção",IF(AND(K26&lt;&gt;"",COUNTIF($K$13:$K$44,K26)&gt;1),"Atenção",IF(F26="","Atenção","OK")))))))))))))))</f>
        <v>Erro</v>
      </c>
      <c r="P26" s="21" t="str">
        <f aca="false">IF(OR(D26="",L26=""),"",IF(AND(N26="Alto-falante",L26&lt;&gt;"Caixa passiva"),"Saída de amplificador só pode ir para caixa passiva",IF(AND(L26="Caixa passiva",N26&lt;&gt;"Alto-falante"),"Caixa passiva precisa de um amplificador antes dela",IF(AND(N26="Alto-falante",F26&lt;&gt;"Cabo de caixa"),"Use cabo de caixa: dois condutores grossos, sem malha",IF(AND(F26="Cabo de caixa",N26&lt;&gt;"Alto-falante"),"Cabo de caixa não tem malha: use cabo blindado",IF(AND(M26="Sim",F26="Desbalanceada"),"Desligue o phantom ou passe a fonte por direct box",IF(AND(N26="Instrumento",L26&lt;&gt;"Instrumento"),"Use direct box ou a entrada de instrumento (Hi-Z)",IF(AND(N26="Linha",L26="Microfone"),"Use a entrada de linha, ou direct box na entrada de microfone",IF(AND(N26="Linha",L26="Instrumento"),"Use a entrada de linha",IF(AND(N26="Microfone",L26&lt;&gt;"Microfone"),"Sinal fraco para esta entrada: use a entrada de microfone",IF(AND(G26="Sim",M26&lt;&gt;"Sim"),"Ligue o phantom deste canal, com o canal em mute",IF(AND(F26="Desbalanceada",I26&lt;&gt;"",$M$4&lt;&gt;"",I26&gt;$M$4),"Cabo desbalanceado longo: use direct box e cabo balanceado",IF(AND(J26&lt;&gt;"",COUNTIF($J$13:$J$44,J26)&gt;1),"Via do multicabo repetida: confira",IF(AND(K26&lt;&gt;"",COUNTIF($K$13:$K$44,K26)&gt;1),"Destino repetido: confira",IF(F26="","Informe o tipo de ligação do cabo","Ligação correta")))))))))))))))</f>
        <v>Use cabo de caixa: dois condutores grossos, sem malha</v>
      </c>
      <c r="Q26" s="31" t="s">
        <v>367</v>
      </c>
    </row>
    <row r="27" customFormat="false" ht="21.75" hidden="false" customHeight="true" outlineLevel="0" collapsed="false">
      <c r="B27" s="18" t="n">
        <v>15</v>
      </c>
      <c r="C27" s="31"/>
      <c r="D27" s="32"/>
      <c r="E27" s="32"/>
      <c r="F27" s="32"/>
      <c r="G27" s="32"/>
      <c r="H27" s="32"/>
      <c r="I27" s="32"/>
      <c r="J27" s="32"/>
      <c r="K27" s="31"/>
      <c r="L27" s="32"/>
      <c r="M27" s="32"/>
      <c r="N27" s="19" t="str">
        <f aca="false">IF(D27="","",IF(OR(E27="Passiva",E27="Ativa"),"Microfone",D27))</f>
        <v/>
      </c>
      <c r="O27" s="20" t="str">
        <f aca="false">IF(OR(D27="",L27=""),"",IF(AND(N27="Alto-falante",L27&lt;&gt;"Caixa passiva"),"Erro",IF(AND(L27="Caixa passiva",N27&lt;&gt;"Alto-falante"),"Erro",IF(AND(N27="Alto-falante",F27&lt;&gt;"Cabo de caixa"),"Erro",IF(AND(F27="Cabo de caixa",N27&lt;&gt;"Alto-falante"),"Erro",IF(AND(M27="Sim",F27="Desbalanceada"),"Erro",IF(AND(N27="Instrumento",L27&lt;&gt;"Instrumento"),"Atenção",IF(AND(N27="Linha",L27="Microfone"),"Atenção",IF(AND(N27="Linha",L27="Instrumento"),"Atenção",IF(AND(N27="Microfone",L27&lt;&gt;"Microfone"),"Atenção",IF(AND(G27="Sim",M27&lt;&gt;"Sim"),"Atenção",IF(AND(F27="Desbalanceada",I27&lt;&gt;"",$M$4&lt;&gt;"",I27&gt;$M$4),"Atenção",IF(AND(J27&lt;&gt;"",COUNTIF($J$13:$J$44,J27)&gt;1),"Atenção",IF(AND(K27&lt;&gt;"",COUNTIF($K$13:$K$44,K27)&gt;1),"Atenção",IF(F27="","Atenção","OK")))))))))))))))</f>
        <v/>
      </c>
      <c r="P27" s="21" t="str">
        <f aca="false">IF(OR(D27="",L27=""),"",IF(AND(N27="Alto-falante",L27&lt;&gt;"Caixa passiva"),"Saída de amplificador só pode ir para caixa passiva",IF(AND(L27="Caixa passiva",N27&lt;&gt;"Alto-falante"),"Caixa passiva precisa de um amplificador antes dela",IF(AND(N27="Alto-falante",F27&lt;&gt;"Cabo de caixa"),"Use cabo de caixa: dois condutores grossos, sem malha",IF(AND(F27="Cabo de caixa",N27&lt;&gt;"Alto-falante"),"Cabo de caixa não tem malha: use cabo blindado",IF(AND(M27="Sim",F27="Desbalanceada"),"Desligue o phantom ou passe a fonte por direct box",IF(AND(N27="Instrumento",L27&lt;&gt;"Instrumento"),"Use direct box ou a entrada de instrumento (Hi-Z)",IF(AND(N27="Linha",L27="Microfone"),"Use a entrada de linha, ou direct box na entrada de microfone",IF(AND(N27="Linha",L27="Instrumento"),"Use a entrada de linha",IF(AND(N27="Microfone",L27&lt;&gt;"Microfone"),"Sinal fraco para esta entrada: use a entrada de microfone",IF(AND(G27="Sim",M27&lt;&gt;"Sim"),"Ligue o phantom deste canal, com o canal em mute",IF(AND(F27="Desbalanceada",I27&lt;&gt;"",$M$4&lt;&gt;"",I27&gt;$M$4),"Cabo desbalanceado longo: use direct box e cabo balanceado",IF(AND(J27&lt;&gt;"",COUNTIF($J$13:$J$44,J27)&gt;1),"Via do multicabo repetida: confira",IF(AND(K27&lt;&gt;"",COUNTIF($K$13:$K$44,K27)&gt;1),"Destino repetido: confira",IF(F27="","Informe o tipo de ligação do cabo","Ligação correta")))))))))))))))</f>
        <v/>
      </c>
      <c r="Q27" s="31"/>
    </row>
    <row r="28" customFormat="false" ht="21.75" hidden="false" customHeight="true" outlineLevel="0" collapsed="false">
      <c r="B28" s="18" t="n">
        <v>16</v>
      </c>
      <c r="C28" s="31"/>
      <c r="D28" s="32"/>
      <c r="E28" s="32"/>
      <c r="F28" s="32"/>
      <c r="G28" s="32"/>
      <c r="H28" s="32"/>
      <c r="I28" s="32"/>
      <c r="J28" s="32"/>
      <c r="K28" s="31"/>
      <c r="L28" s="32"/>
      <c r="M28" s="32"/>
      <c r="N28" s="19" t="str">
        <f aca="false">IF(D28="","",IF(OR(E28="Passiva",E28="Ativa"),"Microfone",D28))</f>
        <v/>
      </c>
      <c r="O28" s="20" t="str">
        <f aca="false">IF(OR(D28="",L28=""),"",IF(AND(N28="Alto-falante",L28&lt;&gt;"Caixa passiva"),"Erro",IF(AND(L28="Caixa passiva",N28&lt;&gt;"Alto-falante"),"Erro",IF(AND(N28="Alto-falante",F28&lt;&gt;"Cabo de caixa"),"Erro",IF(AND(F28="Cabo de caixa",N28&lt;&gt;"Alto-falante"),"Erro",IF(AND(M28="Sim",F28="Desbalanceada"),"Erro",IF(AND(N28="Instrumento",L28&lt;&gt;"Instrumento"),"Atenção",IF(AND(N28="Linha",L28="Microfone"),"Atenção",IF(AND(N28="Linha",L28="Instrumento"),"Atenção",IF(AND(N28="Microfone",L28&lt;&gt;"Microfone"),"Atenção",IF(AND(G28="Sim",M28&lt;&gt;"Sim"),"Atenção",IF(AND(F28="Desbalanceada",I28&lt;&gt;"",$M$4&lt;&gt;"",I28&gt;$M$4),"Atenção",IF(AND(J28&lt;&gt;"",COUNTIF($J$13:$J$44,J28)&gt;1),"Atenção",IF(AND(K28&lt;&gt;"",COUNTIF($K$13:$K$44,K28)&gt;1),"Atenção",IF(F28="","Atenção","OK")))))))))))))))</f>
        <v/>
      </c>
      <c r="P28" s="21" t="str">
        <f aca="false">IF(OR(D28="",L28=""),"",IF(AND(N28="Alto-falante",L28&lt;&gt;"Caixa passiva"),"Saída de amplificador só pode ir para caixa passiva",IF(AND(L28="Caixa passiva",N28&lt;&gt;"Alto-falante"),"Caixa passiva precisa de um amplificador antes dela",IF(AND(N28="Alto-falante",F28&lt;&gt;"Cabo de caixa"),"Use cabo de caixa: dois condutores grossos, sem malha",IF(AND(F28="Cabo de caixa",N28&lt;&gt;"Alto-falante"),"Cabo de caixa não tem malha: use cabo blindado",IF(AND(M28="Sim",F28="Desbalanceada"),"Desligue o phantom ou passe a fonte por direct box",IF(AND(N28="Instrumento",L28&lt;&gt;"Instrumento"),"Use direct box ou a entrada de instrumento (Hi-Z)",IF(AND(N28="Linha",L28="Microfone"),"Use a entrada de linha, ou direct box na entrada de microfone",IF(AND(N28="Linha",L28="Instrumento"),"Use a entrada de linha",IF(AND(N28="Microfone",L28&lt;&gt;"Microfone"),"Sinal fraco para esta entrada: use a entrada de microfone",IF(AND(G28="Sim",M28&lt;&gt;"Sim"),"Ligue o phantom deste canal, com o canal em mute",IF(AND(F28="Desbalanceada",I28&lt;&gt;"",$M$4&lt;&gt;"",I28&gt;$M$4),"Cabo desbalanceado longo: use direct box e cabo balanceado",IF(AND(J28&lt;&gt;"",COUNTIF($J$13:$J$44,J28)&gt;1),"Via do multicabo repetida: confira",IF(AND(K28&lt;&gt;"",COUNTIF($K$13:$K$44,K28)&gt;1),"Destino repetido: confira",IF(F28="","Informe o tipo de ligação do cabo","Ligação correta")))))))))))))))</f>
        <v/>
      </c>
      <c r="Q28" s="31"/>
    </row>
    <row r="29" customFormat="false" ht="21.75" hidden="false" customHeight="true" outlineLevel="0" collapsed="false">
      <c r="B29" s="18" t="n">
        <v>17</v>
      </c>
      <c r="C29" s="31"/>
      <c r="D29" s="32"/>
      <c r="E29" s="32"/>
      <c r="F29" s="32"/>
      <c r="G29" s="32"/>
      <c r="H29" s="32"/>
      <c r="I29" s="32"/>
      <c r="J29" s="32"/>
      <c r="K29" s="31"/>
      <c r="L29" s="32"/>
      <c r="M29" s="32"/>
      <c r="N29" s="19" t="str">
        <f aca="false">IF(D29="","",IF(OR(E29="Passiva",E29="Ativa"),"Microfone",D29))</f>
        <v/>
      </c>
      <c r="O29" s="20" t="str">
        <f aca="false">IF(OR(D29="",L29=""),"",IF(AND(N29="Alto-falante",L29&lt;&gt;"Caixa passiva"),"Erro",IF(AND(L29="Caixa passiva",N29&lt;&gt;"Alto-falante"),"Erro",IF(AND(N29="Alto-falante",F29&lt;&gt;"Cabo de caixa"),"Erro",IF(AND(F29="Cabo de caixa",N29&lt;&gt;"Alto-falante"),"Erro",IF(AND(M29="Sim",F29="Desbalanceada"),"Erro",IF(AND(N29="Instrumento",L29&lt;&gt;"Instrumento"),"Atenção",IF(AND(N29="Linha",L29="Microfone"),"Atenção",IF(AND(N29="Linha",L29="Instrumento"),"Atenção",IF(AND(N29="Microfone",L29&lt;&gt;"Microfone"),"Atenção",IF(AND(G29="Sim",M29&lt;&gt;"Sim"),"Atenção",IF(AND(F29="Desbalanceada",I29&lt;&gt;"",$M$4&lt;&gt;"",I29&gt;$M$4),"Atenção",IF(AND(J29&lt;&gt;"",COUNTIF($J$13:$J$44,J29)&gt;1),"Atenção",IF(AND(K29&lt;&gt;"",COUNTIF($K$13:$K$44,K29)&gt;1),"Atenção",IF(F29="","Atenção","OK")))))))))))))))</f>
        <v/>
      </c>
      <c r="P29" s="21" t="str">
        <f aca="false">IF(OR(D29="",L29=""),"",IF(AND(N29="Alto-falante",L29&lt;&gt;"Caixa passiva"),"Saída de amplificador só pode ir para caixa passiva",IF(AND(L29="Caixa passiva",N29&lt;&gt;"Alto-falante"),"Caixa passiva precisa de um amplificador antes dela",IF(AND(N29="Alto-falante",F29&lt;&gt;"Cabo de caixa"),"Use cabo de caixa: dois condutores grossos, sem malha",IF(AND(F29="Cabo de caixa",N29&lt;&gt;"Alto-falante"),"Cabo de caixa não tem malha: use cabo blindado",IF(AND(M29="Sim",F29="Desbalanceada"),"Desligue o phantom ou passe a fonte por direct box",IF(AND(N29="Instrumento",L29&lt;&gt;"Instrumento"),"Use direct box ou a entrada de instrumento (Hi-Z)",IF(AND(N29="Linha",L29="Microfone"),"Use a entrada de linha, ou direct box na entrada de microfone",IF(AND(N29="Linha",L29="Instrumento"),"Use a entrada de linha",IF(AND(N29="Microfone",L29&lt;&gt;"Microfone"),"Sinal fraco para esta entrada: use a entrada de microfone",IF(AND(G29="Sim",M29&lt;&gt;"Sim"),"Ligue o phantom deste canal, com o canal em mute",IF(AND(F29="Desbalanceada",I29&lt;&gt;"",$M$4&lt;&gt;"",I29&gt;$M$4),"Cabo desbalanceado longo: use direct box e cabo balanceado",IF(AND(J29&lt;&gt;"",COUNTIF($J$13:$J$44,J29)&gt;1),"Via do multicabo repetida: confira",IF(AND(K29&lt;&gt;"",COUNTIF($K$13:$K$44,K29)&gt;1),"Destino repetido: confira",IF(F29="","Informe o tipo de ligação do cabo","Ligação correta")))))))))))))))</f>
        <v/>
      </c>
      <c r="Q29" s="31"/>
    </row>
    <row r="30" customFormat="false" ht="21.75" hidden="false" customHeight="true" outlineLevel="0" collapsed="false">
      <c r="B30" s="18" t="n">
        <v>18</v>
      </c>
      <c r="C30" s="31"/>
      <c r="D30" s="32"/>
      <c r="E30" s="32"/>
      <c r="F30" s="32"/>
      <c r="G30" s="32"/>
      <c r="H30" s="32"/>
      <c r="I30" s="32"/>
      <c r="J30" s="32"/>
      <c r="K30" s="31"/>
      <c r="L30" s="32"/>
      <c r="M30" s="32"/>
      <c r="N30" s="19" t="str">
        <f aca="false">IF(D30="","",IF(OR(E30="Passiva",E30="Ativa"),"Microfone",D30))</f>
        <v/>
      </c>
      <c r="O30" s="20" t="str">
        <f aca="false">IF(OR(D30="",L30=""),"",IF(AND(N30="Alto-falante",L30&lt;&gt;"Caixa passiva"),"Erro",IF(AND(L30="Caixa passiva",N30&lt;&gt;"Alto-falante"),"Erro",IF(AND(N30="Alto-falante",F30&lt;&gt;"Cabo de caixa"),"Erro",IF(AND(F30="Cabo de caixa",N30&lt;&gt;"Alto-falante"),"Erro",IF(AND(M30="Sim",F30="Desbalanceada"),"Erro",IF(AND(N30="Instrumento",L30&lt;&gt;"Instrumento"),"Atenção",IF(AND(N30="Linha",L30="Microfone"),"Atenção",IF(AND(N30="Linha",L30="Instrumento"),"Atenção",IF(AND(N30="Microfone",L30&lt;&gt;"Microfone"),"Atenção",IF(AND(G30="Sim",M30&lt;&gt;"Sim"),"Atenção",IF(AND(F30="Desbalanceada",I30&lt;&gt;"",$M$4&lt;&gt;"",I30&gt;$M$4),"Atenção",IF(AND(J30&lt;&gt;"",COUNTIF($J$13:$J$44,J30)&gt;1),"Atenção",IF(AND(K30&lt;&gt;"",COUNTIF($K$13:$K$44,K30)&gt;1),"Atenção",IF(F30="","Atenção","OK")))))))))))))))</f>
        <v/>
      </c>
      <c r="P30" s="21" t="str">
        <f aca="false">IF(OR(D30="",L30=""),"",IF(AND(N30="Alto-falante",L30&lt;&gt;"Caixa passiva"),"Saída de amplificador só pode ir para caixa passiva",IF(AND(L30="Caixa passiva",N30&lt;&gt;"Alto-falante"),"Caixa passiva precisa de um amplificador antes dela",IF(AND(N30="Alto-falante",F30&lt;&gt;"Cabo de caixa"),"Use cabo de caixa: dois condutores grossos, sem malha",IF(AND(F30="Cabo de caixa",N30&lt;&gt;"Alto-falante"),"Cabo de caixa não tem malha: use cabo blindado",IF(AND(M30="Sim",F30="Desbalanceada"),"Desligue o phantom ou passe a fonte por direct box",IF(AND(N30="Instrumento",L30&lt;&gt;"Instrumento"),"Use direct box ou a entrada de instrumento (Hi-Z)",IF(AND(N30="Linha",L30="Microfone"),"Use a entrada de linha, ou direct box na entrada de microfone",IF(AND(N30="Linha",L30="Instrumento"),"Use a entrada de linha",IF(AND(N30="Microfone",L30&lt;&gt;"Microfone"),"Sinal fraco para esta entrada: use a entrada de microfone",IF(AND(G30="Sim",M30&lt;&gt;"Sim"),"Ligue o phantom deste canal, com o canal em mute",IF(AND(F30="Desbalanceada",I30&lt;&gt;"",$M$4&lt;&gt;"",I30&gt;$M$4),"Cabo desbalanceado longo: use direct box e cabo balanceado",IF(AND(J30&lt;&gt;"",COUNTIF($J$13:$J$44,J30)&gt;1),"Via do multicabo repetida: confira",IF(AND(K30&lt;&gt;"",COUNTIF($K$13:$K$44,K30)&gt;1),"Destino repetido: confira",IF(F30="","Informe o tipo de ligação do cabo","Ligação correta")))))))))))))))</f>
        <v/>
      </c>
      <c r="Q30" s="31"/>
    </row>
    <row r="31" customFormat="false" ht="21.75" hidden="false" customHeight="true" outlineLevel="0" collapsed="false">
      <c r="B31" s="18" t="n">
        <v>19</v>
      </c>
      <c r="C31" s="31"/>
      <c r="D31" s="32"/>
      <c r="E31" s="32"/>
      <c r="F31" s="32"/>
      <c r="G31" s="32"/>
      <c r="H31" s="32"/>
      <c r="I31" s="32"/>
      <c r="J31" s="32"/>
      <c r="K31" s="31"/>
      <c r="L31" s="32"/>
      <c r="M31" s="32"/>
      <c r="N31" s="19" t="str">
        <f aca="false">IF(D31="","",IF(OR(E31="Passiva",E31="Ativa"),"Microfone",D31))</f>
        <v/>
      </c>
      <c r="O31" s="20" t="str">
        <f aca="false">IF(OR(D31="",L31=""),"",IF(AND(N31="Alto-falante",L31&lt;&gt;"Caixa passiva"),"Erro",IF(AND(L31="Caixa passiva",N31&lt;&gt;"Alto-falante"),"Erro",IF(AND(N31="Alto-falante",F31&lt;&gt;"Cabo de caixa"),"Erro",IF(AND(F31="Cabo de caixa",N31&lt;&gt;"Alto-falante"),"Erro",IF(AND(M31="Sim",F31="Desbalanceada"),"Erro",IF(AND(N31="Instrumento",L31&lt;&gt;"Instrumento"),"Atenção",IF(AND(N31="Linha",L31="Microfone"),"Atenção",IF(AND(N31="Linha",L31="Instrumento"),"Atenção",IF(AND(N31="Microfone",L31&lt;&gt;"Microfone"),"Atenção",IF(AND(G31="Sim",M31&lt;&gt;"Sim"),"Atenção",IF(AND(F31="Desbalanceada",I31&lt;&gt;"",$M$4&lt;&gt;"",I31&gt;$M$4),"Atenção",IF(AND(J31&lt;&gt;"",COUNTIF($J$13:$J$44,J31)&gt;1),"Atenção",IF(AND(K31&lt;&gt;"",COUNTIF($K$13:$K$44,K31)&gt;1),"Atenção",IF(F31="","Atenção","OK")))))))))))))))</f>
        <v/>
      </c>
      <c r="P31" s="21" t="str">
        <f aca="false">IF(OR(D31="",L31=""),"",IF(AND(N31="Alto-falante",L31&lt;&gt;"Caixa passiva"),"Saída de amplificador só pode ir para caixa passiva",IF(AND(L31="Caixa passiva",N31&lt;&gt;"Alto-falante"),"Caixa passiva precisa de um amplificador antes dela",IF(AND(N31="Alto-falante",F31&lt;&gt;"Cabo de caixa"),"Use cabo de caixa: dois condutores grossos, sem malha",IF(AND(F31="Cabo de caixa",N31&lt;&gt;"Alto-falante"),"Cabo de caixa não tem malha: use cabo blindado",IF(AND(M31="Sim",F31="Desbalanceada"),"Desligue o phantom ou passe a fonte por direct box",IF(AND(N31="Instrumento",L31&lt;&gt;"Instrumento"),"Use direct box ou a entrada de instrumento (Hi-Z)",IF(AND(N31="Linha",L31="Microfone"),"Use a entrada de linha, ou direct box na entrada de microfone",IF(AND(N31="Linha",L31="Instrumento"),"Use a entrada de linha",IF(AND(N31="Microfone",L31&lt;&gt;"Microfone"),"Sinal fraco para esta entrada: use a entrada de microfone",IF(AND(G31="Sim",M31&lt;&gt;"Sim"),"Ligue o phantom deste canal, com o canal em mute",IF(AND(F31="Desbalanceada",I31&lt;&gt;"",$M$4&lt;&gt;"",I31&gt;$M$4),"Cabo desbalanceado longo: use direct box e cabo balanceado",IF(AND(J31&lt;&gt;"",COUNTIF($J$13:$J$44,J31)&gt;1),"Via do multicabo repetida: confira",IF(AND(K31&lt;&gt;"",COUNTIF($K$13:$K$44,K31)&gt;1),"Destino repetido: confira",IF(F31="","Informe o tipo de ligação do cabo","Ligação correta")))))))))))))))</f>
        <v/>
      </c>
      <c r="Q31" s="31"/>
    </row>
    <row r="32" customFormat="false" ht="21.75" hidden="false" customHeight="true" outlineLevel="0" collapsed="false">
      <c r="B32" s="18" t="n">
        <v>20</v>
      </c>
      <c r="C32" s="31"/>
      <c r="D32" s="32"/>
      <c r="E32" s="32"/>
      <c r="F32" s="32"/>
      <c r="G32" s="32"/>
      <c r="H32" s="32"/>
      <c r="I32" s="32"/>
      <c r="J32" s="32"/>
      <c r="K32" s="31"/>
      <c r="L32" s="32"/>
      <c r="M32" s="32"/>
      <c r="N32" s="19" t="str">
        <f aca="false">IF(D32="","",IF(OR(E32="Passiva",E32="Ativa"),"Microfone",D32))</f>
        <v/>
      </c>
      <c r="O32" s="20" t="str">
        <f aca="false">IF(OR(D32="",L32=""),"",IF(AND(N32="Alto-falante",L32&lt;&gt;"Caixa passiva"),"Erro",IF(AND(L32="Caixa passiva",N32&lt;&gt;"Alto-falante"),"Erro",IF(AND(N32="Alto-falante",F32&lt;&gt;"Cabo de caixa"),"Erro",IF(AND(F32="Cabo de caixa",N32&lt;&gt;"Alto-falante"),"Erro",IF(AND(M32="Sim",F32="Desbalanceada"),"Erro",IF(AND(N32="Instrumento",L32&lt;&gt;"Instrumento"),"Atenção",IF(AND(N32="Linha",L32="Microfone"),"Atenção",IF(AND(N32="Linha",L32="Instrumento"),"Atenção",IF(AND(N32="Microfone",L32&lt;&gt;"Microfone"),"Atenção",IF(AND(G32="Sim",M32&lt;&gt;"Sim"),"Atenção",IF(AND(F32="Desbalanceada",I32&lt;&gt;"",$M$4&lt;&gt;"",I32&gt;$M$4),"Atenção",IF(AND(J32&lt;&gt;"",COUNTIF($J$13:$J$44,J32)&gt;1),"Atenção",IF(AND(K32&lt;&gt;"",COUNTIF($K$13:$K$44,K32)&gt;1),"Atenção",IF(F32="","Atenção","OK")))))))))))))))</f>
        <v/>
      </c>
      <c r="P32" s="21" t="str">
        <f aca="false">IF(OR(D32="",L32=""),"",IF(AND(N32="Alto-falante",L32&lt;&gt;"Caixa passiva"),"Saída de amplificador só pode ir para caixa passiva",IF(AND(L32="Caixa passiva",N32&lt;&gt;"Alto-falante"),"Caixa passiva precisa de um amplificador antes dela",IF(AND(N32="Alto-falante",F32&lt;&gt;"Cabo de caixa"),"Use cabo de caixa: dois condutores grossos, sem malha",IF(AND(F32="Cabo de caixa",N32&lt;&gt;"Alto-falante"),"Cabo de caixa não tem malha: use cabo blindado",IF(AND(M32="Sim",F32="Desbalanceada"),"Desligue o phantom ou passe a fonte por direct box",IF(AND(N32="Instrumento",L32&lt;&gt;"Instrumento"),"Use direct box ou a entrada de instrumento (Hi-Z)",IF(AND(N32="Linha",L32="Microfone"),"Use a entrada de linha, ou direct box na entrada de microfone",IF(AND(N32="Linha",L32="Instrumento"),"Use a entrada de linha",IF(AND(N32="Microfone",L32&lt;&gt;"Microfone"),"Sinal fraco para esta entrada: use a entrada de microfone",IF(AND(G32="Sim",M32&lt;&gt;"Sim"),"Ligue o phantom deste canal, com o canal em mute",IF(AND(F32="Desbalanceada",I32&lt;&gt;"",$M$4&lt;&gt;"",I32&gt;$M$4),"Cabo desbalanceado longo: use direct box e cabo balanceado",IF(AND(J32&lt;&gt;"",COUNTIF($J$13:$J$44,J32)&gt;1),"Via do multicabo repetida: confira",IF(AND(K32&lt;&gt;"",COUNTIF($K$13:$K$44,K32)&gt;1),"Destino repetido: confira",IF(F32="","Informe o tipo de ligação do cabo","Ligação correta")))))))))))))))</f>
        <v/>
      </c>
      <c r="Q32" s="31"/>
    </row>
    <row r="33" customFormat="false" ht="21.75" hidden="false" customHeight="true" outlineLevel="0" collapsed="false">
      <c r="B33" s="18" t="n">
        <v>21</v>
      </c>
      <c r="C33" s="31"/>
      <c r="D33" s="32"/>
      <c r="E33" s="32"/>
      <c r="F33" s="32"/>
      <c r="G33" s="32"/>
      <c r="H33" s="32"/>
      <c r="I33" s="32"/>
      <c r="J33" s="32"/>
      <c r="K33" s="31"/>
      <c r="L33" s="32"/>
      <c r="M33" s="32"/>
      <c r="N33" s="19" t="str">
        <f aca="false">IF(D33="","",IF(OR(E33="Passiva",E33="Ativa"),"Microfone",D33))</f>
        <v/>
      </c>
      <c r="O33" s="20" t="str">
        <f aca="false">IF(OR(D33="",L33=""),"",IF(AND(N33="Alto-falante",L33&lt;&gt;"Caixa passiva"),"Erro",IF(AND(L33="Caixa passiva",N33&lt;&gt;"Alto-falante"),"Erro",IF(AND(N33="Alto-falante",F33&lt;&gt;"Cabo de caixa"),"Erro",IF(AND(F33="Cabo de caixa",N33&lt;&gt;"Alto-falante"),"Erro",IF(AND(M33="Sim",F33="Desbalanceada"),"Erro",IF(AND(N33="Instrumento",L33&lt;&gt;"Instrumento"),"Atenção",IF(AND(N33="Linha",L33="Microfone"),"Atenção",IF(AND(N33="Linha",L33="Instrumento"),"Atenção",IF(AND(N33="Microfone",L33&lt;&gt;"Microfone"),"Atenção",IF(AND(G33="Sim",M33&lt;&gt;"Sim"),"Atenção",IF(AND(F33="Desbalanceada",I33&lt;&gt;"",$M$4&lt;&gt;"",I33&gt;$M$4),"Atenção",IF(AND(J33&lt;&gt;"",COUNTIF($J$13:$J$44,J33)&gt;1),"Atenção",IF(AND(K33&lt;&gt;"",COUNTIF($K$13:$K$44,K33)&gt;1),"Atenção",IF(F33="","Atenção","OK")))))))))))))))</f>
        <v/>
      </c>
      <c r="P33" s="21" t="str">
        <f aca="false">IF(OR(D33="",L33=""),"",IF(AND(N33="Alto-falante",L33&lt;&gt;"Caixa passiva"),"Saída de amplificador só pode ir para caixa passiva",IF(AND(L33="Caixa passiva",N33&lt;&gt;"Alto-falante"),"Caixa passiva precisa de um amplificador antes dela",IF(AND(N33="Alto-falante",F33&lt;&gt;"Cabo de caixa"),"Use cabo de caixa: dois condutores grossos, sem malha",IF(AND(F33="Cabo de caixa",N33&lt;&gt;"Alto-falante"),"Cabo de caixa não tem malha: use cabo blindado",IF(AND(M33="Sim",F33="Desbalanceada"),"Desligue o phantom ou passe a fonte por direct box",IF(AND(N33="Instrumento",L33&lt;&gt;"Instrumento"),"Use direct box ou a entrada de instrumento (Hi-Z)",IF(AND(N33="Linha",L33="Microfone"),"Use a entrada de linha, ou direct box na entrada de microfone",IF(AND(N33="Linha",L33="Instrumento"),"Use a entrada de linha",IF(AND(N33="Microfone",L33&lt;&gt;"Microfone"),"Sinal fraco para esta entrada: use a entrada de microfone",IF(AND(G33="Sim",M33&lt;&gt;"Sim"),"Ligue o phantom deste canal, com o canal em mute",IF(AND(F33="Desbalanceada",I33&lt;&gt;"",$M$4&lt;&gt;"",I33&gt;$M$4),"Cabo desbalanceado longo: use direct box e cabo balanceado",IF(AND(J33&lt;&gt;"",COUNTIF($J$13:$J$44,J33)&gt;1),"Via do multicabo repetida: confira",IF(AND(K33&lt;&gt;"",COUNTIF($K$13:$K$44,K33)&gt;1),"Destino repetido: confira",IF(F33="","Informe o tipo de ligação do cabo","Ligação correta")))))))))))))))</f>
        <v/>
      </c>
      <c r="Q33" s="31"/>
    </row>
    <row r="34" customFormat="false" ht="21.75" hidden="false" customHeight="true" outlineLevel="0" collapsed="false">
      <c r="B34" s="18" t="n">
        <v>22</v>
      </c>
      <c r="C34" s="31"/>
      <c r="D34" s="32"/>
      <c r="E34" s="32"/>
      <c r="F34" s="32"/>
      <c r="G34" s="32"/>
      <c r="H34" s="32"/>
      <c r="I34" s="32"/>
      <c r="J34" s="32"/>
      <c r="K34" s="31"/>
      <c r="L34" s="32"/>
      <c r="M34" s="32"/>
      <c r="N34" s="19" t="str">
        <f aca="false">IF(D34="","",IF(OR(E34="Passiva",E34="Ativa"),"Microfone",D34))</f>
        <v/>
      </c>
      <c r="O34" s="20" t="str">
        <f aca="false">IF(OR(D34="",L34=""),"",IF(AND(N34="Alto-falante",L34&lt;&gt;"Caixa passiva"),"Erro",IF(AND(L34="Caixa passiva",N34&lt;&gt;"Alto-falante"),"Erro",IF(AND(N34="Alto-falante",F34&lt;&gt;"Cabo de caixa"),"Erro",IF(AND(F34="Cabo de caixa",N34&lt;&gt;"Alto-falante"),"Erro",IF(AND(M34="Sim",F34="Desbalanceada"),"Erro",IF(AND(N34="Instrumento",L34&lt;&gt;"Instrumento"),"Atenção",IF(AND(N34="Linha",L34="Microfone"),"Atenção",IF(AND(N34="Linha",L34="Instrumento"),"Atenção",IF(AND(N34="Microfone",L34&lt;&gt;"Microfone"),"Atenção",IF(AND(G34="Sim",M34&lt;&gt;"Sim"),"Atenção",IF(AND(F34="Desbalanceada",I34&lt;&gt;"",$M$4&lt;&gt;"",I34&gt;$M$4),"Atenção",IF(AND(J34&lt;&gt;"",COUNTIF($J$13:$J$44,J34)&gt;1),"Atenção",IF(AND(K34&lt;&gt;"",COUNTIF($K$13:$K$44,K34)&gt;1),"Atenção",IF(F34="","Atenção","OK")))))))))))))))</f>
        <v/>
      </c>
      <c r="P34" s="21" t="str">
        <f aca="false">IF(OR(D34="",L34=""),"",IF(AND(N34="Alto-falante",L34&lt;&gt;"Caixa passiva"),"Saída de amplificador só pode ir para caixa passiva",IF(AND(L34="Caixa passiva",N34&lt;&gt;"Alto-falante"),"Caixa passiva precisa de um amplificador antes dela",IF(AND(N34="Alto-falante",F34&lt;&gt;"Cabo de caixa"),"Use cabo de caixa: dois condutores grossos, sem malha",IF(AND(F34="Cabo de caixa",N34&lt;&gt;"Alto-falante"),"Cabo de caixa não tem malha: use cabo blindado",IF(AND(M34="Sim",F34="Desbalanceada"),"Desligue o phantom ou passe a fonte por direct box",IF(AND(N34="Instrumento",L34&lt;&gt;"Instrumento"),"Use direct box ou a entrada de instrumento (Hi-Z)",IF(AND(N34="Linha",L34="Microfone"),"Use a entrada de linha, ou direct box na entrada de microfone",IF(AND(N34="Linha",L34="Instrumento"),"Use a entrada de linha",IF(AND(N34="Microfone",L34&lt;&gt;"Microfone"),"Sinal fraco para esta entrada: use a entrada de microfone",IF(AND(G34="Sim",M34&lt;&gt;"Sim"),"Ligue o phantom deste canal, com o canal em mute",IF(AND(F34="Desbalanceada",I34&lt;&gt;"",$M$4&lt;&gt;"",I34&gt;$M$4),"Cabo desbalanceado longo: use direct box e cabo balanceado",IF(AND(J34&lt;&gt;"",COUNTIF($J$13:$J$44,J34)&gt;1),"Via do multicabo repetida: confira",IF(AND(K34&lt;&gt;"",COUNTIF($K$13:$K$44,K34)&gt;1),"Destino repetido: confira",IF(F34="","Informe o tipo de ligação do cabo","Ligação correta")))))))))))))))</f>
        <v/>
      </c>
      <c r="Q34" s="31"/>
    </row>
    <row r="35" customFormat="false" ht="21.75" hidden="false" customHeight="true" outlineLevel="0" collapsed="false">
      <c r="B35" s="18" t="n">
        <v>23</v>
      </c>
      <c r="C35" s="31"/>
      <c r="D35" s="32"/>
      <c r="E35" s="32"/>
      <c r="F35" s="32"/>
      <c r="G35" s="32"/>
      <c r="H35" s="32"/>
      <c r="I35" s="32"/>
      <c r="J35" s="32"/>
      <c r="K35" s="31"/>
      <c r="L35" s="32"/>
      <c r="M35" s="32"/>
      <c r="N35" s="19" t="str">
        <f aca="false">IF(D35="","",IF(OR(E35="Passiva",E35="Ativa"),"Microfone",D35))</f>
        <v/>
      </c>
      <c r="O35" s="20" t="str">
        <f aca="false">IF(OR(D35="",L35=""),"",IF(AND(N35="Alto-falante",L35&lt;&gt;"Caixa passiva"),"Erro",IF(AND(L35="Caixa passiva",N35&lt;&gt;"Alto-falante"),"Erro",IF(AND(N35="Alto-falante",F35&lt;&gt;"Cabo de caixa"),"Erro",IF(AND(F35="Cabo de caixa",N35&lt;&gt;"Alto-falante"),"Erro",IF(AND(M35="Sim",F35="Desbalanceada"),"Erro",IF(AND(N35="Instrumento",L35&lt;&gt;"Instrumento"),"Atenção",IF(AND(N35="Linha",L35="Microfone"),"Atenção",IF(AND(N35="Linha",L35="Instrumento"),"Atenção",IF(AND(N35="Microfone",L35&lt;&gt;"Microfone"),"Atenção",IF(AND(G35="Sim",M35&lt;&gt;"Sim"),"Atenção",IF(AND(F35="Desbalanceada",I35&lt;&gt;"",$M$4&lt;&gt;"",I35&gt;$M$4),"Atenção",IF(AND(J35&lt;&gt;"",COUNTIF($J$13:$J$44,J35)&gt;1),"Atenção",IF(AND(K35&lt;&gt;"",COUNTIF($K$13:$K$44,K35)&gt;1),"Atenção",IF(F35="","Atenção","OK")))))))))))))))</f>
        <v/>
      </c>
      <c r="P35" s="21" t="str">
        <f aca="false">IF(OR(D35="",L35=""),"",IF(AND(N35="Alto-falante",L35&lt;&gt;"Caixa passiva"),"Saída de amplificador só pode ir para caixa passiva",IF(AND(L35="Caixa passiva",N35&lt;&gt;"Alto-falante"),"Caixa passiva precisa de um amplificador antes dela",IF(AND(N35="Alto-falante",F35&lt;&gt;"Cabo de caixa"),"Use cabo de caixa: dois condutores grossos, sem malha",IF(AND(F35="Cabo de caixa",N35&lt;&gt;"Alto-falante"),"Cabo de caixa não tem malha: use cabo blindado",IF(AND(M35="Sim",F35="Desbalanceada"),"Desligue o phantom ou passe a fonte por direct box",IF(AND(N35="Instrumento",L35&lt;&gt;"Instrumento"),"Use direct box ou a entrada de instrumento (Hi-Z)",IF(AND(N35="Linha",L35="Microfone"),"Use a entrada de linha, ou direct box na entrada de microfone",IF(AND(N35="Linha",L35="Instrumento"),"Use a entrada de linha",IF(AND(N35="Microfone",L35&lt;&gt;"Microfone"),"Sinal fraco para esta entrada: use a entrada de microfone",IF(AND(G35="Sim",M35&lt;&gt;"Sim"),"Ligue o phantom deste canal, com o canal em mute",IF(AND(F35="Desbalanceada",I35&lt;&gt;"",$M$4&lt;&gt;"",I35&gt;$M$4),"Cabo desbalanceado longo: use direct box e cabo balanceado",IF(AND(J35&lt;&gt;"",COUNTIF($J$13:$J$44,J35)&gt;1),"Via do multicabo repetida: confira",IF(AND(K35&lt;&gt;"",COUNTIF($K$13:$K$44,K35)&gt;1),"Destino repetido: confira",IF(F35="","Informe o tipo de ligação do cabo","Ligação correta")))))))))))))))</f>
        <v/>
      </c>
      <c r="Q35" s="31"/>
    </row>
    <row r="36" customFormat="false" ht="21.75" hidden="false" customHeight="true" outlineLevel="0" collapsed="false">
      <c r="B36" s="18" t="n">
        <v>24</v>
      </c>
      <c r="C36" s="31"/>
      <c r="D36" s="32"/>
      <c r="E36" s="32"/>
      <c r="F36" s="32"/>
      <c r="G36" s="32"/>
      <c r="H36" s="32"/>
      <c r="I36" s="32"/>
      <c r="J36" s="32"/>
      <c r="K36" s="31"/>
      <c r="L36" s="32"/>
      <c r="M36" s="32"/>
      <c r="N36" s="19" t="str">
        <f aca="false">IF(D36="","",IF(OR(E36="Passiva",E36="Ativa"),"Microfone",D36))</f>
        <v/>
      </c>
      <c r="O36" s="20" t="str">
        <f aca="false">IF(OR(D36="",L36=""),"",IF(AND(N36="Alto-falante",L36&lt;&gt;"Caixa passiva"),"Erro",IF(AND(L36="Caixa passiva",N36&lt;&gt;"Alto-falante"),"Erro",IF(AND(N36="Alto-falante",F36&lt;&gt;"Cabo de caixa"),"Erro",IF(AND(F36="Cabo de caixa",N36&lt;&gt;"Alto-falante"),"Erro",IF(AND(M36="Sim",F36="Desbalanceada"),"Erro",IF(AND(N36="Instrumento",L36&lt;&gt;"Instrumento"),"Atenção",IF(AND(N36="Linha",L36="Microfone"),"Atenção",IF(AND(N36="Linha",L36="Instrumento"),"Atenção",IF(AND(N36="Microfone",L36&lt;&gt;"Microfone"),"Atenção",IF(AND(G36="Sim",M36&lt;&gt;"Sim"),"Atenção",IF(AND(F36="Desbalanceada",I36&lt;&gt;"",$M$4&lt;&gt;"",I36&gt;$M$4),"Atenção",IF(AND(J36&lt;&gt;"",COUNTIF($J$13:$J$44,J36)&gt;1),"Atenção",IF(AND(K36&lt;&gt;"",COUNTIF($K$13:$K$44,K36)&gt;1),"Atenção",IF(F36="","Atenção","OK")))))))))))))))</f>
        <v/>
      </c>
      <c r="P36" s="21" t="str">
        <f aca="false">IF(OR(D36="",L36=""),"",IF(AND(N36="Alto-falante",L36&lt;&gt;"Caixa passiva"),"Saída de amplificador só pode ir para caixa passiva",IF(AND(L36="Caixa passiva",N36&lt;&gt;"Alto-falante"),"Caixa passiva precisa de um amplificador antes dela",IF(AND(N36="Alto-falante",F36&lt;&gt;"Cabo de caixa"),"Use cabo de caixa: dois condutores grossos, sem malha",IF(AND(F36="Cabo de caixa",N36&lt;&gt;"Alto-falante"),"Cabo de caixa não tem malha: use cabo blindado",IF(AND(M36="Sim",F36="Desbalanceada"),"Desligue o phantom ou passe a fonte por direct box",IF(AND(N36="Instrumento",L36&lt;&gt;"Instrumento"),"Use direct box ou a entrada de instrumento (Hi-Z)",IF(AND(N36="Linha",L36="Microfone"),"Use a entrada de linha, ou direct box na entrada de microfone",IF(AND(N36="Linha",L36="Instrumento"),"Use a entrada de linha",IF(AND(N36="Microfone",L36&lt;&gt;"Microfone"),"Sinal fraco para esta entrada: use a entrada de microfone",IF(AND(G36="Sim",M36&lt;&gt;"Sim"),"Ligue o phantom deste canal, com o canal em mute",IF(AND(F36="Desbalanceada",I36&lt;&gt;"",$M$4&lt;&gt;"",I36&gt;$M$4),"Cabo desbalanceado longo: use direct box e cabo balanceado",IF(AND(J36&lt;&gt;"",COUNTIF($J$13:$J$44,J36)&gt;1),"Via do multicabo repetida: confira",IF(AND(K36&lt;&gt;"",COUNTIF($K$13:$K$44,K36)&gt;1),"Destino repetido: confira",IF(F36="","Informe o tipo de ligação do cabo","Ligação correta")))))))))))))))</f>
        <v/>
      </c>
      <c r="Q36" s="31"/>
    </row>
    <row r="37" customFormat="false" ht="21.75" hidden="false" customHeight="true" outlineLevel="0" collapsed="false">
      <c r="B37" s="18" t="n">
        <v>25</v>
      </c>
      <c r="C37" s="31"/>
      <c r="D37" s="32"/>
      <c r="E37" s="32"/>
      <c r="F37" s="32"/>
      <c r="G37" s="32"/>
      <c r="H37" s="32"/>
      <c r="I37" s="32"/>
      <c r="J37" s="32"/>
      <c r="K37" s="31"/>
      <c r="L37" s="32"/>
      <c r="M37" s="32"/>
      <c r="N37" s="19" t="str">
        <f aca="false">IF(D37="","",IF(OR(E37="Passiva",E37="Ativa"),"Microfone",D37))</f>
        <v/>
      </c>
      <c r="O37" s="20" t="str">
        <f aca="false">IF(OR(D37="",L37=""),"",IF(AND(N37="Alto-falante",L37&lt;&gt;"Caixa passiva"),"Erro",IF(AND(L37="Caixa passiva",N37&lt;&gt;"Alto-falante"),"Erro",IF(AND(N37="Alto-falante",F37&lt;&gt;"Cabo de caixa"),"Erro",IF(AND(F37="Cabo de caixa",N37&lt;&gt;"Alto-falante"),"Erro",IF(AND(M37="Sim",F37="Desbalanceada"),"Erro",IF(AND(N37="Instrumento",L37&lt;&gt;"Instrumento"),"Atenção",IF(AND(N37="Linha",L37="Microfone"),"Atenção",IF(AND(N37="Linha",L37="Instrumento"),"Atenção",IF(AND(N37="Microfone",L37&lt;&gt;"Microfone"),"Atenção",IF(AND(G37="Sim",M37&lt;&gt;"Sim"),"Atenção",IF(AND(F37="Desbalanceada",I37&lt;&gt;"",$M$4&lt;&gt;"",I37&gt;$M$4),"Atenção",IF(AND(J37&lt;&gt;"",COUNTIF($J$13:$J$44,J37)&gt;1),"Atenção",IF(AND(K37&lt;&gt;"",COUNTIF($K$13:$K$44,K37)&gt;1),"Atenção",IF(F37="","Atenção","OK")))))))))))))))</f>
        <v/>
      </c>
      <c r="P37" s="21" t="str">
        <f aca="false">IF(OR(D37="",L37=""),"",IF(AND(N37="Alto-falante",L37&lt;&gt;"Caixa passiva"),"Saída de amplificador só pode ir para caixa passiva",IF(AND(L37="Caixa passiva",N37&lt;&gt;"Alto-falante"),"Caixa passiva precisa de um amplificador antes dela",IF(AND(N37="Alto-falante",F37&lt;&gt;"Cabo de caixa"),"Use cabo de caixa: dois condutores grossos, sem malha",IF(AND(F37="Cabo de caixa",N37&lt;&gt;"Alto-falante"),"Cabo de caixa não tem malha: use cabo blindado",IF(AND(M37="Sim",F37="Desbalanceada"),"Desligue o phantom ou passe a fonte por direct box",IF(AND(N37="Instrumento",L37&lt;&gt;"Instrumento"),"Use direct box ou a entrada de instrumento (Hi-Z)",IF(AND(N37="Linha",L37="Microfone"),"Use a entrada de linha, ou direct box na entrada de microfone",IF(AND(N37="Linha",L37="Instrumento"),"Use a entrada de linha",IF(AND(N37="Microfone",L37&lt;&gt;"Microfone"),"Sinal fraco para esta entrada: use a entrada de microfone",IF(AND(G37="Sim",M37&lt;&gt;"Sim"),"Ligue o phantom deste canal, com o canal em mute",IF(AND(F37="Desbalanceada",I37&lt;&gt;"",$M$4&lt;&gt;"",I37&gt;$M$4),"Cabo desbalanceado longo: use direct box e cabo balanceado",IF(AND(J37&lt;&gt;"",COUNTIF($J$13:$J$44,J37)&gt;1),"Via do multicabo repetida: confira",IF(AND(K37&lt;&gt;"",COUNTIF($K$13:$K$44,K37)&gt;1),"Destino repetido: confira",IF(F37="","Informe o tipo de ligação do cabo","Ligação correta")))))))))))))))</f>
        <v/>
      </c>
      <c r="Q37" s="31"/>
    </row>
    <row r="38" customFormat="false" ht="21.75" hidden="false" customHeight="true" outlineLevel="0" collapsed="false">
      <c r="B38" s="18" t="n">
        <v>26</v>
      </c>
      <c r="C38" s="31"/>
      <c r="D38" s="32"/>
      <c r="E38" s="32"/>
      <c r="F38" s="32"/>
      <c r="G38" s="32"/>
      <c r="H38" s="32"/>
      <c r="I38" s="32"/>
      <c r="J38" s="32"/>
      <c r="K38" s="31"/>
      <c r="L38" s="32"/>
      <c r="M38" s="32"/>
      <c r="N38" s="19" t="str">
        <f aca="false">IF(D38="","",IF(OR(E38="Passiva",E38="Ativa"),"Microfone",D38))</f>
        <v/>
      </c>
      <c r="O38" s="20" t="str">
        <f aca="false">IF(OR(D38="",L38=""),"",IF(AND(N38="Alto-falante",L38&lt;&gt;"Caixa passiva"),"Erro",IF(AND(L38="Caixa passiva",N38&lt;&gt;"Alto-falante"),"Erro",IF(AND(N38="Alto-falante",F38&lt;&gt;"Cabo de caixa"),"Erro",IF(AND(F38="Cabo de caixa",N38&lt;&gt;"Alto-falante"),"Erro",IF(AND(M38="Sim",F38="Desbalanceada"),"Erro",IF(AND(N38="Instrumento",L38&lt;&gt;"Instrumento"),"Atenção",IF(AND(N38="Linha",L38="Microfone"),"Atenção",IF(AND(N38="Linha",L38="Instrumento"),"Atenção",IF(AND(N38="Microfone",L38&lt;&gt;"Microfone"),"Atenção",IF(AND(G38="Sim",M38&lt;&gt;"Sim"),"Atenção",IF(AND(F38="Desbalanceada",I38&lt;&gt;"",$M$4&lt;&gt;"",I38&gt;$M$4),"Atenção",IF(AND(J38&lt;&gt;"",COUNTIF($J$13:$J$44,J38)&gt;1),"Atenção",IF(AND(K38&lt;&gt;"",COUNTIF($K$13:$K$44,K38)&gt;1),"Atenção",IF(F38="","Atenção","OK")))))))))))))))</f>
        <v/>
      </c>
      <c r="P38" s="21" t="str">
        <f aca="false">IF(OR(D38="",L38=""),"",IF(AND(N38="Alto-falante",L38&lt;&gt;"Caixa passiva"),"Saída de amplificador só pode ir para caixa passiva",IF(AND(L38="Caixa passiva",N38&lt;&gt;"Alto-falante"),"Caixa passiva precisa de um amplificador antes dela",IF(AND(N38="Alto-falante",F38&lt;&gt;"Cabo de caixa"),"Use cabo de caixa: dois condutores grossos, sem malha",IF(AND(F38="Cabo de caixa",N38&lt;&gt;"Alto-falante"),"Cabo de caixa não tem malha: use cabo blindado",IF(AND(M38="Sim",F38="Desbalanceada"),"Desligue o phantom ou passe a fonte por direct box",IF(AND(N38="Instrumento",L38&lt;&gt;"Instrumento"),"Use direct box ou a entrada de instrumento (Hi-Z)",IF(AND(N38="Linha",L38="Microfone"),"Use a entrada de linha, ou direct box na entrada de microfone",IF(AND(N38="Linha",L38="Instrumento"),"Use a entrada de linha",IF(AND(N38="Microfone",L38&lt;&gt;"Microfone"),"Sinal fraco para esta entrada: use a entrada de microfone",IF(AND(G38="Sim",M38&lt;&gt;"Sim"),"Ligue o phantom deste canal, com o canal em mute",IF(AND(F38="Desbalanceada",I38&lt;&gt;"",$M$4&lt;&gt;"",I38&gt;$M$4),"Cabo desbalanceado longo: use direct box e cabo balanceado",IF(AND(J38&lt;&gt;"",COUNTIF($J$13:$J$44,J38)&gt;1),"Via do multicabo repetida: confira",IF(AND(K38&lt;&gt;"",COUNTIF($K$13:$K$44,K38)&gt;1),"Destino repetido: confira",IF(F38="","Informe o tipo de ligação do cabo","Ligação correta")))))))))))))))</f>
        <v/>
      </c>
      <c r="Q38" s="31"/>
    </row>
    <row r="39" customFormat="false" ht="21.75" hidden="false" customHeight="true" outlineLevel="0" collapsed="false">
      <c r="B39" s="18" t="n">
        <v>27</v>
      </c>
      <c r="C39" s="31"/>
      <c r="D39" s="32"/>
      <c r="E39" s="32"/>
      <c r="F39" s="32"/>
      <c r="G39" s="32"/>
      <c r="H39" s="32"/>
      <c r="I39" s="32"/>
      <c r="J39" s="32"/>
      <c r="K39" s="31"/>
      <c r="L39" s="32"/>
      <c r="M39" s="32"/>
      <c r="N39" s="19" t="str">
        <f aca="false">IF(D39="","",IF(OR(E39="Passiva",E39="Ativa"),"Microfone",D39))</f>
        <v/>
      </c>
      <c r="O39" s="20" t="str">
        <f aca="false">IF(OR(D39="",L39=""),"",IF(AND(N39="Alto-falante",L39&lt;&gt;"Caixa passiva"),"Erro",IF(AND(L39="Caixa passiva",N39&lt;&gt;"Alto-falante"),"Erro",IF(AND(N39="Alto-falante",F39&lt;&gt;"Cabo de caixa"),"Erro",IF(AND(F39="Cabo de caixa",N39&lt;&gt;"Alto-falante"),"Erro",IF(AND(M39="Sim",F39="Desbalanceada"),"Erro",IF(AND(N39="Instrumento",L39&lt;&gt;"Instrumento"),"Atenção",IF(AND(N39="Linha",L39="Microfone"),"Atenção",IF(AND(N39="Linha",L39="Instrumento"),"Atenção",IF(AND(N39="Microfone",L39&lt;&gt;"Microfone"),"Atenção",IF(AND(G39="Sim",M39&lt;&gt;"Sim"),"Atenção",IF(AND(F39="Desbalanceada",I39&lt;&gt;"",$M$4&lt;&gt;"",I39&gt;$M$4),"Atenção",IF(AND(J39&lt;&gt;"",COUNTIF($J$13:$J$44,J39)&gt;1),"Atenção",IF(AND(K39&lt;&gt;"",COUNTIF($K$13:$K$44,K39)&gt;1),"Atenção",IF(F39="","Atenção","OK")))))))))))))))</f>
        <v/>
      </c>
      <c r="P39" s="21" t="str">
        <f aca="false">IF(OR(D39="",L39=""),"",IF(AND(N39="Alto-falante",L39&lt;&gt;"Caixa passiva"),"Saída de amplificador só pode ir para caixa passiva",IF(AND(L39="Caixa passiva",N39&lt;&gt;"Alto-falante"),"Caixa passiva precisa de um amplificador antes dela",IF(AND(N39="Alto-falante",F39&lt;&gt;"Cabo de caixa"),"Use cabo de caixa: dois condutores grossos, sem malha",IF(AND(F39="Cabo de caixa",N39&lt;&gt;"Alto-falante"),"Cabo de caixa não tem malha: use cabo blindado",IF(AND(M39="Sim",F39="Desbalanceada"),"Desligue o phantom ou passe a fonte por direct box",IF(AND(N39="Instrumento",L39&lt;&gt;"Instrumento"),"Use direct box ou a entrada de instrumento (Hi-Z)",IF(AND(N39="Linha",L39="Microfone"),"Use a entrada de linha, ou direct box na entrada de microfone",IF(AND(N39="Linha",L39="Instrumento"),"Use a entrada de linha",IF(AND(N39="Microfone",L39&lt;&gt;"Microfone"),"Sinal fraco para esta entrada: use a entrada de microfone",IF(AND(G39="Sim",M39&lt;&gt;"Sim"),"Ligue o phantom deste canal, com o canal em mute",IF(AND(F39="Desbalanceada",I39&lt;&gt;"",$M$4&lt;&gt;"",I39&gt;$M$4),"Cabo desbalanceado longo: use direct box e cabo balanceado",IF(AND(J39&lt;&gt;"",COUNTIF($J$13:$J$44,J39)&gt;1),"Via do multicabo repetida: confira",IF(AND(K39&lt;&gt;"",COUNTIF($K$13:$K$44,K39)&gt;1),"Destino repetido: confira",IF(F39="","Informe o tipo de ligação do cabo","Ligação correta")))))))))))))))</f>
        <v/>
      </c>
      <c r="Q39" s="31"/>
    </row>
    <row r="40" customFormat="false" ht="21.75" hidden="false" customHeight="true" outlineLevel="0" collapsed="false">
      <c r="B40" s="18" t="n">
        <v>28</v>
      </c>
      <c r="C40" s="31"/>
      <c r="D40" s="32"/>
      <c r="E40" s="32"/>
      <c r="F40" s="32"/>
      <c r="G40" s="32"/>
      <c r="H40" s="32"/>
      <c r="I40" s="32"/>
      <c r="J40" s="32"/>
      <c r="K40" s="31"/>
      <c r="L40" s="32"/>
      <c r="M40" s="32"/>
      <c r="N40" s="19" t="str">
        <f aca="false">IF(D40="","",IF(OR(E40="Passiva",E40="Ativa"),"Microfone",D40))</f>
        <v/>
      </c>
      <c r="O40" s="20" t="str">
        <f aca="false">IF(OR(D40="",L40=""),"",IF(AND(N40="Alto-falante",L40&lt;&gt;"Caixa passiva"),"Erro",IF(AND(L40="Caixa passiva",N40&lt;&gt;"Alto-falante"),"Erro",IF(AND(N40="Alto-falante",F40&lt;&gt;"Cabo de caixa"),"Erro",IF(AND(F40="Cabo de caixa",N40&lt;&gt;"Alto-falante"),"Erro",IF(AND(M40="Sim",F40="Desbalanceada"),"Erro",IF(AND(N40="Instrumento",L40&lt;&gt;"Instrumento"),"Atenção",IF(AND(N40="Linha",L40="Microfone"),"Atenção",IF(AND(N40="Linha",L40="Instrumento"),"Atenção",IF(AND(N40="Microfone",L40&lt;&gt;"Microfone"),"Atenção",IF(AND(G40="Sim",M40&lt;&gt;"Sim"),"Atenção",IF(AND(F40="Desbalanceada",I40&lt;&gt;"",$M$4&lt;&gt;"",I40&gt;$M$4),"Atenção",IF(AND(J40&lt;&gt;"",COUNTIF($J$13:$J$44,J40)&gt;1),"Atenção",IF(AND(K40&lt;&gt;"",COUNTIF($K$13:$K$44,K40)&gt;1),"Atenção",IF(F40="","Atenção","OK")))))))))))))))</f>
        <v/>
      </c>
      <c r="P40" s="21" t="str">
        <f aca="false">IF(OR(D40="",L40=""),"",IF(AND(N40="Alto-falante",L40&lt;&gt;"Caixa passiva"),"Saída de amplificador só pode ir para caixa passiva",IF(AND(L40="Caixa passiva",N40&lt;&gt;"Alto-falante"),"Caixa passiva precisa de um amplificador antes dela",IF(AND(N40="Alto-falante",F40&lt;&gt;"Cabo de caixa"),"Use cabo de caixa: dois condutores grossos, sem malha",IF(AND(F40="Cabo de caixa",N40&lt;&gt;"Alto-falante"),"Cabo de caixa não tem malha: use cabo blindado",IF(AND(M40="Sim",F40="Desbalanceada"),"Desligue o phantom ou passe a fonte por direct box",IF(AND(N40="Instrumento",L40&lt;&gt;"Instrumento"),"Use direct box ou a entrada de instrumento (Hi-Z)",IF(AND(N40="Linha",L40="Microfone"),"Use a entrada de linha, ou direct box na entrada de microfone",IF(AND(N40="Linha",L40="Instrumento"),"Use a entrada de linha",IF(AND(N40="Microfone",L40&lt;&gt;"Microfone"),"Sinal fraco para esta entrada: use a entrada de microfone",IF(AND(G40="Sim",M40&lt;&gt;"Sim"),"Ligue o phantom deste canal, com o canal em mute",IF(AND(F40="Desbalanceada",I40&lt;&gt;"",$M$4&lt;&gt;"",I40&gt;$M$4),"Cabo desbalanceado longo: use direct box e cabo balanceado",IF(AND(J40&lt;&gt;"",COUNTIF($J$13:$J$44,J40)&gt;1),"Via do multicabo repetida: confira",IF(AND(K40&lt;&gt;"",COUNTIF($K$13:$K$44,K40)&gt;1),"Destino repetido: confira",IF(F40="","Informe o tipo de ligação do cabo","Ligação correta")))))))))))))))</f>
        <v/>
      </c>
      <c r="Q40" s="31"/>
    </row>
    <row r="41" customFormat="false" ht="21.75" hidden="false" customHeight="true" outlineLevel="0" collapsed="false">
      <c r="B41" s="18" t="n">
        <v>29</v>
      </c>
      <c r="C41" s="31"/>
      <c r="D41" s="32"/>
      <c r="E41" s="32"/>
      <c r="F41" s="32"/>
      <c r="G41" s="32"/>
      <c r="H41" s="32"/>
      <c r="I41" s="32"/>
      <c r="J41" s="32"/>
      <c r="K41" s="31"/>
      <c r="L41" s="32"/>
      <c r="M41" s="32"/>
      <c r="N41" s="19" t="str">
        <f aca="false">IF(D41="","",IF(OR(E41="Passiva",E41="Ativa"),"Microfone",D41))</f>
        <v/>
      </c>
      <c r="O41" s="20" t="str">
        <f aca="false">IF(OR(D41="",L41=""),"",IF(AND(N41="Alto-falante",L41&lt;&gt;"Caixa passiva"),"Erro",IF(AND(L41="Caixa passiva",N41&lt;&gt;"Alto-falante"),"Erro",IF(AND(N41="Alto-falante",F41&lt;&gt;"Cabo de caixa"),"Erro",IF(AND(F41="Cabo de caixa",N41&lt;&gt;"Alto-falante"),"Erro",IF(AND(M41="Sim",F41="Desbalanceada"),"Erro",IF(AND(N41="Instrumento",L41&lt;&gt;"Instrumento"),"Atenção",IF(AND(N41="Linha",L41="Microfone"),"Atenção",IF(AND(N41="Linha",L41="Instrumento"),"Atenção",IF(AND(N41="Microfone",L41&lt;&gt;"Microfone"),"Atenção",IF(AND(G41="Sim",M41&lt;&gt;"Sim"),"Atenção",IF(AND(F41="Desbalanceada",I41&lt;&gt;"",$M$4&lt;&gt;"",I41&gt;$M$4),"Atenção",IF(AND(J41&lt;&gt;"",COUNTIF($J$13:$J$44,J41)&gt;1),"Atenção",IF(AND(K41&lt;&gt;"",COUNTIF($K$13:$K$44,K41)&gt;1),"Atenção",IF(F41="","Atenção","OK")))))))))))))))</f>
        <v/>
      </c>
      <c r="P41" s="21" t="str">
        <f aca="false">IF(OR(D41="",L41=""),"",IF(AND(N41="Alto-falante",L41&lt;&gt;"Caixa passiva"),"Saída de amplificador só pode ir para caixa passiva",IF(AND(L41="Caixa passiva",N41&lt;&gt;"Alto-falante"),"Caixa passiva precisa de um amplificador antes dela",IF(AND(N41="Alto-falante",F41&lt;&gt;"Cabo de caixa"),"Use cabo de caixa: dois condutores grossos, sem malha",IF(AND(F41="Cabo de caixa",N41&lt;&gt;"Alto-falante"),"Cabo de caixa não tem malha: use cabo blindado",IF(AND(M41="Sim",F41="Desbalanceada"),"Desligue o phantom ou passe a fonte por direct box",IF(AND(N41="Instrumento",L41&lt;&gt;"Instrumento"),"Use direct box ou a entrada de instrumento (Hi-Z)",IF(AND(N41="Linha",L41="Microfone"),"Use a entrada de linha, ou direct box na entrada de microfone",IF(AND(N41="Linha",L41="Instrumento"),"Use a entrada de linha",IF(AND(N41="Microfone",L41&lt;&gt;"Microfone"),"Sinal fraco para esta entrada: use a entrada de microfone",IF(AND(G41="Sim",M41&lt;&gt;"Sim"),"Ligue o phantom deste canal, com o canal em mute",IF(AND(F41="Desbalanceada",I41&lt;&gt;"",$M$4&lt;&gt;"",I41&gt;$M$4),"Cabo desbalanceado longo: use direct box e cabo balanceado",IF(AND(J41&lt;&gt;"",COUNTIF($J$13:$J$44,J41)&gt;1),"Via do multicabo repetida: confira",IF(AND(K41&lt;&gt;"",COUNTIF($K$13:$K$44,K41)&gt;1),"Destino repetido: confira",IF(F41="","Informe o tipo de ligação do cabo","Ligação correta")))))))))))))))</f>
        <v/>
      </c>
      <c r="Q41" s="31"/>
    </row>
    <row r="42" customFormat="false" ht="21.75" hidden="false" customHeight="true" outlineLevel="0" collapsed="false">
      <c r="B42" s="18" t="n">
        <v>30</v>
      </c>
      <c r="C42" s="31"/>
      <c r="D42" s="32"/>
      <c r="E42" s="32"/>
      <c r="F42" s="32"/>
      <c r="G42" s="32"/>
      <c r="H42" s="32"/>
      <c r="I42" s="32"/>
      <c r="J42" s="32"/>
      <c r="K42" s="31"/>
      <c r="L42" s="32"/>
      <c r="M42" s="32"/>
      <c r="N42" s="19" t="str">
        <f aca="false">IF(D42="","",IF(OR(E42="Passiva",E42="Ativa"),"Microfone",D42))</f>
        <v/>
      </c>
      <c r="O42" s="20" t="str">
        <f aca="false">IF(OR(D42="",L42=""),"",IF(AND(N42="Alto-falante",L42&lt;&gt;"Caixa passiva"),"Erro",IF(AND(L42="Caixa passiva",N42&lt;&gt;"Alto-falante"),"Erro",IF(AND(N42="Alto-falante",F42&lt;&gt;"Cabo de caixa"),"Erro",IF(AND(F42="Cabo de caixa",N42&lt;&gt;"Alto-falante"),"Erro",IF(AND(M42="Sim",F42="Desbalanceada"),"Erro",IF(AND(N42="Instrumento",L42&lt;&gt;"Instrumento"),"Atenção",IF(AND(N42="Linha",L42="Microfone"),"Atenção",IF(AND(N42="Linha",L42="Instrumento"),"Atenção",IF(AND(N42="Microfone",L42&lt;&gt;"Microfone"),"Atenção",IF(AND(G42="Sim",M42&lt;&gt;"Sim"),"Atenção",IF(AND(F42="Desbalanceada",I42&lt;&gt;"",$M$4&lt;&gt;"",I42&gt;$M$4),"Atenção",IF(AND(J42&lt;&gt;"",COUNTIF($J$13:$J$44,J42)&gt;1),"Atenção",IF(AND(K42&lt;&gt;"",COUNTIF($K$13:$K$44,K42)&gt;1),"Atenção",IF(F42="","Atenção","OK")))))))))))))))</f>
        <v/>
      </c>
      <c r="P42" s="21" t="str">
        <f aca="false">IF(OR(D42="",L42=""),"",IF(AND(N42="Alto-falante",L42&lt;&gt;"Caixa passiva"),"Saída de amplificador só pode ir para caixa passiva",IF(AND(L42="Caixa passiva",N42&lt;&gt;"Alto-falante"),"Caixa passiva precisa de um amplificador antes dela",IF(AND(N42="Alto-falante",F42&lt;&gt;"Cabo de caixa"),"Use cabo de caixa: dois condutores grossos, sem malha",IF(AND(F42="Cabo de caixa",N42&lt;&gt;"Alto-falante"),"Cabo de caixa não tem malha: use cabo blindado",IF(AND(M42="Sim",F42="Desbalanceada"),"Desligue o phantom ou passe a fonte por direct box",IF(AND(N42="Instrumento",L42&lt;&gt;"Instrumento"),"Use direct box ou a entrada de instrumento (Hi-Z)",IF(AND(N42="Linha",L42="Microfone"),"Use a entrada de linha, ou direct box na entrada de microfone",IF(AND(N42="Linha",L42="Instrumento"),"Use a entrada de linha",IF(AND(N42="Microfone",L42&lt;&gt;"Microfone"),"Sinal fraco para esta entrada: use a entrada de microfone",IF(AND(G42="Sim",M42&lt;&gt;"Sim"),"Ligue o phantom deste canal, com o canal em mute",IF(AND(F42="Desbalanceada",I42&lt;&gt;"",$M$4&lt;&gt;"",I42&gt;$M$4),"Cabo desbalanceado longo: use direct box e cabo balanceado",IF(AND(J42&lt;&gt;"",COUNTIF($J$13:$J$44,J42)&gt;1),"Via do multicabo repetida: confira",IF(AND(K42&lt;&gt;"",COUNTIF($K$13:$K$44,K42)&gt;1),"Destino repetido: confira",IF(F42="","Informe o tipo de ligação do cabo","Ligação correta")))))))))))))))</f>
        <v/>
      </c>
      <c r="Q42" s="31"/>
    </row>
    <row r="43" customFormat="false" ht="21.75" hidden="false" customHeight="true" outlineLevel="0" collapsed="false">
      <c r="B43" s="18" t="n">
        <v>31</v>
      </c>
      <c r="C43" s="31"/>
      <c r="D43" s="32"/>
      <c r="E43" s="32"/>
      <c r="F43" s="32"/>
      <c r="G43" s="32"/>
      <c r="H43" s="32"/>
      <c r="I43" s="32"/>
      <c r="J43" s="32"/>
      <c r="K43" s="31"/>
      <c r="L43" s="32"/>
      <c r="M43" s="32"/>
      <c r="N43" s="19" t="str">
        <f aca="false">IF(D43="","",IF(OR(E43="Passiva",E43="Ativa"),"Microfone",D43))</f>
        <v/>
      </c>
      <c r="O43" s="20" t="str">
        <f aca="false">IF(OR(D43="",L43=""),"",IF(AND(N43="Alto-falante",L43&lt;&gt;"Caixa passiva"),"Erro",IF(AND(L43="Caixa passiva",N43&lt;&gt;"Alto-falante"),"Erro",IF(AND(N43="Alto-falante",F43&lt;&gt;"Cabo de caixa"),"Erro",IF(AND(F43="Cabo de caixa",N43&lt;&gt;"Alto-falante"),"Erro",IF(AND(M43="Sim",F43="Desbalanceada"),"Erro",IF(AND(N43="Instrumento",L43&lt;&gt;"Instrumento"),"Atenção",IF(AND(N43="Linha",L43="Microfone"),"Atenção",IF(AND(N43="Linha",L43="Instrumento"),"Atenção",IF(AND(N43="Microfone",L43&lt;&gt;"Microfone"),"Atenção",IF(AND(G43="Sim",M43&lt;&gt;"Sim"),"Atenção",IF(AND(F43="Desbalanceada",I43&lt;&gt;"",$M$4&lt;&gt;"",I43&gt;$M$4),"Atenção",IF(AND(J43&lt;&gt;"",COUNTIF($J$13:$J$44,J43)&gt;1),"Atenção",IF(AND(K43&lt;&gt;"",COUNTIF($K$13:$K$44,K43)&gt;1),"Atenção",IF(F43="","Atenção","OK")))))))))))))))</f>
        <v/>
      </c>
      <c r="P43" s="21" t="str">
        <f aca="false">IF(OR(D43="",L43=""),"",IF(AND(N43="Alto-falante",L43&lt;&gt;"Caixa passiva"),"Saída de amplificador só pode ir para caixa passiva",IF(AND(L43="Caixa passiva",N43&lt;&gt;"Alto-falante"),"Caixa passiva precisa de um amplificador antes dela",IF(AND(N43="Alto-falante",F43&lt;&gt;"Cabo de caixa"),"Use cabo de caixa: dois condutores grossos, sem malha",IF(AND(F43="Cabo de caixa",N43&lt;&gt;"Alto-falante"),"Cabo de caixa não tem malha: use cabo blindado",IF(AND(M43="Sim",F43="Desbalanceada"),"Desligue o phantom ou passe a fonte por direct box",IF(AND(N43="Instrumento",L43&lt;&gt;"Instrumento"),"Use direct box ou a entrada de instrumento (Hi-Z)",IF(AND(N43="Linha",L43="Microfone"),"Use a entrada de linha, ou direct box na entrada de microfone",IF(AND(N43="Linha",L43="Instrumento"),"Use a entrada de linha",IF(AND(N43="Microfone",L43&lt;&gt;"Microfone"),"Sinal fraco para esta entrada: use a entrada de microfone",IF(AND(G43="Sim",M43&lt;&gt;"Sim"),"Ligue o phantom deste canal, com o canal em mute",IF(AND(F43="Desbalanceada",I43&lt;&gt;"",$M$4&lt;&gt;"",I43&gt;$M$4),"Cabo desbalanceado longo: use direct box e cabo balanceado",IF(AND(J43&lt;&gt;"",COUNTIF($J$13:$J$44,J43)&gt;1),"Via do multicabo repetida: confira",IF(AND(K43&lt;&gt;"",COUNTIF($K$13:$K$44,K43)&gt;1),"Destino repetido: confira",IF(F43="","Informe o tipo de ligação do cabo","Ligação correta")))))))))))))))</f>
        <v/>
      </c>
      <c r="Q43" s="31"/>
    </row>
    <row r="44" customFormat="false" ht="21.75" hidden="false" customHeight="true" outlineLevel="0" collapsed="false">
      <c r="B44" s="18" t="n">
        <v>32</v>
      </c>
      <c r="C44" s="31"/>
      <c r="D44" s="32"/>
      <c r="E44" s="32"/>
      <c r="F44" s="32"/>
      <c r="G44" s="32"/>
      <c r="H44" s="32"/>
      <c r="I44" s="32"/>
      <c r="J44" s="32"/>
      <c r="K44" s="31"/>
      <c r="L44" s="32"/>
      <c r="M44" s="32"/>
      <c r="N44" s="19" t="str">
        <f aca="false">IF(D44="","",IF(OR(E44="Passiva",E44="Ativa"),"Microfone",D44))</f>
        <v/>
      </c>
      <c r="O44" s="20" t="str">
        <f aca="false">IF(OR(D44="",L44=""),"",IF(AND(N44="Alto-falante",L44&lt;&gt;"Caixa passiva"),"Erro",IF(AND(L44="Caixa passiva",N44&lt;&gt;"Alto-falante"),"Erro",IF(AND(N44="Alto-falante",F44&lt;&gt;"Cabo de caixa"),"Erro",IF(AND(F44="Cabo de caixa",N44&lt;&gt;"Alto-falante"),"Erro",IF(AND(M44="Sim",F44="Desbalanceada"),"Erro",IF(AND(N44="Instrumento",L44&lt;&gt;"Instrumento"),"Atenção",IF(AND(N44="Linha",L44="Microfone"),"Atenção",IF(AND(N44="Linha",L44="Instrumento"),"Atenção",IF(AND(N44="Microfone",L44&lt;&gt;"Microfone"),"Atenção",IF(AND(G44="Sim",M44&lt;&gt;"Sim"),"Atenção",IF(AND(F44="Desbalanceada",I44&lt;&gt;"",$M$4&lt;&gt;"",I44&gt;$M$4),"Atenção",IF(AND(J44&lt;&gt;"",COUNTIF($J$13:$J$44,J44)&gt;1),"Atenção",IF(AND(K44&lt;&gt;"",COUNTIF($K$13:$K$44,K44)&gt;1),"Atenção",IF(F44="","Atenção","OK")))))))))))))))</f>
        <v/>
      </c>
      <c r="P44" s="21" t="str">
        <f aca="false">IF(OR(D44="",L44=""),"",IF(AND(N44="Alto-falante",L44&lt;&gt;"Caixa passiva"),"Saída de amplificador só pode ir para caixa passiva",IF(AND(L44="Caixa passiva",N44&lt;&gt;"Alto-falante"),"Caixa passiva precisa de um amplificador antes dela",IF(AND(N44="Alto-falante",F44&lt;&gt;"Cabo de caixa"),"Use cabo de caixa: dois condutores grossos, sem malha",IF(AND(F44="Cabo de caixa",N44&lt;&gt;"Alto-falante"),"Cabo de caixa não tem malha: use cabo blindado",IF(AND(M44="Sim",F44="Desbalanceada"),"Desligue o phantom ou passe a fonte por direct box",IF(AND(N44="Instrumento",L44&lt;&gt;"Instrumento"),"Use direct box ou a entrada de instrumento (Hi-Z)",IF(AND(N44="Linha",L44="Microfone"),"Use a entrada de linha, ou direct box na entrada de microfone",IF(AND(N44="Linha",L44="Instrumento"),"Use a entrada de linha",IF(AND(N44="Microfone",L44&lt;&gt;"Microfone"),"Sinal fraco para esta entrada: use a entrada de microfone",IF(AND(G44="Sim",M44&lt;&gt;"Sim"),"Ligue o phantom deste canal, com o canal em mute",IF(AND(F44="Desbalanceada",I44&lt;&gt;"",$M$4&lt;&gt;"",I44&gt;$M$4),"Cabo desbalanceado longo: use direct box e cabo balanceado",IF(AND(J44&lt;&gt;"",COUNTIF($J$13:$J$44,J44)&gt;1),"Via do multicabo repetida: confira",IF(AND(K44&lt;&gt;"",COUNTIF($K$13:$K$44,K44)&gt;1),"Destino repetido: confira",IF(F44="","Informe o tipo de ligação do cabo","Ligação correta")))))))))))))))</f>
        <v/>
      </c>
      <c r="Q44" s="31"/>
    </row>
    <row r="46" customFormat="false" ht="21.75" hidden="false" customHeight="true" outlineLevel="0" collapsed="false">
      <c r="B46" s="12" t="s">
        <v>106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customFormat="false" ht="19.5" hidden="false" customHeight="true" outlineLevel="0" collapsed="false">
      <c r="B47" s="22" t="s">
        <v>107</v>
      </c>
      <c r="C47" s="22"/>
      <c r="D47" s="22"/>
      <c r="E47" s="22"/>
      <c r="F47" s="8" t="n">
        <f aca="false">COUNTA(C13:C44)</f>
        <v>14</v>
      </c>
    </row>
    <row r="48" customFormat="false" ht="19.5" hidden="false" customHeight="true" outlineLevel="0" collapsed="false">
      <c r="B48" s="22" t="s">
        <v>108</v>
      </c>
      <c r="C48" s="22"/>
      <c r="D48" s="22"/>
      <c r="E48" s="22"/>
      <c r="F48" s="8" t="n">
        <f aca="false">COUNTIF(O13:O44,"OK")+COUNTIF(O13:O44,"Atenção")+COUNTIF(O13:O44,"Erro")</f>
        <v>14</v>
      </c>
    </row>
    <row r="49" customFormat="false" ht="19.5" hidden="false" customHeight="true" outlineLevel="0" collapsed="false">
      <c r="B49" s="22" t="s">
        <v>109</v>
      </c>
      <c r="C49" s="22"/>
      <c r="D49" s="22"/>
      <c r="E49" s="22"/>
      <c r="F49" s="8" t="n">
        <f aca="false">COUNTIF(O13:O44,"OK")</f>
        <v>9</v>
      </c>
    </row>
    <row r="50" customFormat="false" ht="19.5" hidden="false" customHeight="true" outlineLevel="0" collapsed="false">
      <c r="B50" s="22" t="s">
        <v>110</v>
      </c>
      <c r="C50" s="22"/>
      <c r="D50" s="22"/>
      <c r="E50" s="22"/>
      <c r="F50" s="8" t="n">
        <f aca="false">COUNTIF(O13:O44,"Atenção")</f>
        <v>2</v>
      </c>
    </row>
    <row r="51" customFormat="false" ht="19.5" hidden="false" customHeight="true" outlineLevel="0" collapsed="false">
      <c r="B51" s="22" t="s">
        <v>111</v>
      </c>
      <c r="C51" s="22"/>
      <c r="D51" s="22"/>
      <c r="E51" s="22"/>
      <c r="F51" s="8" t="n">
        <f aca="false">COUNTIF(O13:O44,"Erro")</f>
        <v>3</v>
      </c>
    </row>
    <row r="52" customFormat="false" ht="19.5" hidden="false" customHeight="true" outlineLevel="0" collapsed="false">
      <c r="B52" s="22" t="s">
        <v>112</v>
      </c>
      <c r="C52" s="22"/>
      <c r="D52" s="22"/>
      <c r="E52" s="22"/>
      <c r="F52" s="8" t="n">
        <f aca="false">COUNTIF(M13:M44,"Sim")</f>
        <v>3</v>
      </c>
    </row>
    <row r="53" customFormat="false" ht="19.5" hidden="false" customHeight="true" outlineLevel="0" collapsed="false">
      <c r="B53" s="22" t="s">
        <v>113</v>
      </c>
      <c r="C53" s="22"/>
      <c r="D53" s="22"/>
      <c r="E53" s="22"/>
      <c r="F53" s="8" t="n">
        <f aca="false">COUNTA(J13:J44)</f>
        <v>12</v>
      </c>
    </row>
    <row r="54" customFormat="false" ht="19.5" hidden="false" customHeight="true" outlineLevel="0" collapsed="false">
      <c r="B54" s="22" t="s">
        <v>114</v>
      </c>
      <c r="C54" s="22"/>
      <c r="D54" s="22"/>
      <c r="E54" s="22"/>
      <c r="F54" s="8" t="n">
        <f aca="false">COUNTIF(E13:E44,"Passiva")+COUNTIF(E13:E44,"Ativa")</f>
        <v>1</v>
      </c>
    </row>
    <row r="55" customFormat="false" ht="21.75" hidden="false" customHeight="true" outlineLevel="0" collapsed="false">
      <c r="B55" s="22" t="s">
        <v>115</v>
      </c>
      <c r="C55" s="22"/>
      <c r="D55" s="22"/>
      <c r="E55" s="22"/>
      <c r="F55" s="23" t="str">
        <f aca="false">IF(F47=0,"Liste as ligações",IF(F51&gt;0,"Há erro de ligação: corrija antes de ligar o sistema",IF(F50&gt;0,"Há ligação a conferir",IF(F48&lt;F47,"Há ligação sem nível ou sem entrada informados","OK"))))</f>
        <v>Há erro de ligação: corrija antes de ligar o sistema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7" customFormat="false" ht="21.75" hidden="false" customHeight="true" outlineLevel="0" collapsed="false">
      <c r="B57" s="12" t="s">
        <v>368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customFormat="false" ht="21.75" hidden="false" customHeight="true" outlineLevel="0" collapsed="false">
      <c r="B58" s="8" t="s">
        <v>334</v>
      </c>
      <c r="C58" s="8"/>
      <c r="D58" s="8" t="s">
        <v>369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 t="s">
        <v>370</v>
      </c>
      <c r="Q58" s="8"/>
    </row>
    <row r="59" customFormat="false" ht="21.75" hidden="false" customHeight="true" outlineLevel="0" collapsed="false">
      <c r="B59" s="18" t="s">
        <v>20</v>
      </c>
      <c r="C59" s="18"/>
      <c r="D59" s="7" t="s">
        <v>371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 t="s">
        <v>104</v>
      </c>
      <c r="Q59" s="7"/>
    </row>
    <row r="60" customFormat="false" ht="21.75" hidden="false" customHeight="true" outlineLevel="0" collapsed="false">
      <c r="B60" s="18" t="s">
        <v>22</v>
      </c>
      <c r="C60" s="18"/>
      <c r="D60" s="7" t="s">
        <v>372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 t="s">
        <v>104</v>
      </c>
      <c r="Q60" s="7"/>
    </row>
    <row r="61" customFormat="false" ht="21.75" hidden="false" customHeight="true" outlineLevel="0" collapsed="false">
      <c r="B61" s="18" t="s">
        <v>373</v>
      </c>
      <c r="C61" s="18"/>
      <c r="D61" s="7" t="s">
        <v>374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 t="s">
        <v>104</v>
      </c>
      <c r="Q61" s="7"/>
    </row>
    <row r="62" customFormat="false" ht="21.75" hidden="false" customHeight="true" outlineLevel="0" collapsed="false">
      <c r="B62" s="18" t="s">
        <v>375</v>
      </c>
      <c r="C62" s="18"/>
      <c r="D62" s="7" t="s">
        <v>376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 t="s">
        <v>104</v>
      </c>
      <c r="Q62" s="7"/>
    </row>
    <row r="63" customFormat="false" ht="21.75" hidden="false" customHeight="true" outlineLevel="0" collapsed="false">
      <c r="B63" s="18" t="s">
        <v>377</v>
      </c>
      <c r="C63" s="18"/>
      <c r="D63" s="7" t="s">
        <v>378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</sheetData>
  <mergeCells count="47">
    <mergeCell ref="B1:Q1"/>
    <mergeCell ref="B2:Q2"/>
    <mergeCell ref="B4:C4"/>
    <mergeCell ref="D4:H4"/>
    <mergeCell ref="I4:L4"/>
    <mergeCell ref="N4:Q4"/>
    <mergeCell ref="B5:C5"/>
    <mergeCell ref="D5:H5"/>
    <mergeCell ref="I5:Q5"/>
    <mergeCell ref="B6:C6"/>
    <mergeCell ref="D6:H6"/>
    <mergeCell ref="I6:Q6"/>
    <mergeCell ref="B7:C7"/>
    <mergeCell ref="D7:H7"/>
    <mergeCell ref="I7:Q7"/>
    <mergeCell ref="B9:Q9"/>
    <mergeCell ref="B12:Q12"/>
    <mergeCell ref="B46:Q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F55:P55"/>
    <mergeCell ref="B57:Q57"/>
    <mergeCell ref="B58:C58"/>
    <mergeCell ref="D58:O58"/>
    <mergeCell ref="P58:Q58"/>
    <mergeCell ref="B59:C59"/>
    <mergeCell ref="D59:O59"/>
    <mergeCell ref="P59:Q59"/>
    <mergeCell ref="B60:C60"/>
    <mergeCell ref="D60:O60"/>
    <mergeCell ref="P60:Q60"/>
    <mergeCell ref="B61:C61"/>
    <mergeCell ref="D61:O61"/>
    <mergeCell ref="P61:Q61"/>
    <mergeCell ref="B62:C62"/>
    <mergeCell ref="D62:O62"/>
    <mergeCell ref="P62:Q62"/>
    <mergeCell ref="B63:C63"/>
    <mergeCell ref="D63:O63"/>
    <mergeCell ref="P63:Q63"/>
  </mergeCells>
  <conditionalFormatting sqref="O13:O4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"Erro"</formula>
    </cfRule>
  </conditionalFormatting>
  <conditionalFormatting sqref="F55:P55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9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4" type="decimal">
      <formula1>-1000000000</formula1>
      <formula2>1000000000</formula2>
    </dataValidation>
    <dataValidation allowBlank="true" error="Escolha uma das opções da lista." errorStyle="stop" errorTitle="Valor inválido" operator="between" prompt="Microfone, Instrumento, Linha ou Alto-falante." promptTitle="Opções" showDropDown="false" showErrorMessage="true" showInputMessage="true" sqref="D13:D44" type="list">
      <formula1>"Microfone,Instrumento,Linha,Alto-falante"</formula1>
      <formula2>0</formula2>
    </dataValidation>
    <dataValidation allowBlank="true" error="Escolha uma das opções da lista." errorStyle="stop" errorTitle="Valor inválido" operator="between" prompt="A fonte passa por direct box? Não, Passiva ou Ativa." promptTitle="Opções" showDropDown="false" showErrorMessage="true" showInputMessage="true" sqref="E13:E44" type="list">
      <formula1>"Não,Passiva,Ativa"</formula1>
      <formula2>0</formula2>
    </dataValidation>
    <dataValidation allowBlank="true" error="Escolha uma das opções da lista." errorStyle="stop" errorTitle="Valor inválido" operator="between" prompt="Balanceada, Desbalanceada ou Cabo de caixa." promptTitle="Opções" showDropDown="false" showErrorMessage="true" showInputMessage="true" sqref="F13:F44" type="list">
      <formula1>"Balanceada,Desbalanceada,Cabo de caixa"</formula1>
      <formula2>0</formula2>
    </dataValidation>
    <dataValidation allowBlank="true" error="Escolha uma das opções da lista." errorStyle="stop" errorTitle="Valor inválido" operator="between" prompt="A fonte precisa de phantom?" promptTitle="Opções" showDropDown="false" showErrorMessage="true" showInputMessage="true" sqref="G13:G44" type="list">
      <formula1>"Sim,Não"</formula1>
      <formula2>0</formula2>
    </dataValidation>
    <dataValidation allowBlank="true" error="Escolha uma das opções da lista." errorStyle="stop" errorTitle="Valor inválido" operator="between" prompt="Microfone, Instrumento, Linha ou Caixa passiva." promptTitle="Opções" showDropDown="false" showErrorMessage="true" showInputMessage="true" sqref="L13:L44" type="list">
      <formula1>"Microfone,Instrumento,Linha,Caixa passiva"</formula1>
      <formula2>0</formula2>
    </dataValidation>
    <dataValidation allowBlank="true" error="Escolha uma das opções da lista." errorStyle="stop" errorTitle="Valor inválido" operator="between" prompt="O phantom deste canal está ligado?" promptTitle="Opções" showDropDown="false" showErrorMessage="true" showInputMessage="true" sqref="M13:M44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13:I44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12" min="9" style="0" width="12"/>
    <col collapsed="false" customWidth="true" hidden="false" outlineLevel="0" max="13" min="13" style="0" width="40"/>
    <col collapsed="false" customWidth="true" hidden="false" outlineLevel="0" max="14" min="14" style="0" width="46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379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118</v>
      </c>
      <c r="C4" s="4"/>
      <c r="D4" s="4"/>
      <c r="E4" s="31" t="s">
        <v>380</v>
      </c>
      <c r="F4" s="31"/>
      <c r="G4" s="31"/>
      <c r="H4" s="31"/>
      <c r="I4" s="10" t="s">
        <v>119</v>
      </c>
      <c r="J4" s="10"/>
      <c r="K4" s="10"/>
      <c r="L4" s="10"/>
      <c r="M4" s="10"/>
      <c r="N4" s="10"/>
    </row>
    <row r="5" customFormat="false" ht="21.75" hidden="false" customHeight="true" outlineLevel="0" collapsed="false">
      <c r="B5" s="4" t="s">
        <v>69</v>
      </c>
      <c r="C5" s="4"/>
      <c r="D5" s="4"/>
      <c r="E5" s="31" t="s">
        <v>381</v>
      </c>
      <c r="F5" s="31"/>
      <c r="G5" s="31"/>
      <c r="H5" s="31"/>
      <c r="I5" s="10" t="s">
        <v>120</v>
      </c>
      <c r="J5" s="10"/>
      <c r="K5" s="10"/>
      <c r="L5" s="10"/>
      <c r="M5" s="10"/>
      <c r="N5" s="10"/>
    </row>
    <row r="6" customFormat="false" ht="21.75" hidden="false" customHeight="true" outlineLevel="0" collapsed="false">
      <c r="B6" s="4" t="s">
        <v>121</v>
      </c>
      <c r="C6" s="4"/>
      <c r="D6" s="4"/>
      <c r="E6" s="33" t="n">
        <v>46333</v>
      </c>
      <c r="F6" s="33"/>
      <c r="G6" s="33"/>
      <c r="H6" s="33"/>
      <c r="I6" s="10" t="s">
        <v>122</v>
      </c>
      <c r="J6" s="10"/>
      <c r="K6" s="10"/>
      <c r="L6" s="10"/>
      <c r="M6" s="10"/>
      <c r="N6" s="10"/>
    </row>
    <row r="8" customFormat="false" ht="21.75" hidden="false" customHeight="true" outlineLevel="0" collapsed="false">
      <c r="B8" s="12" t="s">
        <v>33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30" hidden="false" customHeight="true" outlineLevel="0" collapsed="false">
      <c r="B9" s="13" t="s">
        <v>72</v>
      </c>
      <c r="C9" s="13" t="s">
        <v>123</v>
      </c>
      <c r="D9" s="13" t="s">
        <v>124</v>
      </c>
      <c r="E9" s="13" t="s">
        <v>125</v>
      </c>
      <c r="F9" s="13" t="s">
        <v>126</v>
      </c>
      <c r="G9" s="13" t="s">
        <v>79</v>
      </c>
      <c r="H9" s="15" t="s">
        <v>127</v>
      </c>
      <c r="I9" s="15" t="s">
        <v>128</v>
      </c>
      <c r="J9" s="15" t="s">
        <v>129</v>
      </c>
      <c r="K9" s="15" t="s">
        <v>121</v>
      </c>
      <c r="L9" s="16" t="s">
        <v>84</v>
      </c>
      <c r="M9" s="16" t="s">
        <v>85</v>
      </c>
      <c r="N9" s="13" t="s">
        <v>130</v>
      </c>
    </row>
    <row r="10" customFormat="false" ht="27" hidden="false" customHeight="true" outlineLevel="0" collapsed="false">
      <c r="B10" s="17"/>
      <c r="C10" s="17" t="s">
        <v>131</v>
      </c>
      <c r="D10" s="17" t="s">
        <v>88</v>
      </c>
      <c r="E10" s="17" t="s">
        <v>88</v>
      </c>
      <c r="F10" s="17" t="s">
        <v>88</v>
      </c>
      <c r="G10" s="17" t="s">
        <v>92</v>
      </c>
      <c r="H10" s="17" t="s">
        <v>132</v>
      </c>
      <c r="I10" s="17" t="s">
        <v>132</v>
      </c>
      <c r="J10" s="17" t="s">
        <v>133</v>
      </c>
      <c r="K10" s="17" t="s">
        <v>134</v>
      </c>
      <c r="L10" s="17"/>
      <c r="M10" s="17"/>
      <c r="N10" s="17"/>
    </row>
    <row r="11" customFormat="false" ht="24" hidden="false" customHeight="true" outlineLevel="0" collapsed="false">
      <c r="B11" s="10" t="s">
        <v>382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21.75" hidden="false" customHeight="true" outlineLevel="0" collapsed="false">
      <c r="B12" s="18" t="n">
        <v>1</v>
      </c>
      <c r="C12" s="32" t="s">
        <v>135</v>
      </c>
      <c r="D12" s="31" t="s">
        <v>136</v>
      </c>
      <c r="E12" s="32" t="s">
        <v>137</v>
      </c>
      <c r="F12" s="32" t="s">
        <v>138</v>
      </c>
      <c r="G12" s="32" t="n">
        <v>10</v>
      </c>
      <c r="H12" s="32" t="s">
        <v>104</v>
      </c>
      <c r="I12" s="32" t="s">
        <v>104</v>
      </c>
      <c r="J12" s="32" t="s">
        <v>139</v>
      </c>
      <c r="K12" s="34" t="n">
        <v>46333</v>
      </c>
      <c r="L12" s="20" t="str">
        <f aca="false">IF(C12="","",IF(OR(H12="Falha",I12="Falha",J12="Ruim"),"Reparar",IF(OR(H12="",I12=""),"Testar","Liberado")))</f>
        <v>Liberado</v>
      </c>
      <c r="M12" s="21" t="str">
        <f aca="false">IF(L12="","",IF(L12="Reparar","Tire de uso, marque e conserte ou descarte",IF(L12="Testar","Faça os dois testes antes do evento",IF(J12="Regular","Pode usar. Observe no próximo teste","Pode usar"))))</f>
        <v>Pode usar</v>
      </c>
      <c r="N12" s="31"/>
    </row>
    <row r="13" customFormat="false" ht="21.75" hidden="false" customHeight="true" outlineLevel="0" collapsed="false">
      <c r="B13" s="18" t="n">
        <v>2</v>
      </c>
      <c r="C13" s="32" t="s">
        <v>321</v>
      </c>
      <c r="D13" s="31" t="s">
        <v>136</v>
      </c>
      <c r="E13" s="32" t="s">
        <v>137</v>
      </c>
      <c r="F13" s="32" t="s">
        <v>138</v>
      </c>
      <c r="G13" s="32" t="n">
        <v>10</v>
      </c>
      <c r="H13" s="32" t="s">
        <v>104</v>
      </c>
      <c r="I13" s="32" t="s">
        <v>104</v>
      </c>
      <c r="J13" s="32" t="s">
        <v>139</v>
      </c>
      <c r="K13" s="34" t="n">
        <v>46333</v>
      </c>
      <c r="L13" s="20" t="str">
        <f aca="false">IF(C13="","",IF(OR(H13="Falha",I13="Falha",J13="Ruim"),"Reparar",IF(OR(H13="",I13=""),"Testar","Liberado")))</f>
        <v>Liberado</v>
      </c>
      <c r="M13" s="21" t="str">
        <f aca="false">IF(L13="","",IF(L13="Reparar","Tire de uso, marque e conserte ou descarte",IF(L13="Testar","Faça os dois testes antes do evento",IF(J13="Regular","Pode usar. Observe no próximo teste","Pode usar"))))</f>
        <v>Pode usar</v>
      </c>
      <c r="N13" s="31"/>
    </row>
    <row r="14" customFormat="false" ht="21.75" hidden="false" customHeight="true" outlineLevel="0" collapsed="false">
      <c r="B14" s="18" t="n">
        <v>3</v>
      </c>
      <c r="C14" s="32" t="s">
        <v>324</v>
      </c>
      <c r="D14" s="31" t="s">
        <v>136</v>
      </c>
      <c r="E14" s="32" t="s">
        <v>137</v>
      </c>
      <c r="F14" s="32" t="s">
        <v>138</v>
      </c>
      <c r="G14" s="32" t="n">
        <v>15</v>
      </c>
      <c r="H14" s="32" t="s">
        <v>104</v>
      </c>
      <c r="I14" s="32" t="s">
        <v>104</v>
      </c>
      <c r="J14" s="32" t="s">
        <v>383</v>
      </c>
      <c r="K14" s="34" t="n">
        <v>46333</v>
      </c>
      <c r="L14" s="20" t="str">
        <f aca="false">IF(C14="","",IF(OR(H14="Falha",I14="Falha",J14="Ruim"),"Reparar",IF(OR(H14="",I14=""),"Testar","Liberado")))</f>
        <v>Liberado</v>
      </c>
      <c r="M14" s="21" t="str">
        <f aca="false">IF(L14="","",IF(L14="Reparar","Tire de uso, marque e conserte ou descarte",IF(L14="Testar","Faça os dois testes antes do evento",IF(J14="Regular","Pode usar. Observe no próximo teste","Pode usar"))))</f>
        <v>Pode usar. Observe no próximo teste</v>
      </c>
      <c r="N14" s="31" t="s">
        <v>384</v>
      </c>
    </row>
    <row r="15" customFormat="false" ht="21.75" hidden="false" customHeight="true" outlineLevel="0" collapsed="false">
      <c r="B15" s="18" t="n">
        <v>4</v>
      </c>
      <c r="C15" s="32" t="s">
        <v>385</v>
      </c>
      <c r="D15" s="31" t="s">
        <v>136</v>
      </c>
      <c r="E15" s="32" t="s">
        <v>137</v>
      </c>
      <c r="F15" s="32" t="s">
        <v>138</v>
      </c>
      <c r="G15" s="32" t="n">
        <v>10</v>
      </c>
      <c r="H15" s="32" t="s">
        <v>104</v>
      </c>
      <c r="I15" s="32" t="s">
        <v>386</v>
      </c>
      <c r="J15" s="32" t="s">
        <v>139</v>
      </c>
      <c r="K15" s="34" t="n">
        <v>46333</v>
      </c>
      <c r="L15" s="20" t="str">
        <f aca="false">IF(C15="","",IF(OR(H15="Falha",I15="Falha",J15="Ruim"),"Reparar",IF(OR(H15="",I15=""),"Testar","Liberado")))</f>
        <v>Reparar</v>
      </c>
      <c r="M15" s="21" t="str">
        <f aca="false">IF(L15="","",IF(L15="Reparar","Tire de uso, marque e conserte ou descarte",IF(L15="Testar","Faça os dois testes antes do evento",IF(J15="Regular","Pode usar. Observe no próximo teste","Pode usar"))))</f>
        <v>Tire de uso, marque e conserte ou descarte</v>
      </c>
      <c r="N15" s="31" t="s">
        <v>387</v>
      </c>
    </row>
    <row r="16" customFormat="false" ht="21.75" hidden="false" customHeight="true" outlineLevel="0" collapsed="false">
      <c r="B16" s="18" t="n">
        <v>5</v>
      </c>
      <c r="C16" s="32" t="s">
        <v>388</v>
      </c>
      <c r="D16" s="31" t="s">
        <v>136</v>
      </c>
      <c r="E16" s="32" t="s">
        <v>137</v>
      </c>
      <c r="F16" s="32" t="s">
        <v>138</v>
      </c>
      <c r="G16" s="32" t="n">
        <v>5</v>
      </c>
      <c r="H16" s="32" t="s">
        <v>386</v>
      </c>
      <c r="I16" s="32"/>
      <c r="J16" s="32" t="s">
        <v>139</v>
      </c>
      <c r="K16" s="34" t="n">
        <v>46333</v>
      </c>
      <c r="L16" s="20" t="str">
        <f aca="false">IF(C16="","",IF(OR(H16="Falha",I16="Falha",J16="Ruim"),"Reparar",IF(OR(H16="",I16=""),"Testar","Liberado")))</f>
        <v>Reparar</v>
      </c>
      <c r="M16" s="21" t="str">
        <f aca="false">IF(L16="","",IF(L16="Reparar","Tire de uso, marque e conserte ou descarte",IF(L16="Testar","Faça os dois testes antes do evento",IF(J16="Regular","Pode usar. Observe no próximo teste","Pode usar"))))</f>
        <v>Tire de uso, marque e conserte ou descarte</v>
      </c>
      <c r="N16" s="31" t="s">
        <v>389</v>
      </c>
    </row>
    <row r="17" customFormat="false" ht="21.75" hidden="false" customHeight="true" outlineLevel="0" collapsed="false">
      <c r="B17" s="18" t="n">
        <v>6</v>
      </c>
      <c r="C17" s="32" t="s">
        <v>390</v>
      </c>
      <c r="D17" s="31" t="s">
        <v>152</v>
      </c>
      <c r="E17" s="32" t="s">
        <v>191</v>
      </c>
      <c r="F17" s="32" t="s">
        <v>191</v>
      </c>
      <c r="G17" s="32" t="n">
        <v>3</v>
      </c>
      <c r="H17" s="32" t="s">
        <v>104</v>
      </c>
      <c r="I17" s="32" t="s">
        <v>104</v>
      </c>
      <c r="J17" s="32" t="s">
        <v>139</v>
      </c>
      <c r="K17" s="34" t="n">
        <v>46333</v>
      </c>
      <c r="L17" s="20" t="str">
        <f aca="false">IF(C17="","",IF(OR(H17="Falha",I17="Falha",J17="Ruim"),"Reparar",IF(OR(H17="",I17=""),"Testar","Liberado")))</f>
        <v>Liberado</v>
      </c>
      <c r="M17" s="21" t="str">
        <f aca="false">IF(L17="","",IF(L17="Reparar","Tire de uso, marque e conserte ou descarte",IF(L17="Testar","Faça os dois testes antes do evento",IF(J17="Regular","Pode usar. Observe no próximo teste","Pode usar"))))</f>
        <v>Pode usar</v>
      </c>
      <c r="N17" s="31"/>
    </row>
    <row r="18" customFormat="false" ht="21.75" hidden="false" customHeight="true" outlineLevel="0" collapsed="false">
      <c r="B18" s="18" t="n">
        <v>7</v>
      </c>
      <c r="C18" s="32" t="s">
        <v>391</v>
      </c>
      <c r="D18" s="31" t="s">
        <v>152</v>
      </c>
      <c r="E18" s="32" t="s">
        <v>191</v>
      </c>
      <c r="F18" s="32" t="s">
        <v>191</v>
      </c>
      <c r="G18" s="32" t="n">
        <v>3</v>
      </c>
      <c r="H18" s="32" t="s">
        <v>104</v>
      </c>
      <c r="I18" s="32" t="s">
        <v>104</v>
      </c>
      <c r="J18" s="32" t="s">
        <v>392</v>
      </c>
      <c r="K18" s="34" t="n">
        <v>46333</v>
      </c>
      <c r="L18" s="20" t="str">
        <f aca="false">IF(C18="","",IF(OR(H18="Falha",I18="Falha",J18="Ruim"),"Reparar",IF(OR(H18="",I18=""),"Testar","Liberado")))</f>
        <v>Reparar</v>
      </c>
      <c r="M18" s="21" t="str">
        <f aca="false">IF(L18="","",IF(L18="Reparar","Tire de uso, marque e conserte ou descarte",IF(L18="Testar","Faça os dois testes antes do evento",IF(J18="Regular","Pode usar. Observe no próximo teste","Pode usar"))))</f>
        <v>Tire de uso, marque e conserte ou descarte</v>
      </c>
      <c r="N18" s="31" t="s">
        <v>393</v>
      </c>
    </row>
    <row r="19" customFormat="false" ht="21.75" hidden="false" customHeight="true" outlineLevel="0" collapsed="false">
      <c r="B19" s="18" t="n">
        <v>8</v>
      </c>
      <c r="C19" s="32" t="s">
        <v>352</v>
      </c>
      <c r="D19" s="31" t="s">
        <v>153</v>
      </c>
      <c r="E19" s="32" t="s">
        <v>137</v>
      </c>
      <c r="F19" s="32" t="s">
        <v>138</v>
      </c>
      <c r="G19" s="32" t="n">
        <v>15</v>
      </c>
      <c r="H19" s="32" t="s">
        <v>104</v>
      </c>
      <c r="I19" s="32" t="s">
        <v>104</v>
      </c>
      <c r="J19" s="32" t="s">
        <v>139</v>
      </c>
      <c r="K19" s="34" t="n">
        <v>46333</v>
      </c>
      <c r="L19" s="20" t="str">
        <f aca="false">IF(C19="","",IF(OR(H19="Falha",I19="Falha",J19="Ruim"),"Reparar",IF(OR(H19="",I19=""),"Testar","Liberado")))</f>
        <v>Liberado</v>
      </c>
      <c r="M19" s="21" t="str">
        <f aca="false">IF(L19="","",IF(L19="Reparar","Tire de uso, marque e conserte ou descarte",IF(L19="Testar","Faça os dois testes antes do evento",IF(J19="Regular","Pode usar. Observe no próximo teste","Pode usar"))))</f>
        <v>Pode usar</v>
      </c>
      <c r="N19" s="31"/>
    </row>
    <row r="20" customFormat="false" ht="21.75" hidden="false" customHeight="true" outlineLevel="0" collapsed="false">
      <c r="B20" s="18" t="n">
        <v>9</v>
      </c>
      <c r="C20" s="32" t="s">
        <v>394</v>
      </c>
      <c r="D20" s="31" t="s">
        <v>154</v>
      </c>
      <c r="E20" s="32" t="s">
        <v>207</v>
      </c>
      <c r="F20" s="32" t="s">
        <v>207</v>
      </c>
      <c r="G20" s="32" t="n">
        <v>10</v>
      </c>
      <c r="H20" s="32" t="s">
        <v>104</v>
      </c>
      <c r="I20" s="32" t="s">
        <v>104</v>
      </c>
      <c r="J20" s="32" t="s">
        <v>139</v>
      </c>
      <c r="K20" s="34" t="n">
        <v>46333</v>
      </c>
      <c r="L20" s="20" t="str">
        <f aca="false">IF(C20="","",IF(OR(H20="Falha",I20="Falha",J20="Ruim"),"Reparar",IF(OR(H20="",I20=""),"Testar","Liberado")))</f>
        <v>Liberado</v>
      </c>
      <c r="M20" s="21" t="str">
        <f aca="false">IF(L20="","",IF(L20="Reparar","Tire de uso, marque e conserte ou descarte",IF(L20="Testar","Faça os dois testes antes do evento",IF(J20="Regular","Pode usar. Observe no próximo teste","Pode usar"))))</f>
        <v>Pode usar</v>
      </c>
      <c r="N20" s="31"/>
    </row>
    <row r="21" customFormat="false" ht="21.75" hidden="false" customHeight="true" outlineLevel="0" collapsed="false">
      <c r="B21" s="18" t="n">
        <v>10</v>
      </c>
      <c r="C21" s="32" t="s">
        <v>395</v>
      </c>
      <c r="D21" s="31" t="s">
        <v>154</v>
      </c>
      <c r="E21" s="32" t="s">
        <v>207</v>
      </c>
      <c r="F21" s="32" t="s">
        <v>207</v>
      </c>
      <c r="G21" s="32" t="n">
        <v>10</v>
      </c>
      <c r="H21" s="32"/>
      <c r="I21" s="32"/>
      <c r="J21" s="32" t="s">
        <v>139</v>
      </c>
      <c r="K21" s="34"/>
      <c r="L21" s="20" t="str">
        <f aca="false">IF(C21="","",IF(OR(H21="Falha",I21="Falha",J21="Ruim"),"Reparar",IF(OR(H21="",I21=""),"Testar","Liberado")))</f>
        <v>Testar</v>
      </c>
      <c r="M21" s="21" t="str">
        <f aca="false">IF(L21="","",IF(L21="Reparar","Tire de uso, marque e conserte ou descarte",IF(L21="Testar","Faça os dois testes antes do evento",IF(J21="Regular","Pode usar. Observe no próximo teste","Pode usar"))))</f>
        <v>Faça os dois testes antes do evento</v>
      </c>
      <c r="N21" s="31" t="s">
        <v>396</v>
      </c>
    </row>
    <row r="22" customFormat="false" ht="21.75" hidden="false" customHeight="true" outlineLevel="0" collapsed="false">
      <c r="B22" s="18" t="n">
        <v>11</v>
      </c>
      <c r="C22" s="32"/>
      <c r="D22" s="31"/>
      <c r="E22" s="32"/>
      <c r="F22" s="32"/>
      <c r="G22" s="32"/>
      <c r="H22" s="32"/>
      <c r="I22" s="32"/>
      <c r="J22" s="32"/>
      <c r="K22" s="34"/>
      <c r="L22" s="20" t="str">
        <f aca="false">IF(C22="","",IF(OR(H22="Falha",I22="Falha",J22="Ruim"),"Reparar",IF(OR(H22="",I22=""),"Testar","Liberado")))</f>
        <v/>
      </c>
      <c r="M22" s="21" t="str">
        <f aca="false">IF(L22="","",IF(L22="Reparar","Tire de uso, marque e conserte ou descarte",IF(L22="Testar","Faça os dois testes antes do evento",IF(J22="Regular","Pode usar. Observe no próximo teste","Pode usar"))))</f>
        <v/>
      </c>
      <c r="N22" s="31"/>
    </row>
    <row r="23" customFormat="false" ht="21.75" hidden="false" customHeight="true" outlineLevel="0" collapsed="false">
      <c r="B23" s="18" t="n">
        <v>12</v>
      </c>
      <c r="C23" s="32"/>
      <c r="D23" s="31"/>
      <c r="E23" s="32"/>
      <c r="F23" s="32"/>
      <c r="G23" s="32"/>
      <c r="H23" s="32"/>
      <c r="I23" s="32"/>
      <c r="J23" s="32"/>
      <c r="K23" s="34"/>
      <c r="L23" s="20" t="str">
        <f aca="false">IF(C23="","",IF(OR(H23="Falha",I23="Falha",J23="Ruim"),"Reparar",IF(OR(H23="",I23=""),"Testar","Liberado")))</f>
        <v/>
      </c>
      <c r="M23" s="21" t="str">
        <f aca="false">IF(L23="","",IF(L23="Reparar","Tire de uso, marque e conserte ou descarte",IF(L23="Testar","Faça os dois testes antes do evento",IF(J23="Regular","Pode usar. Observe no próximo teste","Pode usar"))))</f>
        <v/>
      </c>
      <c r="N23" s="31"/>
    </row>
    <row r="24" customFormat="false" ht="21.75" hidden="false" customHeight="true" outlineLevel="0" collapsed="false">
      <c r="B24" s="18" t="n">
        <v>13</v>
      </c>
      <c r="C24" s="32"/>
      <c r="D24" s="31"/>
      <c r="E24" s="32"/>
      <c r="F24" s="32"/>
      <c r="G24" s="32"/>
      <c r="H24" s="32"/>
      <c r="I24" s="32"/>
      <c r="J24" s="32"/>
      <c r="K24" s="34"/>
      <c r="L24" s="20" t="str">
        <f aca="false">IF(C24="","",IF(OR(H24="Falha",I24="Falha",J24="Ruim"),"Reparar",IF(OR(H24="",I24=""),"Testar","Liberado")))</f>
        <v/>
      </c>
      <c r="M24" s="21" t="str">
        <f aca="false">IF(L24="","",IF(L24="Reparar","Tire de uso, marque e conserte ou descarte",IF(L24="Testar","Faça os dois testes antes do evento",IF(J24="Regular","Pode usar. Observe no próximo teste","Pode usar"))))</f>
        <v/>
      </c>
      <c r="N24" s="31"/>
    </row>
    <row r="25" customFormat="false" ht="21.75" hidden="false" customHeight="true" outlineLevel="0" collapsed="false">
      <c r="B25" s="18" t="n">
        <v>14</v>
      </c>
      <c r="C25" s="32"/>
      <c r="D25" s="31"/>
      <c r="E25" s="32"/>
      <c r="F25" s="32"/>
      <c r="G25" s="32"/>
      <c r="H25" s="32"/>
      <c r="I25" s="32"/>
      <c r="J25" s="32"/>
      <c r="K25" s="34"/>
      <c r="L25" s="20" t="str">
        <f aca="false">IF(C25="","",IF(OR(H25="Falha",I25="Falha",J25="Ruim"),"Reparar",IF(OR(H25="",I25=""),"Testar","Liberado")))</f>
        <v/>
      </c>
      <c r="M25" s="21" t="str">
        <f aca="false">IF(L25="","",IF(L25="Reparar","Tire de uso, marque e conserte ou descarte",IF(L25="Testar","Faça os dois testes antes do evento",IF(J25="Regular","Pode usar. Observe no próximo teste","Pode usar"))))</f>
        <v/>
      </c>
      <c r="N25" s="31"/>
    </row>
    <row r="26" customFormat="false" ht="21.75" hidden="false" customHeight="true" outlineLevel="0" collapsed="false">
      <c r="B26" s="18" t="n">
        <v>15</v>
      </c>
      <c r="C26" s="32"/>
      <c r="D26" s="31"/>
      <c r="E26" s="32"/>
      <c r="F26" s="32"/>
      <c r="G26" s="32"/>
      <c r="H26" s="32"/>
      <c r="I26" s="32"/>
      <c r="J26" s="32"/>
      <c r="K26" s="34"/>
      <c r="L26" s="20" t="str">
        <f aca="false">IF(C26="","",IF(OR(H26="Falha",I26="Falha",J26="Ruim"),"Reparar",IF(OR(H26="",I26=""),"Testar","Liberado")))</f>
        <v/>
      </c>
      <c r="M26" s="21" t="str">
        <f aca="false">IF(L26="","",IF(L26="Reparar","Tire de uso, marque e conserte ou descarte",IF(L26="Testar","Faça os dois testes antes do evento",IF(J26="Regular","Pode usar. Observe no próximo teste","Pode usar"))))</f>
        <v/>
      </c>
      <c r="N26" s="31"/>
    </row>
    <row r="27" customFormat="false" ht="21.75" hidden="false" customHeight="true" outlineLevel="0" collapsed="false">
      <c r="B27" s="18" t="n">
        <v>16</v>
      </c>
      <c r="C27" s="32"/>
      <c r="D27" s="31"/>
      <c r="E27" s="32"/>
      <c r="F27" s="32"/>
      <c r="G27" s="32"/>
      <c r="H27" s="32"/>
      <c r="I27" s="32"/>
      <c r="J27" s="32"/>
      <c r="K27" s="34"/>
      <c r="L27" s="20" t="str">
        <f aca="false">IF(C27="","",IF(OR(H27="Falha",I27="Falha",J27="Ruim"),"Reparar",IF(OR(H27="",I27=""),"Testar","Liberado")))</f>
        <v/>
      </c>
      <c r="M27" s="21" t="str">
        <f aca="false">IF(L27="","",IF(L27="Reparar","Tire de uso, marque e conserte ou descarte",IF(L27="Testar","Faça os dois testes antes do evento",IF(J27="Regular","Pode usar. Observe no próximo teste","Pode usar"))))</f>
        <v/>
      </c>
      <c r="N27" s="31"/>
    </row>
    <row r="28" customFormat="false" ht="21.75" hidden="false" customHeight="true" outlineLevel="0" collapsed="false">
      <c r="B28" s="18" t="n">
        <v>17</v>
      </c>
      <c r="C28" s="32"/>
      <c r="D28" s="31"/>
      <c r="E28" s="32"/>
      <c r="F28" s="32"/>
      <c r="G28" s="32"/>
      <c r="H28" s="32"/>
      <c r="I28" s="32"/>
      <c r="J28" s="32"/>
      <c r="K28" s="34"/>
      <c r="L28" s="20" t="str">
        <f aca="false">IF(C28="","",IF(OR(H28="Falha",I28="Falha",J28="Ruim"),"Reparar",IF(OR(H28="",I28=""),"Testar","Liberado")))</f>
        <v/>
      </c>
      <c r="M28" s="21" t="str">
        <f aca="false">IF(L28="","",IF(L28="Reparar","Tire de uso, marque e conserte ou descarte",IF(L28="Testar","Faça os dois testes antes do evento",IF(J28="Regular","Pode usar. Observe no próximo teste","Pode usar"))))</f>
        <v/>
      </c>
      <c r="N28" s="31"/>
    </row>
    <row r="29" customFormat="false" ht="21.75" hidden="false" customHeight="true" outlineLevel="0" collapsed="false">
      <c r="B29" s="18" t="n">
        <v>18</v>
      </c>
      <c r="C29" s="32"/>
      <c r="D29" s="31"/>
      <c r="E29" s="32"/>
      <c r="F29" s="32"/>
      <c r="G29" s="32"/>
      <c r="H29" s="32"/>
      <c r="I29" s="32"/>
      <c r="J29" s="32"/>
      <c r="K29" s="34"/>
      <c r="L29" s="20" t="str">
        <f aca="false">IF(C29="","",IF(OR(H29="Falha",I29="Falha",J29="Ruim"),"Reparar",IF(OR(H29="",I29=""),"Testar","Liberado")))</f>
        <v/>
      </c>
      <c r="M29" s="21" t="str">
        <f aca="false">IF(L29="","",IF(L29="Reparar","Tire de uso, marque e conserte ou descarte",IF(L29="Testar","Faça os dois testes antes do evento",IF(J29="Regular","Pode usar. Observe no próximo teste","Pode usar"))))</f>
        <v/>
      </c>
      <c r="N29" s="31"/>
    </row>
    <row r="30" customFormat="false" ht="21.75" hidden="false" customHeight="true" outlineLevel="0" collapsed="false">
      <c r="B30" s="18" t="n">
        <v>19</v>
      </c>
      <c r="C30" s="32"/>
      <c r="D30" s="31"/>
      <c r="E30" s="32"/>
      <c r="F30" s="32"/>
      <c r="G30" s="32"/>
      <c r="H30" s="32"/>
      <c r="I30" s="32"/>
      <c r="J30" s="32"/>
      <c r="K30" s="34"/>
      <c r="L30" s="20" t="str">
        <f aca="false">IF(C30="","",IF(OR(H30="Falha",I30="Falha",J30="Ruim"),"Reparar",IF(OR(H30="",I30=""),"Testar","Liberado")))</f>
        <v/>
      </c>
      <c r="M30" s="21" t="str">
        <f aca="false">IF(L30="","",IF(L30="Reparar","Tire de uso, marque e conserte ou descarte",IF(L30="Testar","Faça os dois testes antes do evento",IF(J30="Regular","Pode usar. Observe no próximo teste","Pode usar"))))</f>
        <v/>
      </c>
      <c r="N30" s="31"/>
    </row>
    <row r="31" customFormat="false" ht="21.75" hidden="false" customHeight="true" outlineLevel="0" collapsed="false">
      <c r="B31" s="18" t="n">
        <v>20</v>
      </c>
      <c r="C31" s="32"/>
      <c r="D31" s="31"/>
      <c r="E31" s="32"/>
      <c r="F31" s="32"/>
      <c r="G31" s="32"/>
      <c r="H31" s="32"/>
      <c r="I31" s="32"/>
      <c r="J31" s="32"/>
      <c r="K31" s="34"/>
      <c r="L31" s="20" t="str">
        <f aca="false">IF(C31="","",IF(OR(H31="Falha",I31="Falha",J31="Ruim"),"Reparar",IF(OR(H31="",I31=""),"Testar","Liberado")))</f>
        <v/>
      </c>
      <c r="M31" s="21" t="str">
        <f aca="false">IF(L31="","",IF(L31="Reparar","Tire de uso, marque e conserte ou descarte",IF(L31="Testar","Faça os dois testes antes do evento",IF(J31="Regular","Pode usar. Observe no próximo teste","Pode usar"))))</f>
        <v/>
      </c>
      <c r="N31" s="31"/>
    </row>
    <row r="32" customFormat="false" ht="21.75" hidden="false" customHeight="true" outlineLevel="0" collapsed="false">
      <c r="B32" s="18" t="n">
        <v>21</v>
      </c>
      <c r="C32" s="32"/>
      <c r="D32" s="31"/>
      <c r="E32" s="32"/>
      <c r="F32" s="32"/>
      <c r="G32" s="32"/>
      <c r="H32" s="32"/>
      <c r="I32" s="32"/>
      <c r="J32" s="32"/>
      <c r="K32" s="34"/>
      <c r="L32" s="20" t="str">
        <f aca="false">IF(C32="","",IF(OR(H32="Falha",I32="Falha",J32="Ruim"),"Reparar",IF(OR(H32="",I32=""),"Testar","Liberado")))</f>
        <v/>
      </c>
      <c r="M32" s="21" t="str">
        <f aca="false">IF(L32="","",IF(L32="Reparar","Tire de uso, marque e conserte ou descarte",IF(L32="Testar","Faça os dois testes antes do evento",IF(J32="Regular","Pode usar. Observe no próximo teste","Pode usar"))))</f>
        <v/>
      </c>
      <c r="N32" s="31"/>
    </row>
    <row r="33" customFormat="false" ht="21.75" hidden="false" customHeight="true" outlineLevel="0" collapsed="false">
      <c r="B33" s="18" t="n">
        <v>22</v>
      </c>
      <c r="C33" s="32"/>
      <c r="D33" s="31"/>
      <c r="E33" s="32"/>
      <c r="F33" s="32"/>
      <c r="G33" s="32"/>
      <c r="H33" s="32"/>
      <c r="I33" s="32"/>
      <c r="J33" s="32"/>
      <c r="K33" s="34"/>
      <c r="L33" s="20" t="str">
        <f aca="false">IF(C33="","",IF(OR(H33="Falha",I33="Falha",J33="Ruim"),"Reparar",IF(OR(H33="",I33=""),"Testar","Liberado")))</f>
        <v/>
      </c>
      <c r="M33" s="21" t="str">
        <f aca="false">IF(L33="","",IF(L33="Reparar","Tire de uso, marque e conserte ou descarte",IF(L33="Testar","Faça os dois testes antes do evento",IF(J33="Regular","Pode usar. Observe no próximo teste","Pode usar"))))</f>
        <v/>
      </c>
      <c r="N33" s="31"/>
    </row>
    <row r="34" customFormat="false" ht="21.75" hidden="false" customHeight="true" outlineLevel="0" collapsed="false">
      <c r="B34" s="18" t="n">
        <v>23</v>
      </c>
      <c r="C34" s="32"/>
      <c r="D34" s="31"/>
      <c r="E34" s="32"/>
      <c r="F34" s="32"/>
      <c r="G34" s="32"/>
      <c r="H34" s="32"/>
      <c r="I34" s="32"/>
      <c r="J34" s="32"/>
      <c r="K34" s="34"/>
      <c r="L34" s="20" t="str">
        <f aca="false">IF(C34="","",IF(OR(H34="Falha",I34="Falha",J34="Ruim"),"Reparar",IF(OR(H34="",I34=""),"Testar","Liberado")))</f>
        <v/>
      </c>
      <c r="M34" s="21" t="str">
        <f aca="false">IF(L34="","",IF(L34="Reparar","Tire de uso, marque e conserte ou descarte",IF(L34="Testar","Faça os dois testes antes do evento",IF(J34="Regular","Pode usar. Observe no próximo teste","Pode usar"))))</f>
        <v/>
      </c>
      <c r="N34" s="31"/>
    </row>
    <row r="35" customFormat="false" ht="21.75" hidden="false" customHeight="true" outlineLevel="0" collapsed="false">
      <c r="B35" s="18" t="n">
        <v>24</v>
      </c>
      <c r="C35" s="32"/>
      <c r="D35" s="31"/>
      <c r="E35" s="32"/>
      <c r="F35" s="32"/>
      <c r="G35" s="32"/>
      <c r="H35" s="32"/>
      <c r="I35" s="32"/>
      <c r="J35" s="32"/>
      <c r="K35" s="34"/>
      <c r="L35" s="20" t="str">
        <f aca="false">IF(C35="","",IF(OR(H35="Falha",I35="Falha",J35="Ruim"),"Reparar",IF(OR(H35="",I35=""),"Testar","Liberado")))</f>
        <v/>
      </c>
      <c r="M35" s="21" t="str">
        <f aca="false">IF(L35="","",IF(L35="Reparar","Tire de uso, marque e conserte ou descarte",IF(L35="Testar","Faça os dois testes antes do evento",IF(J35="Regular","Pode usar. Observe no próximo teste","Pode usar"))))</f>
        <v/>
      </c>
      <c r="N35" s="31"/>
    </row>
    <row r="36" customFormat="false" ht="21.75" hidden="false" customHeight="true" outlineLevel="0" collapsed="false">
      <c r="B36" s="18" t="n">
        <v>25</v>
      </c>
      <c r="C36" s="32"/>
      <c r="D36" s="31"/>
      <c r="E36" s="32"/>
      <c r="F36" s="32"/>
      <c r="G36" s="32"/>
      <c r="H36" s="32"/>
      <c r="I36" s="32"/>
      <c r="J36" s="32"/>
      <c r="K36" s="34"/>
      <c r="L36" s="20" t="str">
        <f aca="false">IF(C36="","",IF(OR(H36="Falha",I36="Falha",J36="Ruim"),"Reparar",IF(OR(H36="",I36=""),"Testar","Liberado")))</f>
        <v/>
      </c>
      <c r="M36" s="21" t="str">
        <f aca="false">IF(L36="","",IF(L36="Reparar","Tire de uso, marque e conserte ou descarte",IF(L36="Testar","Faça os dois testes antes do evento",IF(J36="Regular","Pode usar. Observe no próximo teste","Pode usar"))))</f>
        <v/>
      </c>
      <c r="N36" s="31"/>
    </row>
    <row r="37" customFormat="false" ht="21.75" hidden="false" customHeight="true" outlineLevel="0" collapsed="false">
      <c r="B37" s="18" t="n">
        <v>26</v>
      </c>
      <c r="C37" s="32"/>
      <c r="D37" s="31"/>
      <c r="E37" s="32"/>
      <c r="F37" s="32"/>
      <c r="G37" s="32"/>
      <c r="H37" s="32"/>
      <c r="I37" s="32"/>
      <c r="J37" s="32"/>
      <c r="K37" s="34"/>
      <c r="L37" s="20" t="str">
        <f aca="false">IF(C37="","",IF(OR(H37="Falha",I37="Falha",J37="Ruim"),"Reparar",IF(OR(H37="",I37=""),"Testar","Liberado")))</f>
        <v/>
      </c>
      <c r="M37" s="21" t="str">
        <f aca="false">IF(L37="","",IF(L37="Reparar","Tire de uso, marque e conserte ou descarte",IF(L37="Testar","Faça os dois testes antes do evento",IF(J37="Regular","Pode usar. Observe no próximo teste","Pode usar"))))</f>
        <v/>
      </c>
      <c r="N37" s="31"/>
    </row>
    <row r="38" customFormat="false" ht="21.75" hidden="false" customHeight="true" outlineLevel="0" collapsed="false">
      <c r="B38" s="18" t="n">
        <v>27</v>
      </c>
      <c r="C38" s="32"/>
      <c r="D38" s="31"/>
      <c r="E38" s="32"/>
      <c r="F38" s="32"/>
      <c r="G38" s="32"/>
      <c r="H38" s="32"/>
      <c r="I38" s="32"/>
      <c r="J38" s="32"/>
      <c r="K38" s="34"/>
      <c r="L38" s="20" t="str">
        <f aca="false">IF(C38="","",IF(OR(H38="Falha",I38="Falha",J38="Ruim"),"Reparar",IF(OR(H38="",I38=""),"Testar","Liberado")))</f>
        <v/>
      </c>
      <c r="M38" s="21" t="str">
        <f aca="false">IF(L38="","",IF(L38="Reparar","Tire de uso, marque e conserte ou descarte",IF(L38="Testar","Faça os dois testes antes do evento",IF(J38="Regular","Pode usar. Observe no próximo teste","Pode usar"))))</f>
        <v/>
      </c>
      <c r="N38" s="31"/>
    </row>
    <row r="39" customFormat="false" ht="21.75" hidden="false" customHeight="true" outlineLevel="0" collapsed="false">
      <c r="B39" s="18" t="n">
        <v>28</v>
      </c>
      <c r="C39" s="32"/>
      <c r="D39" s="31"/>
      <c r="E39" s="32"/>
      <c r="F39" s="32"/>
      <c r="G39" s="32"/>
      <c r="H39" s="32"/>
      <c r="I39" s="32"/>
      <c r="J39" s="32"/>
      <c r="K39" s="34"/>
      <c r="L39" s="20" t="str">
        <f aca="false">IF(C39="","",IF(OR(H39="Falha",I39="Falha",J39="Ruim"),"Reparar",IF(OR(H39="",I39=""),"Testar","Liberado")))</f>
        <v/>
      </c>
      <c r="M39" s="21" t="str">
        <f aca="false">IF(L39="","",IF(L39="Reparar","Tire de uso, marque e conserte ou descarte",IF(L39="Testar","Faça os dois testes antes do evento",IF(J39="Regular","Pode usar. Observe no próximo teste","Pode usar"))))</f>
        <v/>
      </c>
      <c r="N39" s="31"/>
    </row>
    <row r="40" customFormat="false" ht="21.75" hidden="false" customHeight="true" outlineLevel="0" collapsed="false">
      <c r="B40" s="18" t="n">
        <v>29</v>
      </c>
      <c r="C40" s="32"/>
      <c r="D40" s="31"/>
      <c r="E40" s="32"/>
      <c r="F40" s="32"/>
      <c r="G40" s="32"/>
      <c r="H40" s="32"/>
      <c r="I40" s="32"/>
      <c r="J40" s="32"/>
      <c r="K40" s="34"/>
      <c r="L40" s="20" t="str">
        <f aca="false">IF(C40="","",IF(OR(H40="Falha",I40="Falha",J40="Ruim"),"Reparar",IF(OR(H40="",I40=""),"Testar","Liberado")))</f>
        <v/>
      </c>
      <c r="M40" s="21" t="str">
        <f aca="false">IF(L40="","",IF(L40="Reparar","Tire de uso, marque e conserte ou descarte",IF(L40="Testar","Faça os dois testes antes do evento",IF(J40="Regular","Pode usar. Observe no próximo teste","Pode usar"))))</f>
        <v/>
      </c>
      <c r="N40" s="31"/>
    </row>
    <row r="41" customFormat="false" ht="21.75" hidden="false" customHeight="true" outlineLevel="0" collapsed="false">
      <c r="B41" s="18" t="n">
        <v>30</v>
      </c>
      <c r="C41" s="32"/>
      <c r="D41" s="31"/>
      <c r="E41" s="32"/>
      <c r="F41" s="32"/>
      <c r="G41" s="32"/>
      <c r="H41" s="32"/>
      <c r="I41" s="32"/>
      <c r="J41" s="32"/>
      <c r="K41" s="34"/>
      <c r="L41" s="20" t="str">
        <f aca="false">IF(C41="","",IF(OR(H41="Falha",I41="Falha",J41="Ruim"),"Reparar",IF(OR(H41="",I41=""),"Testar","Liberado")))</f>
        <v/>
      </c>
      <c r="M41" s="21" t="str">
        <f aca="false">IF(L41="","",IF(L41="Reparar","Tire de uso, marque e conserte ou descarte",IF(L41="Testar","Faça os dois testes antes do evento",IF(J41="Regular","Pode usar. Observe no próximo teste","Pode usar"))))</f>
        <v/>
      </c>
      <c r="N41" s="31"/>
    </row>
    <row r="42" customFormat="false" ht="21.75" hidden="false" customHeight="true" outlineLevel="0" collapsed="false">
      <c r="B42" s="18" t="n">
        <v>31</v>
      </c>
      <c r="C42" s="32"/>
      <c r="D42" s="31"/>
      <c r="E42" s="32"/>
      <c r="F42" s="32"/>
      <c r="G42" s="32"/>
      <c r="H42" s="32"/>
      <c r="I42" s="32"/>
      <c r="J42" s="32"/>
      <c r="K42" s="34"/>
      <c r="L42" s="20" t="str">
        <f aca="false">IF(C42="","",IF(OR(H42="Falha",I42="Falha",J42="Ruim"),"Reparar",IF(OR(H42="",I42=""),"Testar","Liberado")))</f>
        <v/>
      </c>
      <c r="M42" s="21" t="str">
        <f aca="false">IF(L42="","",IF(L42="Reparar","Tire de uso, marque e conserte ou descarte",IF(L42="Testar","Faça os dois testes antes do evento",IF(J42="Regular","Pode usar. Observe no próximo teste","Pode usar"))))</f>
        <v/>
      </c>
      <c r="N42" s="31"/>
    </row>
    <row r="43" customFormat="false" ht="21.75" hidden="false" customHeight="true" outlineLevel="0" collapsed="false">
      <c r="B43" s="18" t="n">
        <v>32</v>
      </c>
      <c r="C43" s="32"/>
      <c r="D43" s="31"/>
      <c r="E43" s="32"/>
      <c r="F43" s="32"/>
      <c r="G43" s="32"/>
      <c r="H43" s="32"/>
      <c r="I43" s="32"/>
      <c r="J43" s="32"/>
      <c r="K43" s="34"/>
      <c r="L43" s="20" t="str">
        <f aca="false">IF(C43="","",IF(OR(H43="Falha",I43="Falha",J43="Ruim"),"Reparar",IF(OR(H43="",I43=""),"Testar","Liberado")))</f>
        <v/>
      </c>
      <c r="M43" s="21" t="str">
        <f aca="false">IF(L43="","",IF(L43="Reparar","Tire de uso, marque e conserte ou descarte",IF(L43="Testar","Faça os dois testes antes do evento",IF(J43="Regular","Pode usar. Observe no próximo teste","Pode usar"))))</f>
        <v/>
      </c>
      <c r="N43" s="31"/>
    </row>
    <row r="44" customFormat="false" ht="21.75" hidden="false" customHeight="true" outlineLevel="0" collapsed="false">
      <c r="B44" s="18" t="n">
        <v>33</v>
      </c>
      <c r="C44" s="32"/>
      <c r="D44" s="31"/>
      <c r="E44" s="32"/>
      <c r="F44" s="32"/>
      <c r="G44" s="32"/>
      <c r="H44" s="32"/>
      <c r="I44" s="32"/>
      <c r="J44" s="32"/>
      <c r="K44" s="34"/>
      <c r="L44" s="20" t="str">
        <f aca="false">IF(C44="","",IF(OR(H44="Falha",I44="Falha",J44="Ruim"),"Reparar",IF(OR(H44="",I44=""),"Testar","Liberado")))</f>
        <v/>
      </c>
      <c r="M44" s="21" t="str">
        <f aca="false">IF(L44="","",IF(L44="Reparar","Tire de uso, marque e conserte ou descarte",IF(L44="Testar","Faça os dois testes antes do evento",IF(J44="Regular","Pode usar. Observe no próximo teste","Pode usar"))))</f>
        <v/>
      </c>
      <c r="N44" s="31"/>
    </row>
    <row r="45" customFormat="false" ht="21.75" hidden="false" customHeight="true" outlineLevel="0" collapsed="false">
      <c r="B45" s="18" t="n">
        <v>34</v>
      </c>
      <c r="C45" s="32"/>
      <c r="D45" s="31"/>
      <c r="E45" s="32"/>
      <c r="F45" s="32"/>
      <c r="G45" s="32"/>
      <c r="H45" s="32"/>
      <c r="I45" s="32"/>
      <c r="J45" s="32"/>
      <c r="K45" s="34"/>
      <c r="L45" s="20" t="str">
        <f aca="false">IF(C45="","",IF(OR(H45="Falha",I45="Falha",J45="Ruim"),"Reparar",IF(OR(H45="",I45=""),"Testar","Liberado")))</f>
        <v/>
      </c>
      <c r="M45" s="21" t="str">
        <f aca="false">IF(L45="","",IF(L45="Reparar","Tire de uso, marque e conserte ou descarte",IF(L45="Testar","Faça os dois testes antes do evento",IF(J45="Regular","Pode usar. Observe no próximo teste","Pode usar"))))</f>
        <v/>
      </c>
      <c r="N45" s="31"/>
    </row>
    <row r="46" customFormat="false" ht="21.75" hidden="false" customHeight="true" outlineLevel="0" collapsed="false">
      <c r="B46" s="18" t="n">
        <v>35</v>
      </c>
      <c r="C46" s="32"/>
      <c r="D46" s="31"/>
      <c r="E46" s="32"/>
      <c r="F46" s="32"/>
      <c r="G46" s="32"/>
      <c r="H46" s="32"/>
      <c r="I46" s="32"/>
      <c r="J46" s="32"/>
      <c r="K46" s="34"/>
      <c r="L46" s="20" t="str">
        <f aca="false">IF(C46="","",IF(OR(H46="Falha",I46="Falha",J46="Ruim"),"Reparar",IF(OR(H46="",I46=""),"Testar","Liberado")))</f>
        <v/>
      </c>
      <c r="M46" s="21" t="str">
        <f aca="false">IF(L46="","",IF(L46="Reparar","Tire de uso, marque e conserte ou descarte",IF(L46="Testar","Faça os dois testes antes do evento",IF(J46="Regular","Pode usar. Observe no próximo teste","Pode usar"))))</f>
        <v/>
      </c>
      <c r="N46" s="31"/>
    </row>
    <row r="47" customFormat="false" ht="21.75" hidden="false" customHeight="true" outlineLevel="0" collapsed="false">
      <c r="B47" s="18" t="n">
        <v>36</v>
      </c>
      <c r="C47" s="32"/>
      <c r="D47" s="31"/>
      <c r="E47" s="32"/>
      <c r="F47" s="32"/>
      <c r="G47" s="32"/>
      <c r="H47" s="32"/>
      <c r="I47" s="32"/>
      <c r="J47" s="32"/>
      <c r="K47" s="34"/>
      <c r="L47" s="20" t="str">
        <f aca="false">IF(C47="","",IF(OR(H47="Falha",I47="Falha",J47="Ruim"),"Reparar",IF(OR(H47="",I47=""),"Testar","Liberado")))</f>
        <v/>
      </c>
      <c r="M47" s="21" t="str">
        <f aca="false">IF(L47="","",IF(L47="Reparar","Tire de uso, marque e conserte ou descarte",IF(L47="Testar","Faça os dois testes antes do evento",IF(J47="Regular","Pode usar. Observe no próximo teste","Pode usar"))))</f>
        <v/>
      </c>
      <c r="N47" s="31"/>
    </row>
    <row r="48" customFormat="false" ht="21.75" hidden="false" customHeight="true" outlineLevel="0" collapsed="false">
      <c r="B48" s="18" t="n">
        <v>37</v>
      </c>
      <c r="C48" s="32"/>
      <c r="D48" s="31"/>
      <c r="E48" s="32"/>
      <c r="F48" s="32"/>
      <c r="G48" s="32"/>
      <c r="H48" s="32"/>
      <c r="I48" s="32"/>
      <c r="J48" s="32"/>
      <c r="K48" s="34"/>
      <c r="L48" s="20" t="str">
        <f aca="false">IF(C48="","",IF(OR(H48="Falha",I48="Falha",J48="Ruim"),"Reparar",IF(OR(H48="",I48=""),"Testar","Liberado")))</f>
        <v/>
      </c>
      <c r="M48" s="21" t="str">
        <f aca="false">IF(L48="","",IF(L48="Reparar","Tire de uso, marque e conserte ou descarte",IF(L48="Testar","Faça os dois testes antes do evento",IF(J48="Regular","Pode usar. Observe no próximo teste","Pode usar"))))</f>
        <v/>
      </c>
      <c r="N48" s="31"/>
    </row>
    <row r="49" customFormat="false" ht="21.75" hidden="false" customHeight="true" outlineLevel="0" collapsed="false">
      <c r="B49" s="18" t="n">
        <v>38</v>
      </c>
      <c r="C49" s="32"/>
      <c r="D49" s="31"/>
      <c r="E49" s="32"/>
      <c r="F49" s="32"/>
      <c r="G49" s="32"/>
      <c r="H49" s="32"/>
      <c r="I49" s="32"/>
      <c r="J49" s="32"/>
      <c r="K49" s="34"/>
      <c r="L49" s="20" t="str">
        <f aca="false">IF(C49="","",IF(OR(H49="Falha",I49="Falha",J49="Ruim"),"Reparar",IF(OR(H49="",I49=""),"Testar","Liberado")))</f>
        <v/>
      </c>
      <c r="M49" s="21" t="str">
        <f aca="false">IF(L49="","",IF(L49="Reparar","Tire de uso, marque e conserte ou descarte",IF(L49="Testar","Faça os dois testes antes do evento",IF(J49="Regular","Pode usar. Observe no próximo teste","Pode usar"))))</f>
        <v/>
      </c>
      <c r="N49" s="31"/>
    </row>
    <row r="50" customFormat="false" ht="21.75" hidden="false" customHeight="true" outlineLevel="0" collapsed="false">
      <c r="B50" s="18" t="n">
        <v>39</v>
      </c>
      <c r="C50" s="32"/>
      <c r="D50" s="31"/>
      <c r="E50" s="32"/>
      <c r="F50" s="32"/>
      <c r="G50" s="32"/>
      <c r="H50" s="32"/>
      <c r="I50" s="32"/>
      <c r="J50" s="32"/>
      <c r="K50" s="34"/>
      <c r="L50" s="20" t="str">
        <f aca="false">IF(C50="","",IF(OR(H50="Falha",I50="Falha",J50="Ruim"),"Reparar",IF(OR(H50="",I50=""),"Testar","Liberado")))</f>
        <v/>
      </c>
      <c r="M50" s="21" t="str">
        <f aca="false">IF(L50="","",IF(L50="Reparar","Tire de uso, marque e conserte ou descarte",IF(L50="Testar","Faça os dois testes antes do evento",IF(J50="Regular","Pode usar. Observe no próximo teste","Pode usar"))))</f>
        <v/>
      </c>
      <c r="N50" s="31"/>
    </row>
    <row r="51" customFormat="false" ht="21.75" hidden="false" customHeight="true" outlineLevel="0" collapsed="false">
      <c r="B51" s="18" t="n">
        <v>40</v>
      </c>
      <c r="C51" s="32"/>
      <c r="D51" s="31"/>
      <c r="E51" s="32"/>
      <c r="F51" s="32"/>
      <c r="G51" s="32"/>
      <c r="H51" s="32"/>
      <c r="I51" s="32"/>
      <c r="J51" s="32"/>
      <c r="K51" s="34"/>
      <c r="L51" s="20" t="str">
        <f aca="false">IF(C51="","",IF(OR(H51="Falha",I51="Falha",J51="Ruim"),"Reparar",IF(OR(H51="",I51=""),"Testar","Liberado")))</f>
        <v/>
      </c>
      <c r="M51" s="21" t="str">
        <f aca="false">IF(L51="","",IF(L51="Reparar","Tire de uso, marque e conserte ou descarte",IF(L51="Testar","Faça os dois testes antes do evento",IF(J51="Regular","Pode usar. Observe no próximo teste","Pode usar"))))</f>
        <v/>
      </c>
      <c r="N51" s="31"/>
    </row>
    <row r="53" customFormat="false" ht="21.75" hidden="false" customHeight="true" outlineLevel="0" collapsed="false">
      <c r="B53" s="12" t="s">
        <v>106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customFormat="false" ht="19.5" hidden="false" customHeight="true" outlineLevel="0" collapsed="false">
      <c r="B54" s="22" t="s">
        <v>142</v>
      </c>
      <c r="C54" s="22"/>
      <c r="D54" s="22"/>
      <c r="E54" s="8" t="n">
        <f aca="false">COUNTA(C12:C51)</f>
        <v>10</v>
      </c>
    </row>
    <row r="55" customFormat="false" ht="19.5" hidden="false" customHeight="true" outlineLevel="0" collapsed="false">
      <c r="B55" s="22" t="s">
        <v>143</v>
      </c>
      <c r="C55" s="22"/>
      <c r="D55" s="22"/>
      <c r="E55" s="8" t="n">
        <f aca="false">COUNTIF(L12:L51,"Liberado")</f>
        <v>6</v>
      </c>
    </row>
    <row r="56" customFormat="false" ht="19.5" hidden="false" customHeight="true" outlineLevel="0" collapsed="false">
      <c r="B56" s="22" t="s">
        <v>144</v>
      </c>
      <c r="C56" s="22"/>
      <c r="D56" s="22"/>
      <c r="E56" s="8" t="n">
        <f aca="false">COUNTIF(L12:L51,"Reparar")</f>
        <v>3</v>
      </c>
    </row>
    <row r="57" customFormat="false" ht="19.5" hidden="false" customHeight="true" outlineLevel="0" collapsed="false">
      <c r="B57" s="22" t="s">
        <v>145</v>
      </c>
      <c r="C57" s="22"/>
      <c r="D57" s="22"/>
      <c r="E57" s="8" t="n">
        <f aca="false">COUNTIF(L12:L51,"Testar")</f>
        <v>1</v>
      </c>
    </row>
    <row r="58" customFormat="false" ht="19.5" hidden="false" customHeight="true" outlineLevel="0" collapsed="false">
      <c r="B58" s="22" t="s">
        <v>146</v>
      </c>
      <c r="C58" s="22"/>
      <c r="D58" s="22"/>
      <c r="E58" s="26" t="n">
        <f aca="false">SUMIF(L12:L51,"Liberado",G12:G51)</f>
        <v>63</v>
      </c>
    </row>
    <row r="59" customFormat="false" ht="21.75" hidden="false" customHeight="true" outlineLevel="0" collapsed="false">
      <c r="B59" s="22" t="s">
        <v>115</v>
      </c>
      <c r="C59" s="22"/>
      <c r="D59" s="22"/>
      <c r="E59" s="23" t="str">
        <f aca="false">IF(E54=0,"Liste os cabos",IF(E56&gt;0,"Há cabo para reparar: tire de circulação",IF(E57&gt;0,"Há cabo sem teste","OK")))</f>
        <v>Há cabo para reparar: tire de circulação</v>
      </c>
      <c r="F59" s="23"/>
      <c r="G59" s="23"/>
      <c r="H59" s="23"/>
      <c r="I59" s="23"/>
      <c r="J59" s="23"/>
      <c r="K59" s="23"/>
      <c r="L59" s="23"/>
      <c r="M59" s="23"/>
    </row>
    <row r="61" customFormat="false" ht="21.75" hidden="false" customHeight="true" outlineLevel="0" collapsed="false">
      <c r="B61" s="12" t="s">
        <v>147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27" hidden="false" customHeight="true" outlineLevel="0" collapsed="false">
      <c r="B62" s="8" t="s">
        <v>124</v>
      </c>
      <c r="C62" s="8"/>
      <c r="D62" s="8"/>
      <c r="E62" s="8" t="s">
        <v>148</v>
      </c>
      <c r="F62" s="8" t="s">
        <v>143</v>
      </c>
      <c r="G62" s="8" t="s">
        <v>149</v>
      </c>
      <c r="H62" s="8" t="s">
        <v>150</v>
      </c>
      <c r="I62" s="8" t="s">
        <v>84</v>
      </c>
      <c r="J62" s="8"/>
      <c r="K62" s="8"/>
      <c r="L62" s="10" t="s">
        <v>151</v>
      </c>
      <c r="M62" s="10"/>
      <c r="N62" s="10"/>
    </row>
    <row r="63" customFormat="false" ht="21.75" hidden="false" customHeight="true" outlineLevel="0" collapsed="false">
      <c r="B63" s="4" t="s">
        <v>136</v>
      </c>
      <c r="C63" s="4"/>
      <c r="D63" s="4"/>
      <c r="E63" s="19" t="n">
        <f aca="false">COUNTIF(D12:D51,B63)</f>
        <v>5</v>
      </c>
      <c r="F63" s="8" t="n">
        <f aca="false">COUNTIFS(D12:D51,B63,L12:L51,"Liberado")</f>
        <v>3</v>
      </c>
      <c r="G63" s="32" t="n">
        <v>4</v>
      </c>
      <c r="H63" s="27" t="n">
        <f aca="false">IF(G63="","",F63-G63)</f>
        <v>-1</v>
      </c>
      <c r="I63" s="20" t="str">
        <f aca="false">IF(G63="","",IF(H63&lt;0,"Faltam "&amp;ABS(H63),IF(H63=0,"Sem reserva","OK")))</f>
        <v>Faltam 1</v>
      </c>
      <c r="J63" s="20"/>
      <c r="K63" s="20"/>
    </row>
    <row r="64" customFormat="false" ht="21.75" hidden="false" customHeight="true" outlineLevel="0" collapsed="false">
      <c r="B64" s="4" t="s">
        <v>152</v>
      </c>
      <c r="C64" s="4"/>
      <c r="D64" s="4"/>
      <c r="E64" s="19" t="n">
        <f aca="false">COUNTIF(D12:D51,B64)</f>
        <v>2</v>
      </c>
      <c r="F64" s="8" t="n">
        <f aca="false">COUNTIFS(D12:D51,B64,L12:L51,"Liberado")</f>
        <v>1</v>
      </c>
      <c r="G64" s="32" t="n">
        <v>1</v>
      </c>
      <c r="H64" s="27" t="n">
        <f aca="false">IF(G64="","",F64-G64)</f>
        <v>0</v>
      </c>
      <c r="I64" s="20" t="str">
        <f aca="false">IF(G64="","",IF(H64&lt;0,"Faltam "&amp;ABS(H64),IF(H64=0,"Sem reserva","OK")))</f>
        <v>Sem reserva</v>
      </c>
      <c r="J64" s="20"/>
      <c r="K64" s="20"/>
    </row>
    <row r="65" customFormat="false" ht="21.75" hidden="false" customHeight="true" outlineLevel="0" collapsed="false">
      <c r="B65" s="4" t="s">
        <v>153</v>
      </c>
      <c r="C65" s="4"/>
      <c r="D65" s="4"/>
      <c r="E65" s="19" t="n">
        <f aca="false">COUNTIF(D12:D51,B65)</f>
        <v>1</v>
      </c>
      <c r="F65" s="8" t="n">
        <f aca="false">COUNTIFS(D12:D51,B65,L12:L51,"Liberado")</f>
        <v>1</v>
      </c>
      <c r="G65" s="32" t="n">
        <v>1</v>
      </c>
      <c r="H65" s="27" t="n">
        <f aca="false">IF(G65="","",F65-G65)</f>
        <v>0</v>
      </c>
      <c r="I65" s="20" t="str">
        <f aca="false">IF(G65="","",IF(H65&lt;0,"Faltam "&amp;ABS(H65),IF(H65=0,"Sem reserva","OK")))</f>
        <v>Sem reserva</v>
      </c>
      <c r="J65" s="20"/>
      <c r="K65" s="20"/>
    </row>
    <row r="66" customFormat="false" ht="21.75" hidden="false" customHeight="true" outlineLevel="0" collapsed="false">
      <c r="B66" s="4" t="s">
        <v>154</v>
      </c>
      <c r="C66" s="4"/>
      <c r="D66" s="4"/>
      <c r="E66" s="19" t="n">
        <f aca="false">COUNTIF(D12:D51,B66)</f>
        <v>2</v>
      </c>
      <c r="F66" s="8" t="n">
        <f aca="false">COUNTIFS(D12:D51,B66,L12:L51,"Liberado")</f>
        <v>1</v>
      </c>
      <c r="G66" s="32" t="n">
        <v>2</v>
      </c>
      <c r="H66" s="27" t="n">
        <f aca="false">IF(G66="","",F66-G66)</f>
        <v>-1</v>
      </c>
      <c r="I66" s="20" t="str">
        <f aca="false">IF(G66="","",IF(H66&lt;0,"Faltam "&amp;ABS(H66),IF(H66=0,"Sem reserva","OK")))</f>
        <v>Faltam 1</v>
      </c>
      <c r="J66" s="20"/>
      <c r="K66" s="20"/>
    </row>
    <row r="67" customFormat="false" ht="21.75" hidden="false" customHeight="true" outlineLevel="0" collapsed="false">
      <c r="B67" s="4" t="s">
        <v>155</v>
      </c>
      <c r="C67" s="4"/>
      <c r="D67" s="4"/>
      <c r="E67" s="19" t="n">
        <f aca="false">COUNTIF(D12:D51,B67)</f>
        <v>0</v>
      </c>
      <c r="F67" s="8" t="n">
        <f aca="false">COUNTIFS(D12:D51,B67,L12:L51,"Liberado")</f>
        <v>0</v>
      </c>
      <c r="G67" s="32"/>
      <c r="H67" s="27" t="str">
        <f aca="false">IF(G67="","",F67-G67)</f>
        <v/>
      </c>
      <c r="I67" s="20" t="str">
        <f aca="false">IF(G67="","",IF(H67&lt;0,"Faltam "&amp;ABS(H67),IF(H67=0,"Sem reserva","OK")))</f>
        <v/>
      </c>
      <c r="J67" s="20"/>
      <c r="K67" s="20"/>
    </row>
    <row r="68" customFormat="false" ht="21.75" hidden="false" customHeight="true" outlineLevel="0" collapsed="false">
      <c r="B68" s="4" t="s">
        <v>156</v>
      </c>
      <c r="C68" s="4"/>
      <c r="D68" s="4"/>
      <c r="E68" s="19" t="n">
        <f aca="false">COUNTIF(D12:D51,B68)</f>
        <v>0</v>
      </c>
      <c r="F68" s="8" t="n">
        <f aca="false">COUNTIFS(D12:D51,B68,L12:L51,"Liberado")</f>
        <v>0</v>
      </c>
      <c r="G68" s="32"/>
      <c r="H68" s="27" t="str">
        <f aca="false">IF(G68="","",F68-G68)</f>
        <v/>
      </c>
      <c r="I68" s="20" t="str">
        <f aca="false">IF(G68="","",IF(H68&lt;0,"Faltam "&amp;ABS(H68),IF(H68=0,"Sem reserva","OK")))</f>
        <v/>
      </c>
      <c r="J68" s="20"/>
      <c r="K68" s="20"/>
    </row>
    <row r="69" customFormat="false" ht="21.75" hidden="false" customHeight="true" outlineLevel="0" collapsed="false">
      <c r="B69" s="4" t="s">
        <v>157</v>
      </c>
      <c r="C69" s="4"/>
      <c r="D69" s="4"/>
      <c r="E69" s="19" t="n">
        <f aca="false">COUNTIF(D12:D51,B69)</f>
        <v>0</v>
      </c>
      <c r="F69" s="8" t="n">
        <f aca="false">COUNTIFS(D12:D51,B69,L12:L51,"Liberado")</f>
        <v>0</v>
      </c>
      <c r="G69" s="32"/>
      <c r="H69" s="27" t="str">
        <f aca="false">IF(G69="","",F69-G69)</f>
        <v/>
      </c>
      <c r="I69" s="20" t="str">
        <f aca="false">IF(G69="","",IF(H69&lt;0,"Faltam "&amp;ABS(H69),IF(H69=0,"Sem reserva","OK")))</f>
        <v/>
      </c>
      <c r="J69" s="20"/>
      <c r="K69" s="20"/>
    </row>
  </sheetData>
  <mergeCells count="39">
    <mergeCell ref="B1:N1"/>
    <mergeCell ref="B2:N2"/>
    <mergeCell ref="B4:D4"/>
    <mergeCell ref="E4:H4"/>
    <mergeCell ref="I4:N4"/>
    <mergeCell ref="B5:D5"/>
    <mergeCell ref="E5:H5"/>
    <mergeCell ref="I5:N5"/>
    <mergeCell ref="B6:D6"/>
    <mergeCell ref="E6:H6"/>
    <mergeCell ref="I6:N6"/>
    <mergeCell ref="B8:N8"/>
    <mergeCell ref="B11:N11"/>
    <mergeCell ref="B53:N53"/>
    <mergeCell ref="B54:D54"/>
    <mergeCell ref="B55:D55"/>
    <mergeCell ref="B56:D56"/>
    <mergeCell ref="B57:D57"/>
    <mergeCell ref="B58:D58"/>
    <mergeCell ref="B59:D59"/>
    <mergeCell ref="E59:M59"/>
    <mergeCell ref="B61:N61"/>
    <mergeCell ref="B62:D62"/>
    <mergeCell ref="I62:K62"/>
    <mergeCell ref="L62:N62"/>
    <mergeCell ref="B63:D63"/>
    <mergeCell ref="I63:K63"/>
    <mergeCell ref="B64:D64"/>
    <mergeCell ref="I64:K64"/>
    <mergeCell ref="B65:D65"/>
    <mergeCell ref="I65:K65"/>
    <mergeCell ref="B66:D66"/>
    <mergeCell ref="I66:K66"/>
    <mergeCell ref="B67:D67"/>
    <mergeCell ref="I67:K67"/>
    <mergeCell ref="B68:D68"/>
    <mergeCell ref="I68:K68"/>
    <mergeCell ref="B69:D69"/>
    <mergeCell ref="I69:K69"/>
  </mergeCells>
  <conditionalFormatting sqref="L12:L51">
    <cfRule type="cellIs" priority="2" operator="equal" aboveAverage="0" equalAverage="0" bottom="0" percent="0" rank="0" text="" dxfId="0">
      <formula>"Liberado"</formula>
    </cfRule>
    <cfRule type="cellIs" priority="3" operator="equal" aboveAverage="0" equalAverage="0" bottom="0" percent="0" rank="0" text="" dxfId="1">
      <formula>"Testar"</formula>
    </cfRule>
    <cfRule type="cellIs" priority="4" operator="equal" aboveAverage="0" equalAverage="0" bottom="0" percent="0" rank="0" text="" dxfId="2">
      <formula>"Reparar"</formula>
    </cfRule>
  </conditionalFormatting>
  <conditionalFormatting sqref="H12:I51">
    <cfRule type="cellIs" priority="5" operator="equal" aboveAverage="0" equalAverage="0" bottom="0" percent="0" rank="0" text="" dxfId="2">
      <formula>"Falha"</formula>
    </cfRule>
  </conditionalFormatting>
  <conditionalFormatting sqref="J12:J51">
    <cfRule type="cellIs" priority="6" operator="equal" aboveAverage="0" equalAverage="0" bottom="0" percent="0" rank="0" text="" dxfId="2">
      <formula>"Ruim"</formula>
    </cfRule>
  </conditionalFormatting>
  <conditionalFormatting sqref="E59:M59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conditionalFormatting sqref="I63:K63">
    <cfRule type="cellIs" priority="9" operator="equal" aboveAverage="0" equalAverage="0" bottom="0" percent="0" rank="0" text="" dxfId="0">
      <formula>"OK"</formula>
    </cfRule>
    <cfRule type="expression" priority="10" aboveAverage="0" equalAverage="0" bottom="0" percent="0" rank="0" text="" dxfId="1">
      <formula>AND(LEN($I$63)&gt;0,$I$63&lt;&gt;"OK")</formula>
    </cfRule>
  </conditionalFormatting>
  <conditionalFormatting sqref="I64:K64">
    <cfRule type="cellIs" priority="11" operator="equal" aboveAverage="0" equalAverage="0" bottom="0" percent="0" rank="0" text="" dxfId="0">
      <formula>"OK"</formula>
    </cfRule>
    <cfRule type="expression" priority="12" aboveAverage="0" equalAverage="0" bottom="0" percent="0" rank="0" text="" dxfId="1">
      <formula>AND(LEN($I$64)&gt;0,$I$64&lt;&gt;"OK")</formula>
    </cfRule>
  </conditionalFormatting>
  <conditionalFormatting sqref="I65:K65">
    <cfRule type="cellIs" priority="13" operator="equal" aboveAverage="0" equalAverage="0" bottom="0" percent="0" rank="0" text="" dxfId="0">
      <formula>"OK"</formula>
    </cfRule>
    <cfRule type="expression" priority="14" aboveAverage="0" equalAverage="0" bottom="0" percent="0" rank="0" text="" dxfId="1">
      <formula>AND(LEN($I$65)&gt;0,$I$65&lt;&gt;"OK")</formula>
    </cfRule>
  </conditionalFormatting>
  <conditionalFormatting sqref="I66:K66">
    <cfRule type="cellIs" priority="15" operator="equal" aboveAverage="0" equalAverage="0" bottom="0" percent="0" rank="0" text="" dxfId="0">
      <formula>"OK"</formula>
    </cfRule>
    <cfRule type="expression" priority="16" aboveAverage="0" equalAverage="0" bottom="0" percent="0" rank="0" text="" dxfId="1">
      <formula>AND(LEN($I$66)&gt;0,$I$66&lt;&gt;"OK")</formula>
    </cfRule>
  </conditionalFormatting>
  <conditionalFormatting sqref="I67:K67">
    <cfRule type="cellIs" priority="17" operator="equal" aboveAverage="0" equalAverage="0" bottom="0" percent="0" rank="0" text="" dxfId="0">
      <formula>"OK"</formula>
    </cfRule>
    <cfRule type="expression" priority="18" aboveAverage="0" equalAverage="0" bottom="0" percent="0" rank="0" text="" dxfId="1">
      <formula>AND(LEN($I$67)&gt;0,$I$67&lt;&gt;"OK")</formula>
    </cfRule>
  </conditionalFormatting>
  <conditionalFormatting sqref="I68:K68">
    <cfRule type="cellIs" priority="19" operator="equal" aboveAverage="0" equalAverage="0" bottom="0" percent="0" rank="0" text="" dxfId="0">
      <formula>"OK"</formula>
    </cfRule>
    <cfRule type="expression" priority="20" aboveAverage="0" equalAverage="0" bottom="0" percent="0" rank="0" text="" dxfId="1">
      <formula>AND(LEN($I$68)&gt;0,$I$68&lt;&gt;"OK")</formula>
    </cfRule>
  </conditionalFormatting>
  <conditionalFormatting sqref="I69:K69">
    <cfRule type="cellIs" priority="21" operator="equal" aboveAverage="0" equalAverage="0" bottom="0" percent="0" rank="0" text="" dxfId="0">
      <formula>"OK"</formula>
    </cfRule>
    <cfRule type="expression" priority="22" aboveAverage="0" equalAverage="0" bottom="0" percent="0" rank="0" text="" dxfId="1">
      <formula>AND(LEN($I$69)&gt;0,$I$69&lt;&gt;"OK")</formula>
    </cfRule>
  </conditionalFormatting>
  <dataValidations count="7">
    <dataValidation allowBlank="true" error="Digite uma data no formato dia/mês/ano." errorStyle="stop" errorTitle="Data inválida" operator="greaterThanOrEqual" showDropDown="false" showErrorMessage="true" showInputMessage="false" sqref="E6 K12:K51" type="date">
      <formula1>36526</formula1>
      <formula2>0</formula2>
    </dataValidation>
    <dataValidation allowBlank="true" error="Escolha uma das opções da lista." errorStyle="stop" errorTitle="Valor inválido" operator="between" prompt="Escolha o tipo do cabo." promptTitle="Opções" showDropDown="false" showErrorMessage="true" showInputMessage="true" sqref="D12:D51" type="list">
      <formula1>"Microfone (XLR),Instrumento (P10),Linha balanceado,Caixa (alto-falante),Adaptador ou Y,Rede,Multicabo"</formula1>
      <formula2>0</formula2>
    </dataValidation>
    <dataValidation allowBlank="true" error="Escolha uma das opções da lista." errorStyle="stop" errorTitle="Valor inválido" operator="between" prompt="Escolha o conector desta ponta." promptTitle="Opções" showDropDown="false" showErrorMessage="true" showInputMessage="true" sqref="E12:F51" type="list">
      <formula1>"XLR macho,XLR fêmea,P10 TS,P10 TRS,P2,RCA,Speakon,RJ45,Outro"</formula1>
      <formula2>0</formula2>
    </dataValidation>
    <dataValidation allowBlank="true" error="Escolha uma das opções da lista." errorStyle="stop" errorTitle="Valor inválido" operator="between" prompt="OK ou Falha. Deixe em branco se não testou." promptTitle="Opções" showDropDown="false" showErrorMessage="true" showInputMessage="true" sqref="H12:I51" type="list">
      <formula1>"OK,Falha"</formula1>
      <formula2>0</formula2>
    </dataValidation>
    <dataValidation allowBlank="true" error="Escolha uma das opções da lista." errorStyle="stop" errorTitle="Valor inválido" operator="between" prompt="Bom, Regular ou Ruim." promptTitle="Opções" showDropDown="false" showErrorMessage="true" showInputMessage="true" sqref="J12:J51" type="list">
      <formula1>"Bom,Regular,Ruim"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2:G51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G63:G6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2026-10-01T12:58:53Z</dcterms:created>
  <dc:creator>Estudos: Técnico em áudio e vídeo</dc:creator>
  <dc:description/>
  <dc:language>pt-BR</dc:language>
  <cp:lastModifiedBy/>
  <dcterms:modified xsi:type="dcterms:W3CDTF">2026-10-01T12:58:54Z</dcterms:modified>
  <cp:revision>0</cp:revision>
  <dc:subject/>
  <dc:title>Cabos, conectores e níveis de sinal — modelo de mapa de ligações e inventário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