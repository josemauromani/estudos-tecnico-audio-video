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struções" sheetId="1" state="visible" r:id="rId3"/>
    <sheet name="Mapa de sinais" sheetId="2" state="visible" r:id="rId4"/>
    <sheet name="Inventário" sheetId="3" state="visible" r:id="rId5"/>
    <sheet name="Diagnóstico" sheetId="4" state="visible" r:id="rId6"/>
    <sheet name="Referência" sheetId="5" state="visible" r:id="rId7"/>
    <sheet name="Checklist" sheetId="6" state="visible" r:id="rId8"/>
    <sheet name="Exemplo - Mapa" sheetId="7" state="visible" r:id="rId9"/>
  </sheets>
  <definedNames>
    <definedName function="false" hidden="false" localSheetId="5" name="_xlnm.Print_Area" vbProcedure="false">Checklist!$B$1:$F$20</definedName>
    <definedName function="false" hidden="false" localSheetId="3" name="_xlnm.Print_Area" vbProcedure="false">Diagnóstico!$B$1:$G$38</definedName>
    <definedName function="false" hidden="false" localSheetId="6" name="_xlnm.Print_Area" vbProcedure="false">'Exemplo - Mapa'!$B$1:$O$55</definedName>
    <definedName function="false" hidden="false" localSheetId="0" name="_xlnm.Print_Area" vbProcedure="false">Instruções!$B$1:$C$38</definedName>
    <definedName function="false" hidden="false" localSheetId="2" name="_xlnm.Print_Area" vbProcedure="false">Inventário!$B$1:$P$50</definedName>
    <definedName function="false" hidden="false" localSheetId="1" name="_xlnm.Print_Area" vbProcedure="false">'Mapa de sinais'!$B$1:$O$47</definedName>
    <definedName function="false" hidden="false" localSheetId="4" name="_xlnm.Print_Area" vbProcedure="false">Referência!$B$1:$I$56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D14" authorId="0">
      <text>
        <r>
          <rPr>
            <sz val="10"/>
            <rFont val="Arial"/>
            <family val="2"/>
          </rPr>
          <t xml:space="preserve">O formato que a origem envia de fato, lido no menu de saída dela.
Resolução de computador fora da lista: escolha Outro.</t>
        </r>
      </text>
    </comment>
    <comment ref="E14" authorId="0">
      <text>
        <r>
          <rPr>
            <sz val="10"/>
            <rFont val="Arial"/>
            <family val="2"/>
          </rPr>
          <t xml:space="preserve">O tipo de cabo ou de extensor do trecho.
Trecho com conversor no meio: registre cada lado em uma linha.</t>
        </r>
      </text>
    </comment>
    <comment ref="F14" authorId="0">
      <text>
        <r>
          <rPr>
            <sz val="10"/>
            <rFont val="Arial"/>
            <family val="2"/>
          </rPr>
          <t xml:space="preserve">Comprimento pelo caminho real do cabo, com subidas, contornos e folgas.</t>
        </r>
      </text>
    </comment>
    <comment ref="H14" authorId="0">
      <text>
        <r>
          <rPr>
            <sz val="10"/>
            <rFont val="Arial"/>
            <family val="2"/>
          </rPr>
          <t xml:space="preserve">Sim quando o destino tem conversor de formato na entrada (scaler, ou switcher que aceita qualquer formato).</t>
        </r>
      </text>
    </comment>
    <comment ref="I14" authorId="0">
      <text>
        <r>
          <rPr>
            <sz val="10"/>
            <rFont val="Arial"/>
            <family val="2"/>
          </rPr>
          <t xml:space="preserve">Quanto o formato exige do cabo. Os nomes vêm dos níveis do SDI e valem aqui para qualquer ligação.</t>
        </r>
      </text>
    </comment>
    <comment ref="J14" authorId="0">
      <text>
        <r>
          <rPr>
            <sz val="10"/>
            <rFont val="Arial"/>
            <family val="2"/>
          </rPr>
          <t xml:space="preserve">Vem da tabela de limites do alto da aba, pelo tipo de ligação e pela classe do formato.</t>
        </r>
      </text>
    </comment>
    <comment ref="K14" authorId="0">
      <text>
        <r>
          <rPr>
            <sz val="10"/>
            <rFont val="Arial"/>
            <family val="2"/>
          </rPr>
          <t xml:space="preserve">Igual: é o padrão do sistema.
Convertido: é diferente, mas o destino converte.
Diferente: o destino pode recusar.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F10" authorId="0">
      <text>
        <r>
          <rPr>
            <sz val="10"/>
            <rFont val="Arial"/>
            <family val="2"/>
          </rPr>
          <t xml:space="preserve">O formato mais exigente que o item comprovadamente passa.
HD: até 1080i ou 1080p30. 3G: 1080p60. 6G: 4K30. 12G: 4K60.</t>
        </r>
      </text>
    </comment>
    <comment ref="M10" authorId="0">
      <text>
        <r>
          <rPr>
            <sz val="10"/>
            <rFont val="Arial"/>
            <family val="2"/>
          </rPr>
          <t xml:space="preserve">Dias entre o último teste e a data da conferência informada no alto da aba.</t>
        </r>
      </text>
    </comment>
    <comment ref="N10" authorId="0">
      <text>
        <r>
          <rPr>
            <sz val="10"/>
            <rFont val="Arial"/>
            <family val="2"/>
          </rPr>
          <t xml:space="preserve">Retirar: defeito ou intermitente.
Falta fonte: precisa de fonte e ela não está junto.
Testar: sem teste registrado.
Testar de novo: teste vencido.</t>
        </r>
      </text>
    </comment>
  </commentList>
</comments>
</file>

<file path=xl/sharedStrings.xml><?xml version="1.0" encoding="utf-8"?>
<sst xmlns="http://schemas.openxmlformats.org/spreadsheetml/2006/main" count="645" uniqueCount="384">
  <si>
    <t xml:space="preserve">Sinais e cabos de vídeo — como usar esta planilha</t>
  </si>
  <si>
    <t xml:space="preserve">Mapa de sinais, inventário de cabos e conversores e roteiro de diagnóstico, para usar na montagem e no evento.</t>
  </si>
  <si>
    <t xml:space="preserve">Legenda: onde preencher</t>
  </si>
  <si>
    <t xml:space="preserve">Amarelo-claro</t>
  </si>
  <si>
    <t xml:space="preserve">Células de entrada. É aqui que você digita.</t>
  </si>
  <si>
    <t xml:space="preserve">Cinza</t>
  </si>
  <si>
    <t xml:space="preserve">Células calculadas ou fixas (rótulos, contas, avisos). Não altere.</t>
  </si>
  <si>
    <t xml:space="preserve">Cinza em itálico</t>
  </si>
  <si>
    <t xml:space="preserve">Linha de exemplo (marcada com “Ex.”) e dicas de preenchimento. Não entram nas contas.</t>
  </si>
  <si>
    <t xml:space="preserve">Listas suspensas</t>
  </si>
  <si>
    <t xml:space="preserve">Formato, ligação, tipo de item e respostas Sim ou Não aceitam só as opções da lista.</t>
  </si>
  <si>
    <t xml:space="preserve">Formatos</t>
  </si>
  <si>
    <t xml:space="preserve">São escritos como nos menus dos equipamentos, com ponto: 1080p59.94. No treinamento, o mesmo formato aparece como 1080p59,94.</t>
  </si>
  <si>
    <t xml:space="preserve">Comentários</t>
  </si>
  <si>
    <t xml:space="preserve">Células com triângulo vermelho no canto trazem uma dica. Passe o mouse sobre elas.</t>
  </si>
  <si>
    <t xml:space="preserve">Ordem de preenchimento</t>
  </si>
  <si>
    <t xml:space="preserve">1</t>
  </si>
  <si>
    <t xml:space="preserve">Aba Mapa de sinais: escolha o padrão do sistema e confira a tabela de limites de comprimento.</t>
  </si>
  <si>
    <t xml:space="preserve">2</t>
  </si>
  <si>
    <t xml:space="preserve">Aba Mapa de sinais: registre um trecho por linha, da origem para o destino, com o comprimento pelo caminho real do cabo.</t>
  </si>
  <si>
    <t xml:space="preserve">3</t>
  </si>
  <si>
    <t xml:space="preserve">Veja a situação e o que fazer em cada trecho. Corrija o formato na origem, ou mude o tipo de ligação, e atualize a linha.</t>
  </si>
  <si>
    <t xml:space="preserve">4</t>
  </si>
  <si>
    <t xml:space="preserve">Aba Inventário: liste cabos, conversores, extensores e placas de captura, com a data e o resultado do teste.</t>
  </si>
  <si>
    <t xml:space="preserve">5</t>
  </si>
  <si>
    <t xml:space="preserve">Aba Checklist: confira os doze itens na montagem, antes do ensaio.</t>
  </si>
  <si>
    <t xml:space="preserve">6</t>
  </si>
  <si>
    <t xml:space="preserve">Aba Diagnóstico: se faltar imagem, responda às dez perguntas na ordem e registre a ocorrência.</t>
  </si>
  <si>
    <t xml:space="preserve">Abas da planilha</t>
  </si>
  <si>
    <t xml:space="preserve">Mapa de sinais</t>
  </si>
  <si>
    <t xml:space="preserve">Até 20 trechos, com alerta de formato diferente do padrão e de comprimento acima do recomendado.</t>
  </si>
  <si>
    <t xml:space="preserve">Inventário</t>
  </si>
  <si>
    <t xml:space="preserve">Até 30 itens, com situação calculada: OK, Testar, Testar de novo, Falta fonte ou Retirar.</t>
  </si>
  <si>
    <t xml:space="preserve">Diagnóstico</t>
  </si>
  <si>
    <t xml:space="preserve">Roteiro de dez perguntas para o “sem sinal”, com a correção do primeiro “Não”, e registro de ocorrências.</t>
  </si>
  <si>
    <t xml:space="preserve">Referência</t>
  </si>
  <si>
    <t xml:space="preserve">Tabela de formatos, tipos de ligação, aparelhos do caminho e sintomas com as causas prováveis.</t>
  </si>
  <si>
    <t xml:space="preserve">Checklist</t>
  </si>
  <si>
    <t xml:space="preserve">Os doze itens do treinamento, com percentual atendido.</t>
  </si>
  <si>
    <t xml:space="preserve">Exemplo - Mapa</t>
  </si>
  <si>
    <t xml:space="preserve">O sistema de uma igreja com três câmeras, antes das correções (exemplo 1 do treinamento).</t>
  </si>
  <si>
    <t xml:space="preserve">Regras e premissas do modelo</t>
  </si>
  <si>
    <t xml:space="preserve">Padrão do sistema</t>
  </si>
  <si>
    <t xml:space="preserve">É o formato em que todas as origens devem estar. O modelo compara o texto exato: 1080p59.94 e 1080p60 são formatos diferentes.</t>
  </si>
  <si>
    <t xml:space="preserve">Destino converte?</t>
  </si>
  <si>
    <t xml:space="preserve">Marque Sim quando o destino tem conversor de formato na entrada. O formato diferente passa a contar como Convertido, sem alerta.</t>
  </si>
  <si>
    <t xml:space="preserve">Classe do formato</t>
  </si>
  <si>
    <t xml:space="preserve">HD, 3G, 6G ou 12G, pela quantidade de dados. Os nomes vêm dos níveis do SDI e servem aqui para escolher o limite de qualquer ligação.</t>
  </si>
  <si>
    <t xml:space="preserve">Limites de comprimento</t>
  </si>
  <si>
    <t xml:space="preserve">São pontos de partida conservadores, e não especificação. Troque-os pelos valores do manual dos seus cabos e extensores.</t>
  </si>
  <si>
    <t xml:space="preserve">No limite</t>
  </si>
  <si>
    <t xml:space="preserve">Aviso para trechos acima de 80% do limite. O percentual pode ser trocado no alto da aba.</t>
  </si>
  <si>
    <t xml:space="preserve">Trecho com conversor</t>
  </si>
  <si>
    <t xml:space="preserve">Registre cada lado do conversor em uma linha: da origem ao conversor, e do conversor ao destino.</t>
  </si>
  <si>
    <t xml:space="preserve">O teste vence depois do prazo informado no alto da aba (180 dias no modelo), contado até a data da conferência.</t>
  </si>
  <si>
    <t xml:space="preserve">Exemplos</t>
  </si>
  <si>
    <t xml:space="preserve">Os dados da aba de exemplo são ilustrativos, criados para este material.</t>
  </si>
  <si>
    <t xml:space="preserve">Mapa de sinais de vídeo — origem, formato, cabo e destino</t>
  </si>
  <si>
    <t xml:space="preserve">Preencha as células em amarelo-claro, um trecho por linha. As células cinza são calculadas.</t>
  </si>
  <si>
    <t xml:space="preserve">Evento ou sistema</t>
  </si>
  <si>
    <t xml:space="preserve">Limite recomendado (m)</t>
  </si>
  <si>
    <t xml:space="preserve">HD</t>
  </si>
  <si>
    <t xml:space="preserve">3G</t>
  </si>
  <si>
    <t xml:space="preserve">6G</t>
  </si>
  <si>
    <t xml:space="preserve">12G</t>
  </si>
  <si>
    <t xml:space="preserve">HD: 720p, 1080i e 1080p até 30 · 3G: 1080p de 50 a 60 · 6G: 4K até 30 · 12G: 4K de 50 a 60</t>
  </si>
  <si>
    <t xml:space="preserve">Local</t>
  </si>
  <si>
    <t xml:space="preserve">HDMI passivo</t>
  </si>
  <si>
    <t xml:space="preserve">Cabo comum. Acima de 5 m, só cabo de boa qualidade e testado.</t>
  </si>
  <si>
    <t xml:space="preserve">Data</t>
  </si>
  <si>
    <t xml:space="preserve">HDMI ativo ou óptico</t>
  </si>
  <si>
    <t xml:space="preserve">Conforme o fabricante: há cabos ópticos de até 100 m. Têm sentido certo.</t>
  </si>
  <si>
    <t xml:space="preserve">Responsável</t>
  </si>
  <si>
    <t xml:space="preserve">SDI</t>
  </si>
  <si>
    <t xml:space="preserve">Coaxial de 75 ohms de bitola cheia. Com cabo fino, use a metade.</t>
  </si>
  <si>
    <t xml:space="preserve">1080p59.94</t>
  </si>
  <si>
    <t xml:space="preserve">HDBaseT</t>
  </si>
  <si>
    <t xml:space="preserve">Conforme a classe do extensor e a categoria do cabo de rede.</t>
  </si>
  <si>
    <t xml:space="preserve">Aviso “No limite” a partir de</t>
  </si>
  <si>
    <t xml:space="preserve">Fibra</t>
  </si>
  <si>
    <t xml:space="preserve">Conforme o conversor. Fibra monomodo alcança quilômetros.</t>
  </si>
  <si>
    <t xml:space="preserve">O formato é escrito como nos menus dos equipamentos, com ponto: 1080p59.94.</t>
  </si>
  <si>
    <t xml:space="preserve">Rede (NDI)</t>
  </si>
  <si>
    <t xml:space="preserve">Por trecho de cabo, entre o aparelho e o switch de rede.</t>
  </si>
  <si>
    <t xml:space="preserve">59.94 e 60 são formatos diferentes. Confira o que cada aparelho entrega de fato.</t>
  </si>
  <si>
    <t xml:space="preserve">USB</t>
  </si>
  <si>
    <t xml:space="preserve">USB 3 com cabo passivo. Em USB 2, até 5 m.</t>
  </si>
  <si>
    <t xml:space="preserve">Trechos do sistema, da origem para o destino</t>
  </si>
  <si>
    <t xml:space="preserve">#</t>
  </si>
  <si>
    <t xml:space="preserve">Origem</t>
  </si>
  <si>
    <t xml:space="preserve">Formato enviado</t>
  </si>
  <si>
    <t xml:space="preserve">Ligação</t>
  </si>
  <si>
    <t xml:space="preserve">Comprimento</t>
  </si>
  <si>
    <t xml:space="preserve">Destino</t>
  </si>
  <si>
    <t xml:space="preserve">Classe</t>
  </si>
  <si>
    <t xml:space="preserve">Limite</t>
  </si>
  <si>
    <t xml:space="preserve">Formato</t>
  </si>
  <si>
    <t xml:space="preserve">Cabo</t>
  </si>
  <si>
    <t xml:space="preserve">Situação</t>
  </si>
  <si>
    <t xml:space="preserve">O que fazer</t>
  </si>
  <si>
    <t xml:space="preserve">Observação</t>
  </si>
  <si>
    <t xml:space="preserve">aparelho e saída</t>
  </si>
  <si>
    <t xml:space="preserve">saída da origem</t>
  </si>
  <si>
    <t xml:space="preserve">cabo ou extensor</t>
  </si>
  <si>
    <t xml:space="preserve">metros</t>
  </si>
  <si>
    <t xml:space="preserve">aparelho e entrada</t>
  </si>
  <si>
    <t xml:space="preserve">Sim / Não</t>
  </si>
  <si>
    <t xml:space="preserve">do formato</t>
  </si>
  <si>
    <t xml:space="preserve">× padrão</t>
  </si>
  <si>
    <t xml:space="preserve">× limite</t>
  </si>
  <si>
    <t xml:space="preserve">Ex.</t>
  </si>
  <si>
    <t xml:space="preserve">Câmera 1 (fundo)</t>
  </si>
  <si>
    <t xml:space="preserve">Switcher, entrada 1</t>
  </si>
  <si>
    <t xml:space="preserve">Não</t>
  </si>
  <si>
    <t xml:space="preserve">Igual</t>
  </si>
  <si>
    <t xml:space="preserve">OK</t>
  </si>
  <si>
    <t xml:space="preserve">Manter</t>
  </si>
  <si>
    <t xml:space="preserve">Resumo automático</t>
  </si>
  <si>
    <t xml:space="preserve">Trechos registrados</t>
  </si>
  <si>
    <t xml:space="preserve">Trechos com situação OK</t>
  </si>
  <si>
    <t xml:space="preserve">Formato diferente do padrão</t>
  </si>
  <si>
    <t xml:space="preserve">Comprimento acima do recomendado</t>
  </si>
  <si>
    <t xml:space="preserve">Comprimento no limite</t>
  </si>
  <si>
    <t xml:space="preserve">Trechos com conversão de formato</t>
  </si>
  <si>
    <t xml:space="preserve">Cabo total (m)</t>
  </si>
  <si>
    <t xml:space="preserve">Aviso</t>
  </si>
  <si>
    <t xml:space="preserve">Os limites são pontos de partida conservadores, e não especificação. Troque-os pelos valores do manual dos seus cabos e extensores, ou pelo que você comprovou em teste.</t>
  </si>
  <si>
    <t xml:space="preserve">Inventário de cabos e conversores de vídeo</t>
  </si>
  <si>
    <t xml:space="preserve">Um item por linha. Teste cada cabo no formato do sistema e anote a data. As células cinza são calculadas.</t>
  </si>
  <si>
    <t xml:space="preserve">Local ou sistema</t>
  </si>
  <si>
    <t xml:space="preserve">Identifique cada cabo nas duas pontas com o mesmo nome que está nesta lista.</t>
  </si>
  <si>
    <t xml:space="preserve">Teste do cabo: no formato do sistema, por alguns minutos, mexendo de leve nos conectores.</t>
  </si>
  <si>
    <t xml:space="preserve">Data da conferência</t>
  </si>
  <si>
    <t xml:space="preserve">Cabo intermitente é cabo com defeito: tire do uso antes que falhe no evento.</t>
  </si>
  <si>
    <t xml:space="preserve">Testar de novo após (dias)</t>
  </si>
  <si>
    <t xml:space="preserve">Guarde cada conversor junto da própria fonte e do cabo curto que o acompanha.</t>
  </si>
  <si>
    <t xml:space="preserve">Cabos, conversores, extensores e placas de captura</t>
  </si>
  <si>
    <t xml:space="preserve">Item e identificação</t>
  </si>
  <si>
    <t xml:space="preserve">Tipo</t>
  </si>
  <si>
    <t xml:space="preserve">Suporta até</t>
  </si>
  <si>
    <t xml:space="preserve">Qtde</t>
  </si>
  <si>
    <t xml:space="preserve">Precisa de fonte?</t>
  </si>
  <si>
    <t xml:space="preserve">Fonte junto?</t>
  </si>
  <si>
    <t xml:space="preserve">Testado em</t>
  </si>
  <si>
    <t xml:space="preserve">Resultado</t>
  </si>
  <si>
    <t xml:space="preserve">Onde fica</t>
  </si>
  <si>
    <t xml:space="preserve">Dias</t>
  </si>
  <si>
    <t xml:space="preserve">nome da etiqueta</t>
  </si>
  <si>
    <t xml:space="preserve">classe</t>
  </si>
  <si>
    <t xml:space="preserve">data</t>
  </si>
  <si>
    <t xml:space="preserve">do teste</t>
  </si>
  <si>
    <t xml:space="preserve">desde o teste</t>
  </si>
  <si>
    <t xml:space="preserve">SDI-01, coaxial preto</t>
  </si>
  <si>
    <t xml:space="preserve">Cabo SDI</t>
  </si>
  <si>
    <t xml:space="preserve">04/10/2026</t>
  </si>
  <si>
    <t xml:space="preserve">Caixa de cabos 2</t>
  </si>
  <si>
    <t xml:space="preserve">Itens registrados</t>
  </si>
  <si>
    <t xml:space="preserve">Em condições de uso (OK)</t>
  </si>
  <si>
    <t xml:space="preserve">A testar</t>
  </si>
  <si>
    <t xml:space="preserve">Sem a fonte</t>
  </si>
  <si>
    <t xml:space="preserve">A retirar do uso</t>
  </si>
  <si>
    <t xml:space="preserve">Diagnóstico — roteiro para “sem sinal”</t>
  </si>
  <si>
    <t xml:space="preserve">Responda na ordem. No primeiro “Não”, faça a correção indicada, teste e só então siga adiante.</t>
  </si>
  <si>
    <t xml:space="preserve">Evento</t>
  </si>
  <si>
    <t xml:space="preserve">Mude uma coisa de cada vez e teste depois de cada mudança.</t>
  </si>
  <si>
    <t xml:space="preserve">Tenha à mão um cabo curto testado e um monitor ou TV de teste.</t>
  </si>
  <si>
    <t xml:space="preserve">Trecho (origem → destino)</t>
  </si>
  <si>
    <t xml:space="preserve">Imagem que pisca ou chuvisca aponta para o cabo: comece pelos itens 3, 4 e 8.</t>
  </si>
  <si>
    <t xml:space="preserve">Sintoma</t>
  </si>
  <si>
    <t xml:space="preserve">Tela preta só com um conteúdo ou um aparelho aponta para o item 7.</t>
  </si>
  <si>
    <t xml:space="preserve">Quem conferiu</t>
  </si>
  <si>
    <t xml:space="preserve">Depois de resolver, registre a ocorrência no fim desta aba.</t>
  </si>
  <si>
    <t xml:space="preserve">Roteiro, do destino para a origem</t>
  </si>
  <si>
    <t xml:space="preserve">Pergunta</t>
  </si>
  <si>
    <t xml:space="preserve">Resposta</t>
  </si>
  <si>
    <t xml:space="preserve">Se a resposta for Não</t>
  </si>
  <si>
    <t xml:space="preserve">O destino (projetor, TV, switcher) está ligado e na entrada em que o cabo está?</t>
  </si>
  <si>
    <t xml:space="preserve">Ligue o destino e selecione a entrada certa.</t>
  </si>
  <si>
    <t xml:space="preserve">A origem está ligada, acordada e com a saída de vídeo ativa? No computador: tela estendida ou duplicada.</t>
  </si>
  <si>
    <t xml:space="preserve">Ligue ou acorde a origem. No computador, ative a segunda tela.</t>
  </si>
  <si>
    <t xml:space="preserve">Os conectores estão encaixados até o fim nas duas pontas, e os BNC, travados?</t>
  </si>
  <si>
    <t xml:space="preserve">Refaça os encaixes, uma ponta por vez, olhando a imagem.</t>
  </si>
  <si>
    <t xml:space="preserve">O cabo ativo ou óptico está no sentido certo, com a ponta de origem na origem? Com cabo comum, responda Sim.</t>
  </si>
  <si>
    <t xml:space="preserve">Inverta o cabo.</t>
  </si>
  <si>
    <t xml:space="preserve">Os conversores, extensores e distribuidores do trecho estão com a luz de energia acesa?</t>
  </si>
  <si>
    <t xml:space="preserve">Religue a fonte. Se a luz não acender, troque de tomada ou de fonte.</t>
  </si>
  <si>
    <t xml:space="preserve">O formato de saída da origem é o padrão do sistema, ou um formato que o destino aceita?</t>
  </si>
  <si>
    <t xml:space="preserve">Ajuste a saída da origem para o padrão do sistema e espere alguns segundos.</t>
  </si>
  <si>
    <t xml:space="preserve">A origem é livre de proteção (câmera, ou computador com conteúdo próprio)?</t>
  </si>
  <si>
    <t xml:space="preserve">Provável HDCP: teste a origem direto em uma TV e troque a fonte do conteúdo.</t>
  </si>
  <si>
    <t xml:space="preserve">O comprimento do trecho está dentro do recomendado na aba Mapa de sinais?</t>
  </si>
  <si>
    <t xml:space="preserve">Teste com um cabo mais curto. Se resolver, mude o tipo de ligação do trecho.</t>
  </si>
  <si>
    <t xml:space="preserve">A origem, ligada direto em um monitor por um cabo curto e testado, mostra imagem?</t>
  </si>
  <si>
    <t xml:space="preserve">O defeito está na origem: confira o menu de saída, reinicie e teste outra porta.</t>
  </si>
  <si>
    <t xml:space="preserve">Outra origem que funciona, ligada no lugar desta, aparece no destino?</t>
  </si>
  <si>
    <t xml:space="preserve">O defeito está no cabo, no conversor ou na entrada do destino: troque um de cada vez.</t>
  </si>
  <si>
    <t xml:space="preserve">Itens respondidos</t>
  </si>
  <si>
    <t xml:space="preserve">Primeiro item com resposta Não</t>
  </si>
  <si>
    <t xml:space="preserve">O que fazer agora</t>
  </si>
  <si>
    <t xml:space="preserve">Registro de ocorrências</t>
  </si>
  <si>
    <t xml:space="preserve">Trecho e sintoma</t>
  </si>
  <si>
    <t xml:space="preserve">Causa encontrada e o que resolveu</t>
  </si>
  <si>
    <t xml:space="preserve">Para não repetir</t>
  </si>
  <si>
    <t xml:space="preserve">Referência — formatos, ligações e sintomas</t>
  </si>
  <si>
    <t xml:space="preserve">Valores de referência, para servir de ponto de partida. Confira o manual do seu equipamento.</t>
  </si>
  <si>
    <t xml:space="preserve">Formatos de vídeo (tabela consultada pelas outras abas: não altere a primeira coluna)</t>
  </si>
  <si>
    <t xml:space="preserve">Resolução</t>
  </si>
  <si>
    <t xml:space="preserve">Varredura</t>
  </si>
  <si>
    <t xml:space="preserve">Imagens por segundo</t>
  </si>
  <si>
    <t xml:space="preserve">Nº</t>
  </si>
  <si>
    <t xml:space="preserve">SDI necessário</t>
  </si>
  <si>
    <t xml:space="preserve">Cabo HDMI indicado</t>
  </si>
  <si>
    <t xml:space="preserve">720p50</t>
  </si>
  <si>
    <t xml:space="preserve">1280 × 720</t>
  </si>
  <si>
    <t xml:space="preserve">Progressiva</t>
  </si>
  <si>
    <t xml:space="preserve">50 quadros</t>
  </si>
  <si>
    <t xml:space="preserve">HD-SDI</t>
  </si>
  <si>
    <t xml:space="preserve">High Speed</t>
  </si>
  <si>
    <t xml:space="preserve">720p59.94</t>
  </si>
  <si>
    <t xml:space="preserve">59,94 quadros</t>
  </si>
  <si>
    <t xml:space="preserve">720p60</t>
  </si>
  <si>
    <t xml:space="preserve">60 quadros</t>
  </si>
  <si>
    <t xml:space="preserve">1080i50</t>
  </si>
  <si>
    <t xml:space="preserve">1920 × 1080</t>
  </si>
  <si>
    <t xml:space="preserve">Entrelaçada</t>
  </si>
  <si>
    <t xml:space="preserve">50 campos</t>
  </si>
  <si>
    <t xml:space="preserve">1080i59.94</t>
  </si>
  <si>
    <t xml:space="preserve">59,94 campos</t>
  </si>
  <si>
    <t xml:space="preserve">1080i60</t>
  </si>
  <si>
    <t xml:space="preserve">60 campos</t>
  </si>
  <si>
    <t xml:space="preserve">1080p23.98</t>
  </si>
  <si>
    <t xml:space="preserve">23,98 quadros</t>
  </si>
  <si>
    <t xml:space="preserve">1080p24</t>
  </si>
  <si>
    <t xml:space="preserve">24 quadros</t>
  </si>
  <si>
    <t xml:space="preserve">1080p25</t>
  </si>
  <si>
    <t xml:space="preserve">25 quadros</t>
  </si>
  <si>
    <t xml:space="preserve">1080p29.97</t>
  </si>
  <si>
    <t xml:space="preserve">29,97 quadros</t>
  </si>
  <si>
    <t xml:space="preserve">1080p30</t>
  </si>
  <si>
    <t xml:space="preserve">30 quadros</t>
  </si>
  <si>
    <t xml:space="preserve">1080p50</t>
  </si>
  <si>
    <t xml:space="preserve">3G-SDI</t>
  </si>
  <si>
    <t xml:space="preserve">1080p60</t>
  </si>
  <si>
    <t xml:space="preserve">2160p25</t>
  </si>
  <si>
    <t xml:space="preserve">3840 × 2160</t>
  </si>
  <si>
    <t xml:space="preserve">6G-SDI</t>
  </si>
  <si>
    <t xml:space="preserve">2160p29.97</t>
  </si>
  <si>
    <t xml:space="preserve">2160p30</t>
  </si>
  <si>
    <t xml:space="preserve">2160p50</t>
  </si>
  <si>
    <t xml:space="preserve">12G-SDI</t>
  </si>
  <si>
    <t xml:space="preserve">Premium High Speed</t>
  </si>
  <si>
    <t xml:space="preserve">2160p59.94</t>
  </si>
  <si>
    <t xml:space="preserve">2160p60</t>
  </si>
  <si>
    <t xml:space="preserve">Outro</t>
  </si>
  <si>
    <t xml:space="preserve">resolução de computador</t>
  </si>
  <si>
    <t xml:space="preserve">–</t>
  </si>
  <si>
    <t xml:space="preserve">confira no manual</t>
  </si>
  <si>
    <t xml:space="preserve">A classe mostra quanto o formato exige do cabo. “Outro” é tratado como 1080p a 60 quadros. Os mesmos números aparecem nos menus com ponto: 59.94.</t>
  </si>
  <si>
    <t xml:space="preserve">Tipos de ligação</t>
  </si>
  <si>
    <t xml:space="preserve">Conector e cabo</t>
  </si>
  <si>
    <t xml:space="preserve">Distância prática</t>
  </si>
  <si>
    <t xml:space="preserve">Ponto de atenção</t>
  </si>
  <si>
    <t xml:space="preserve">HDMI normal, mini ou micro. Cabo de 19 vias.</t>
  </si>
  <si>
    <t xml:space="preserve">Até 5 m sem preocupação. De 5 a 10 m, com cabo bom.</t>
  </si>
  <si>
    <t xml:space="preserve">Sem trava. Leva EDID e HDCP. O 4K a 60 pede cabo Premium High Speed e trecho de até 3 m.</t>
  </si>
  <si>
    <t xml:space="preserve">HDMI com circuito ou fibra dentro do cabo.</t>
  </si>
  <si>
    <t xml:space="preserve">De 10 a 100 m, conforme o fabricante.</t>
  </si>
  <si>
    <t xml:space="preserve">Tem sentido certo: a ponta de origem vai na origem. Não dobre em ângulo fechado.</t>
  </si>
  <si>
    <t xml:space="preserve">BNC com trava. Coaxial de 75 ohms.</t>
  </si>
  <si>
    <t xml:space="preserve">HD: cerca de 100 m. 3G: de 70 a 100 m. 12G: de 30 a 70 m.</t>
  </si>
  <si>
    <t xml:space="preserve">Não carrega HDCP nem EDID: o formato tem de estar certo nos dois lados. Cabo de 50 ohms não serve.</t>
  </si>
  <si>
    <t xml:space="preserve">RJ45. Cabo de rede, de um extensor ao outro.</t>
  </si>
  <si>
    <t xml:space="preserve">De 40 a 100 m, conforme a classe e a resolução.</t>
  </si>
  <si>
    <t xml:space="preserve">Ponto a ponto: não passa por switch de rede. Cabo de cobre inteiro, de categoria 6 ou melhor.</t>
  </si>
  <si>
    <t xml:space="preserve">Conversores nas pontas e cabo óptico.</t>
  </si>
  <si>
    <t xml:space="preserve">Centenas de metros a quilômetros.</t>
  </si>
  <si>
    <t xml:space="preserve">Isola os aparelhos eletricamente. Conectores limpos e com tampa. Nunca olhe para a ponta ligada.</t>
  </si>
  <si>
    <t xml:space="preserve">RJ45. Rede local de 1 gigabit, cabeada.</t>
  </si>
  <si>
    <t xml:space="preserve">100 m por trecho de cabo.</t>
  </si>
  <si>
    <t xml:space="preserve">Vídeo comprimido e com algum atraso. Rede separada da do público. Wi-Fi não é confiável.</t>
  </si>
  <si>
    <t xml:space="preserve">USB-A ou USB-C. Leva o vídeo ao computador.</t>
  </si>
  <si>
    <t xml:space="preserve">De 2 a 3 m em USB 3. Até 5 m em USB 2.</t>
  </si>
  <si>
    <t xml:space="preserve">Ligue direto no computador, sem hub. Em USB 2, a imagem é comprimida e costuma ficar em 30 quadros.</t>
  </si>
  <si>
    <t xml:space="preserve">Aparelhos do caminho</t>
  </si>
  <si>
    <t xml:space="preserve">Aparelho</t>
  </si>
  <si>
    <t xml:space="preserve">O que faz</t>
  </si>
  <si>
    <t xml:space="preserve">O que não faz</t>
  </si>
  <si>
    <t xml:space="preserve">Conversor de interface</t>
  </si>
  <si>
    <t xml:space="preserve">Troca o tipo de ligação: HDMI para SDI, SDI para HDMI, para fibra.</t>
  </si>
  <si>
    <t xml:space="preserve">Não muda o formato. Em geral tem um só sentido. Não passa conteúdo protegido para SDI.</t>
  </si>
  <si>
    <t xml:space="preserve">Scaler</t>
  </si>
  <si>
    <t xml:space="preserve">Muda a resolução e a taxa de quadros para o formato escolhido.</t>
  </si>
  <si>
    <t xml:space="preserve">Não cria detalhe. Entre famílias de taxa (50 e 59,94), deixa pequenos trancos. Acrescenta atraso.</t>
  </si>
  <si>
    <t xml:space="preserve">Distribuidor (splitter)</t>
  </si>
  <si>
    <t xml:space="preserve">Copia uma entrada para duas ou mais saídas.</t>
  </si>
  <si>
    <t xml:space="preserve">Não muda o formato. Apresenta à origem um só EDID, que pode rebaixar o formato para todas as telas.</t>
  </si>
  <si>
    <t xml:space="preserve">Placa de captura</t>
  </si>
  <si>
    <t xml:space="preserve">Leva HDMI ou SDI para o computador, como uma webcam.</t>
  </si>
  <si>
    <t xml:space="preserve">Não aceita HDCP. Modelos simples entregam só 30 quadros ao computador.</t>
  </si>
  <si>
    <t xml:space="preserve">Sintomas e causas prováveis</t>
  </si>
  <si>
    <t xml:space="preserve">O que se vê</t>
  </si>
  <si>
    <t xml:space="preserve">Causa mais provável</t>
  </si>
  <si>
    <t xml:space="preserve">Primeira coisa a fazer</t>
  </si>
  <si>
    <t xml:space="preserve">Tela preta ou “sem sinal”</t>
  </si>
  <si>
    <t xml:space="preserve">Entrada errada no destino, formato não aceito ou conversor sem energia.</t>
  </si>
  <si>
    <t xml:space="preserve">Conferir a entrada, a fonte do conversor e o formato de saída da origem.</t>
  </si>
  <si>
    <t xml:space="preserve">Pontos brilhantes, linhas, apagões</t>
  </si>
  <si>
    <t xml:space="preserve">Sinal no limite: cabo longo demais, cabo ruim, emenda ou conector frouxo.</t>
  </si>
  <si>
    <t xml:space="preserve">Trocar por cabo mais curto ou por outro tipo de ligação.</t>
  </si>
  <si>
    <t xml:space="preserve">Preto só com um conteúdo</t>
  </si>
  <si>
    <t xml:space="preserve">HDCP.</t>
  </si>
  <si>
    <t xml:space="preserve">Testar a origem direto em uma TV. Trocar a fonte do conteúdo.</t>
  </si>
  <si>
    <t xml:space="preserve">Computador só oferece resolução baixa</t>
  </si>
  <si>
    <t xml:space="preserve">O EDID não chegou à origem.</t>
  </si>
  <si>
    <t xml:space="preserve">Religar o cabo na origem com o destino já ligado. Testar sem o extensor.</t>
  </si>
  <si>
    <t xml:space="preserve">Movimento aos trancos</t>
  </si>
  <si>
    <t xml:space="preserve">Taxas de quadros de famílias diferentes no caminho.</t>
  </si>
  <si>
    <t xml:space="preserve">Igualar a taxa da origem ao padrão do sistema.</t>
  </si>
  <si>
    <t xml:space="preserve">Bordas serrilhadas no movimento</t>
  </si>
  <si>
    <t xml:space="preserve">Sinal entrelaçado mostrado sem desentrelaçar.</t>
  </si>
  <si>
    <t xml:space="preserve">Mudar a origem para progressivo, ou ativar o desentrelaçamento no destino.</t>
  </si>
  <si>
    <t xml:space="preserve">Imagem esticada, cortada ou com barras</t>
  </si>
  <si>
    <t xml:space="preserve">Proporção ou resolução da origem diferente da do destino.</t>
  </si>
  <si>
    <t xml:space="preserve">Ajustar o computador para 1920 × 1080 e o modo de imagem do destino.</t>
  </si>
  <si>
    <t xml:space="preserve">Imagem perfeita, sem som</t>
  </si>
  <si>
    <t xml:space="preserve">Saída de áudio errada no computador, ou áudio não repassado pelo conversor.</t>
  </si>
  <si>
    <t xml:space="preserve">Conferir a saída de som do computador e as chaves de áudio do conversor.</t>
  </si>
  <si>
    <t xml:space="preserve">Distâncias e limites são valores práticos, que variam com a qualidade do cabo e com o equipamento das duas pontas.</t>
  </si>
  <si>
    <t xml:space="preserve">Checklist dos sinais de vídeo</t>
  </si>
  <si>
    <t xml:space="preserve">Confira na montagem, antes do ensaio. Escolha a situação de cada item na lista suspensa.</t>
  </si>
  <si>
    <t xml:space="preserve">Grupo</t>
  </si>
  <si>
    <t xml:space="preserve">Item</t>
  </si>
  <si>
    <t xml:space="preserve">Preparação</t>
  </si>
  <si>
    <t xml:space="preserve">O padrão do sistema (resolução, varredura e taxa de quadros) está definido e anotado.</t>
  </si>
  <si>
    <t xml:space="preserve">O diagrama de sinal está desenhado, e o mapa de sinais tem o comprimento de cada trecho.</t>
  </si>
  <si>
    <t xml:space="preserve">Cada câmera e cada computador está configurado para enviar o padrão do sistema.</t>
  </si>
  <si>
    <t xml:space="preserve">Cabos</t>
  </si>
  <si>
    <t xml:space="preserve">Nenhum trecho passa do comprimento recomendado: os longos usam SDI, extensor, cabo óptico ou fibra.</t>
  </si>
  <si>
    <t xml:space="preserve">Os cabos ativos e ópticos estão no sentido certo, com a ponta de origem na origem.</t>
  </si>
  <si>
    <t xml:space="preserve">Os conectores BNC estão travados, os HDMI têm alívio de tensão, e os cabos no chão estão presos.</t>
  </si>
  <si>
    <t xml:space="preserve">Conversores</t>
  </si>
  <si>
    <t xml:space="preserve">Cada conversor, extensor e distribuidor está alimentado, com a fonte presa e a luz de sinal acesa.</t>
  </si>
  <si>
    <t xml:space="preserve">A saída de cada computador está em 1920 × 1080, na taxa do sistema, estendida ou duplicada conforme o uso.</t>
  </si>
  <si>
    <t xml:space="preserve">Teste</t>
  </si>
  <si>
    <t xml:space="preserve">Cada entrada do switcher mostra imagem estável por dez minutos, sem piscar nem chuviscar.</t>
  </si>
  <si>
    <t xml:space="preserve">Cada destino mostra a imagem inteira, sem cortes, sem barras inesperadas e sem esticar.</t>
  </si>
  <si>
    <t xml:space="preserve">O áudio embutido chega aonde deve, e o som do computador sai pela saída prevista.</t>
  </si>
  <si>
    <t xml:space="preserve">As mídias do evento foram testadas no caminho real, e há um cabo curto testado e um conversor de reserva.</t>
  </si>
  <si>
    <t xml:space="preserve">Percentual atendido (Parcial vale metade)</t>
  </si>
  <si>
    <t xml:space="preserve">Exemplo preenchido, para consulta. Use a aba Mapa de sinais para o seu sistema.</t>
  </si>
  <si>
    <t xml:space="preserve">Culto de domingo, 19 h</t>
  </si>
  <si>
    <t xml:space="preserve">Igreja de 200 lugares</t>
  </si>
  <si>
    <t xml:space="preserve">Operador de vídeo da escala</t>
  </si>
  <si>
    <t xml:space="preserve">Situação antes das correções. As colunas de I a N são calculadas. O que foi ajustado está no fim da aba.</t>
  </si>
  <si>
    <t xml:space="preserve">Câmera 1 (fundo, central)</t>
  </si>
  <si>
    <t xml:space="preserve">Câmera 2 (lateral)</t>
  </si>
  <si>
    <t xml:space="preserve">Switcher, entrada 2</t>
  </si>
  <si>
    <t xml:space="preserve">Câmera 3 (palco)</t>
  </si>
  <si>
    <t xml:space="preserve">Switcher, entrada 3</t>
  </si>
  <si>
    <t xml:space="preserve">Computador das letras</t>
  </si>
  <si>
    <t xml:space="preserve">Switcher, entrada 4</t>
  </si>
  <si>
    <t xml:space="preserve">Notebook de visitante</t>
  </si>
  <si>
    <t xml:space="preserve">Sim</t>
  </si>
  <si>
    <t xml:space="preserve">Switcher, entrada 5</t>
  </si>
  <si>
    <t xml:space="preserve">Switcher, saída de programa 1</t>
  </si>
  <si>
    <t xml:space="preserve">Projetor (telão)</t>
  </si>
  <si>
    <t xml:space="preserve">Switcher, saída de programa 2</t>
  </si>
  <si>
    <t xml:space="preserve">TV de retorno do palco</t>
  </si>
  <si>
    <t xml:space="preserve">Switcher, saída auxiliar</t>
  </si>
  <si>
    <t xml:space="preserve">Computador da transmissão</t>
  </si>
  <si>
    <t xml:space="preserve">O que foi ajustado</t>
  </si>
  <si>
    <t xml:space="preserve">Trecho</t>
  </si>
  <si>
    <t xml:space="preserve">O que foi feito</t>
  </si>
  <si>
    <t xml:space="preserve">Depois</t>
  </si>
  <si>
    <t xml:space="preserve">Conversor HDMI → SDI preso ao tripé da câmera e cabo coaxial de 15 m até o switcher.</t>
  </si>
  <si>
    <t xml:space="preserve">Ligação: SDI. Situação: OK</t>
  </si>
  <si>
    <t xml:space="preserve">Saída HDMI da câmera mudada de 1080i59.94 para 1080p59.94 no menu.</t>
  </si>
  <si>
    <t xml:space="preserve">Formato: Igual. Situação: OK</t>
  </si>
  <si>
    <t xml:space="preserve">Frequência da saída do computador mudada de 60 para 59,94 Hz.</t>
  </si>
  <si>
    <t xml:space="preserve">Nada: o scaler recebe a resolução do notebook e entrega o padrão.</t>
  </si>
  <si>
    <t xml:space="preserve">Formato: Convertido</t>
  </si>
  <si>
    <t xml:space="preserve">10</t>
  </si>
  <si>
    <t xml:space="preserve">Cabo USB trocado por um de 1 m, com o computador ao lado do switcher.</t>
  </si>
  <si>
    <t xml:space="preserve">Cabo: OK. Situação: OK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</si>
</sst>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0%"/>
    <numFmt numFmtId="167" formatCode="General"/>
    <numFmt numFmtId="168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B6B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6242E"/>
      <name val="Arial"/>
      <family val="0"/>
      <charset val="1"/>
    </font>
    <font>
      <sz val="10"/>
      <color rgb="FF16242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B6B76"/>
      <name val="Arial"/>
      <family val="0"/>
      <charset val="1"/>
    </font>
    <font>
      <b val="true"/>
      <sz val="10"/>
      <color rgb="FF5B6B76"/>
      <name val="Arial"/>
      <family val="0"/>
      <charset val="1"/>
    </font>
    <font>
      <sz val="9"/>
      <color rgb="FF16242E"/>
      <name val="Arial"/>
      <family val="0"/>
      <charset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6242E"/>
        <bgColor rgb="FF003300"/>
      </patternFill>
    </fill>
    <fill>
      <patternFill patternType="solid">
        <fgColor rgb="FFEEF1F3"/>
        <bgColor rgb="FFFFF9DB"/>
      </patternFill>
    </fill>
    <fill>
      <patternFill patternType="solid">
        <fgColor rgb="FFFFF9DB"/>
        <bgColor rgb="FFFBEBC8"/>
      </patternFill>
    </fill>
    <fill>
      <patternFill patternType="solid">
        <fgColor rgb="FFA96A12"/>
        <bgColor rgb="FF993300"/>
      </patternFill>
    </fill>
    <fill>
      <patternFill patternType="solid">
        <fgColor rgb="FF2B5C8A"/>
        <bgColor rgb="FF1E7B73"/>
      </patternFill>
    </fill>
    <fill>
      <patternFill patternType="solid">
        <fgColor rgb="FF1E7B73"/>
        <bgColor rgb="FF008080"/>
      </patternFill>
    </fill>
    <fill>
      <patternFill patternType="solid">
        <fgColor rgb="FFFFFFFF"/>
        <bgColor rgb="FFFFF9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8"/>
      </left>
      <right style="thin">
        <color rgb="FFC9D2D8"/>
      </right>
      <top style="thin">
        <color rgb="FFC9D2D8"/>
      </top>
      <bottom style="thin">
        <color rgb="FFC9D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8EFDD"/>
        </patternFill>
      </fill>
    </dxf>
    <dxf>
      <fill>
        <patternFill>
          <bgColor rgb="FFFBEBC8"/>
        </patternFill>
      </fill>
    </dxf>
    <dxf>
      <fill>
        <patternFill>
          <bgColor rgb="FFF6D9D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96A12"/>
      <rgbColor rgb="FF800080"/>
      <rgbColor rgb="FF1E7B73"/>
      <rgbColor rgb="FFC0C0C0"/>
      <rgbColor rgb="FF808080"/>
      <rgbColor rgb="FF9999FF"/>
      <rgbColor rgb="FF7A4A9A"/>
      <rgbColor rgb="FFFFF9DB"/>
      <rgbColor rgb="FFEEF1F3"/>
      <rgbColor rgb="FF660066"/>
      <rgbColor rgb="FFFF8080"/>
      <rgbColor rgb="FF0066CC"/>
      <rgbColor rgb="FFC9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EFDD"/>
      <rgbColor rgb="FFFBEBC8"/>
      <rgbColor rgb="FF99CCFF"/>
      <rgbColor rgb="FFFF99CC"/>
      <rgbColor rgb="FFCC99FF"/>
      <rgbColor rgb="FFF6D9D7"/>
      <rgbColor rgb="FF3366FF"/>
      <rgbColor rgb="FF33CCCC"/>
      <rgbColor rgb="FF99CC00"/>
      <rgbColor rgb="FFFFCC00"/>
      <rgbColor rgb="FFFF9900"/>
      <rgbColor rgb="FFFF6600"/>
      <rgbColor rgb="FF5B6B76"/>
      <rgbColor rgb="FF969696"/>
      <rgbColor rgb="FF003366"/>
      <rgbColor rgb="FF339966"/>
      <rgbColor rgb="FF003300"/>
      <rgbColor rgb="FF333300"/>
      <rgbColor rgb="FF993300"/>
      <rgbColor rgb="FF993366"/>
      <rgbColor rgb="FF2B5C8A"/>
      <rgbColor rgb="FF162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42E"/>
    <pageSetUpPr fitToPage="true"/>
  </sheetPr>
  <dimension ref="B1:C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96"/>
    <col collapsed="false" customWidth="true" hidden="false" outlineLevel="0" max="4" min="4" style="0" width="2"/>
  </cols>
  <sheetData>
    <row r="1" customFormat="false" ht="31.5" hidden="false" customHeight="true" outlineLevel="0" collapsed="false">
      <c r="B1" s="1" t="s">
        <v>0</v>
      </c>
      <c r="C1" s="1"/>
    </row>
    <row r="2" customFormat="false" ht="19.5" hidden="false" customHeight="true" outlineLevel="0" collapsed="false">
      <c r="B2" s="2" t="s">
        <v>1</v>
      </c>
      <c r="C2" s="2"/>
    </row>
    <row r="4" customFormat="false" ht="21.75" hidden="false" customHeight="true" outlineLevel="0" collapsed="false">
      <c r="B4" s="3" t="s">
        <v>2</v>
      </c>
      <c r="C4" s="3"/>
    </row>
    <row r="5" customFormat="false" ht="19.5" hidden="false" customHeight="true" outlineLevel="0" collapsed="false">
      <c r="B5" s="4" t="s">
        <v>3</v>
      </c>
      <c r="C5" s="5" t="s">
        <v>4</v>
      </c>
    </row>
    <row r="6" customFormat="false" ht="19.5" hidden="false" customHeight="true" outlineLevel="0" collapsed="false">
      <c r="B6" s="4" t="s">
        <v>5</v>
      </c>
      <c r="C6" s="6" t="s">
        <v>6</v>
      </c>
    </row>
    <row r="7" customFormat="false" ht="19.5" hidden="false" customHeight="true" outlineLevel="0" collapsed="false">
      <c r="B7" s="4" t="s">
        <v>7</v>
      </c>
      <c r="C7" s="6" t="s">
        <v>8</v>
      </c>
    </row>
    <row r="8" customFormat="false" ht="19.5" hidden="false" customHeight="true" outlineLevel="0" collapsed="false">
      <c r="B8" s="4" t="s">
        <v>9</v>
      </c>
      <c r="C8" s="7" t="s">
        <v>10</v>
      </c>
    </row>
    <row r="9" customFormat="false" ht="31.5" hidden="false" customHeight="true" outlineLevel="0" collapsed="false">
      <c r="B9" s="4" t="s">
        <v>11</v>
      </c>
      <c r="C9" s="7" t="s">
        <v>12</v>
      </c>
    </row>
    <row r="10" customFormat="false" ht="19.5" hidden="false" customHeight="true" outlineLevel="0" collapsed="false">
      <c r="B10" s="4" t="s">
        <v>13</v>
      </c>
      <c r="C10" s="7" t="s">
        <v>14</v>
      </c>
    </row>
    <row r="12" customFormat="false" ht="21.75" hidden="false" customHeight="true" outlineLevel="0" collapsed="false">
      <c r="B12" s="3" t="s">
        <v>15</v>
      </c>
      <c r="C12" s="3"/>
    </row>
    <row r="13" customFormat="false" ht="19.5" hidden="false" customHeight="true" outlineLevel="0" collapsed="false">
      <c r="B13" s="8" t="s">
        <v>16</v>
      </c>
      <c r="C13" s="7" t="s">
        <v>17</v>
      </c>
    </row>
    <row r="14" customFormat="false" ht="31.5" hidden="false" customHeight="true" outlineLevel="0" collapsed="false">
      <c r="B14" s="8" t="s">
        <v>18</v>
      </c>
      <c r="C14" s="7" t="s">
        <v>19</v>
      </c>
    </row>
    <row r="15" customFormat="false" ht="31.5" hidden="false" customHeight="true" outlineLevel="0" collapsed="false">
      <c r="B15" s="8" t="s">
        <v>20</v>
      </c>
      <c r="C15" s="7" t="s">
        <v>21</v>
      </c>
    </row>
    <row r="16" customFormat="false" ht="31.5" hidden="false" customHeight="true" outlineLevel="0" collapsed="false">
      <c r="B16" s="8" t="s">
        <v>22</v>
      </c>
      <c r="C16" s="7" t="s">
        <v>23</v>
      </c>
    </row>
    <row r="17" customFormat="false" ht="19.5" hidden="false" customHeight="true" outlineLevel="0" collapsed="false">
      <c r="B17" s="8" t="s">
        <v>24</v>
      </c>
      <c r="C17" s="7" t="s">
        <v>25</v>
      </c>
    </row>
    <row r="18" customFormat="false" ht="19.5" hidden="false" customHeight="true" outlineLevel="0" collapsed="false">
      <c r="B18" s="8" t="s">
        <v>26</v>
      </c>
      <c r="C18" s="7" t="s">
        <v>27</v>
      </c>
    </row>
    <row r="20" customFormat="false" ht="21.75" hidden="false" customHeight="true" outlineLevel="0" collapsed="false">
      <c r="B20" s="3" t="s">
        <v>28</v>
      </c>
      <c r="C20" s="3"/>
    </row>
    <row r="21" customFormat="false" ht="19.5" hidden="false" customHeight="true" outlineLevel="0" collapsed="false">
      <c r="B21" s="4" t="s">
        <v>29</v>
      </c>
      <c r="C21" s="7" t="s">
        <v>30</v>
      </c>
    </row>
    <row r="22" customFormat="false" ht="19.5" hidden="false" customHeight="true" outlineLevel="0" collapsed="false">
      <c r="B22" s="4" t="s">
        <v>31</v>
      </c>
      <c r="C22" s="7" t="s">
        <v>32</v>
      </c>
    </row>
    <row r="23" customFormat="false" ht="31.5" hidden="false" customHeight="true" outlineLevel="0" collapsed="false">
      <c r="B23" s="4" t="s">
        <v>33</v>
      </c>
      <c r="C23" s="7" t="s">
        <v>34</v>
      </c>
    </row>
    <row r="24" customFormat="false" ht="19.5" hidden="false" customHeight="true" outlineLevel="0" collapsed="false">
      <c r="B24" s="4" t="s">
        <v>35</v>
      </c>
      <c r="C24" s="7" t="s">
        <v>36</v>
      </c>
    </row>
    <row r="25" customFormat="false" ht="19.5" hidden="false" customHeight="true" outlineLevel="0" collapsed="false">
      <c r="B25" s="4" t="s">
        <v>37</v>
      </c>
      <c r="C25" s="7" t="s">
        <v>38</v>
      </c>
    </row>
    <row r="26" customFormat="false" ht="19.5" hidden="false" customHeight="true" outlineLevel="0" collapsed="false">
      <c r="B26" s="4" t="s">
        <v>39</v>
      </c>
      <c r="C26" s="7" t="s">
        <v>40</v>
      </c>
    </row>
    <row r="28" customFormat="false" ht="21.75" hidden="false" customHeight="true" outlineLevel="0" collapsed="false">
      <c r="B28" s="3" t="s">
        <v>41</v>
      </c>
      <c r="C28" s="3"/>
    </row>
    <row r="29" customFormat="false" ht="31.5" hidden="false" customHeight="true" outlineLevel="0" collapsed="false">
      <c r="B29" s="4" t="s">
        <v>42</v>
      </c>
      <c r="C29" s="7" t="s">
        <v>43</v>
      </c>
    </row>
    <row r="30" customFormat="false" ht="31.5" hidden="false" customHeight="true" outlineLevel="0" collapsed="false">
      <c r="B30" s="4" t="s">
        <v>44</v>
      </c>
      <c r="C30" s="7" t="s">
        <v>45</v>
      </c>
    </row>
    <row r="31" customFormat="false" ht="31.5" hidden="false" customHeight="true" outlineLevel="0" collapsed="false">
      <c r="B31" s="4" t="s">
        <v>46</v>
      </c>
      <c r="C31" s="7" t="s">
        <v>47</v>
      </c>
    </row>
    <row r="32" customFormat="false" ht="31.5" hidden="false" customHeight="true" outlineLevel="0" collapsed="false">
      <c r="B32" s="4" t="s">
        <v>48</v>
      </c>
      <c r="C32" s="7" t="s">
        <v>49</v>
      </c>
    </row>
    <row r="33" customFormat="false" ht="19.5" hidden="false" customHeight="true" outlineLevel="0" collapsed="false">
      <c r="B33" s="4" t="s">
        <v>50</v>
      </c>
      <c r="C33" s="7" t="s">
        <v>51</v>
      </c>
    </row>
    <row r="34" customFormat="false" ht="19.5" hidden="false" customHeight="true" outlineLevel="0" collapsed="false">
      <c r="B34" s="4" t="s">
        <v>52</v>
      </c>
      <c r="C34" s="7" t="s">
        <v>53</v>
      </c>
    </row>
    <row r="35" customFormat="false" ht="31.5" hidden="false" customHeight="true" outlineLevel="0" collapsed="false">
      <c r="B35" s="4" t="s">
        <v>31</v>
      </c>
      <c r="C35" s="7" t="s">
        <v>54</v>
      </c>
    </row>
    <row r="36" customFormat="false" ht="19.5" hidden="false" customHeight="true" outlineLevel="0" collapsed="false">
      <c r="B36" s="4" t="s">
        <v>55</v>
      </c>
      <c r="C36" s="7" t="s">
        <v>56</v>
      </c>
    </row>
  </sheetData>
  <mergeCells count="6">
    <mergeCell ref="B1:C1"/>
    <mergeCell ref="B2:C2"/>
    <mergeCell ref="B4:C4"/>
    <mergeCell ref="B12:C12"/>
    <mergeCell ref="B20:C20"/>
    <mergeCell ref="B28:C28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A"/>
    <pageSetUpPr fitToPage="true"/>
  </sheetPr>
  <dimension ref="B1:O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6" topLeftCell="D17" activePane="bottomRight" state="frozen"/>
      <selection pane="topLeft" activeCell="A1" activeCellId="0" sqref="A1"/>
      <selection pane="topRight" activeCell="D1" activeCellId="0" sqref="D1"/>
      <selection pane="bottomLeft" activeCell="A17" activeCellId="0" sqref="A1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1"/>
    <col collapsed="false" customWidth="true" hidden="false" outlineLevel="0" max="7" min="7" style="0" width="30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16"/>
    <col collapsed="false" customWidth="true" hidden="false" outlineLevel="0" max="14" min="14" style="0" width="54"/>
    <col collapsed="false" customWidth="true" hidden="false" outlineLevel="0" max="15" min="15" style="0" width="28"/>
    <col collapsed="false" customWidth="true" hidden="false" outlineLevel="0" max="16" min="16" style="0" width="2"/>
  </cols>
  <sheetData>
    <row r="1" customFormat="false" ht="31.5" hidden="false" customHeight="true" outlineLevel="0" collapsed="false">
      <c r="B1" s="1" t="s">
        <v>57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9.5" hidden="false" customHeight="true" outlineLevel="0" collapsed="false">
      <c r="B2" s="2" t="s">
        <v>58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21.75" hidden="false" customHeight="true" outlineLevel="0" collapsed="false">
      <c r="B4" s="4" t="s">
        <v>59</v>
      </c>
      <c r="C4" s="4"/>
      <c r="D4" s="5"/>
      <c r="E4" s="5"/>
      <c r="F4" s="5"/>
      <c r="G4" s="9" t="s">
        <v>60</v>
      </c>
      <c r="H4" s="10" t="s">
        <v>61</v>
      </c>
      <c r="I4" s="10" t="s">
        <v>62</v>
      </c>
      <c r="J4" s="10" t="s">
        <v>63</v>
      </c>
      <c r="K4" s="10" t="s">
        <v>64</v>
      </c>
      <c r="L4" s="11" t="s">
        <v>65</v>
      </c>
      <c r="M4" s="11"/>
      <c r="N4" s="11"/>
      <c r="O4" s="11"/>
    </row>
    <row r="5" customFormat="false" ht="21.75" hidden="false" customHeight="true" outlineLevel="0" collapsed="false">
      <c r="B5" s="4" t="s">
        <v>66</v>
      </c>
      <c r="C5" s="4"/>
      <c r="D5" s="5"/>
      <c r="E5" s="5"/>
      <c r="F5" s="5"/>
      <c r="G5" s="4" t="s">
        <v>67</v>
      </c>
      <c r="H5" s="12" t="n">
        <v>10</v>
      </c>
      <c r="I5" s="12" t="n">
        <v>10</v>
      </c>
      <c r="J5" s="12" t="n">
        <v>5</v>
      </c>
      <c r="K5" s="12" t="n">
        <v>3</v>
      </c>
      <c r="L5" s="11" t="s">
        <v>68</v>
      </c>
      <c r="M5" s="11"/>
      <c r="N5" s="11"/>
      <c r="O5" s="11"/>
    </row>
    <row r="6" customFormat="false" ht="21.75" hidden="false" customHeight="true" outlineLevel="0" collapsed="false">
      <c r="B6" s="4" t="s">
        <v>69</v>
      </c>
      <c r="C6" s="4"/>
      <c r="D6" s="13"/>
      <c r="E6" s="13"/>
      <c r="F6" s="13"/>
      <c r="G6" s="4" t="s">
        <v>70</v>
      </c>
      <c r="H6" s="12" t="n">
        <v>30</v>
      </c>
      <c r="I6" s="12" t="n">
        <v>30</v>
      </c>
      <c r="J6" s="12" t="n">
        <v>30</v>
      </c>
      <c r="K6" s="12" t="n">
        <v>30</v>
      </c>
      <c r="L6" s="11" t="s">
        <v>71</v>
      </c>
      <c r="M6" s="11"/>
      <c r="N6" s="11"/>
      <c r="O6" s="11"/>
    </row>
    <row r="7" customFormat="false" ht="21.75" hidden="false" customHeight="true" outlineLevel="0" collapsed="false">
      <c r="B7" s="4" t="s">
        <v>72</v>
      </c>
      <c r="C7" s="4"/>
      <c r="D7" s="5"/>
      <c r="E7" s="5"/>
      <c r="F7" s="5"/>
      <c r="G7" s="4" t="s">
        <v>73</v>
      </c>
      <c r="H7" s="12" t="n">
        <v>100</v>
      </c>
      <c r="I7" s="12" t="n">
        <v>70</v>
      </c>
      <c r="J7" s="12" t="n">
        <v>50</v>
      </c>
      <c r="K7" s="12" t="n">
        <v>30</v>
      </c>
      <c r="L7" s="11" t="s">
        <v>74</v>
      </c>
      <c r="M7" s="11"/>
      <c r="N7" s="11"/>
      <c r="O7" s="11"/>
    </row>
    <row r="8" customFormat="false" ht="21.75" hidden="false" customHeight="true" outlineLevel="0" collapsed="false">
      <c r="B8" s="4" t="s">
        <v>42</v>
      </c>
      <c r="C8" s="4"/>
      <c r="D8" s="14" t="s">
        <v>75</v>
      </c>
      <c r="E8" s="14"/>
      <c r="F8" s="14"/>
      <c r="G8" s="4" t="s">
        <v>76</v>
      </c>
      <c r="H8" s="12" t="n">
        <v>70</v>
      </c>
      <c r="I8" s="12" t="n">
        <v>70</v>
      </c>
      <c r="J8" s="12" t="n">
        <v>40</v>
      </c>
      <c r="K8" s="12" t="n">
        <v>40</v>
      </c>
      <c r="L8" s="11" t="s">
        <v>77</v>
      </c>
      <c r="M8" s="11"/>
      <c r="N8" s="11"/>
      <c r="O8" s="11"/>
    </row>
    <row r="9" customFormat="false" ht="21.75" hidden="false" customHeight="true" outlineLevel="0" collapsed="false">
      <c r="B9" s="4" t="s">
        <v>78</v>
      </c>
      <c r="C9" s="4"/>
      <c r="D9" s="15" t="n">
        <v>0.8</v>
      </c>
      <c r="E9" s="15"/>
      <c r="F9" s="15"/>
      <c r="G9" s="4" t="s">
        <v>79</v>
      </c>
      <c r="H9" s="12" t="n">
        <v>300</v>
      </c>
      <c r="I9" s="12" t="n">
        <v>300</v>
      </c>
      <c r="J9" s="12" t="n">
        <v>300</v>
      </c>
      <c r="K9" s="12" t="n">
        <v>300</v>
      </c>
      <c r="L9" s="11" t="s">
        <v>80</v>
      </c>
      <c r="M9" s="11"/>
      <c r="N9" s="11"/>
      <c r="O9" s="11"/>
    </row>
    <row r="10" customFormat="false" ht="21.75" hidden="false" customHeight="true" outlineLevel="0" collapsed="false">
      <c r="B10" s="11" t="s">
        <v>81</v>
      </c>
      <c r="C10" s="11"/>
      <c r="D10" s="11"/>
      <c r="E10" s="11"/>
      <c r="F10" s="11"/>
      <c r="G10" s="4" t="s">
        <v>82</v>
      </c>
      <c r="H10" s="12" t="n">
        <v>100</v>
      </c>
      <c r="I10" s="12" t="n">
        <v>100</v>
      </c>
      <c r="J10" s="12" t="n">
        <v>100</v>
      </c>
      <c r="K10" s="12" t="n">
        <v>100</v>
      </c>
      <c r="L10" s="11" t="s">
        <v>83</v>
      </c>
      <c r="M10" s="11"/>
      <c r="N10" s="11"/>
      <c r="O10" s="11"/>
    </row>
    <row r="11" customFormat="false" ht="21.75" hidden="false" customHeight="true" outlineLevel="0" collapsed="false">
      <c r="B11" s="11" t="s">
        <v>84</v>
      </c>
      <c r="C11" s="11"/>
      <c r="D11" s="11"/>
      <c r="E11" s="11"/>
      <c r="F11" s="11"/>
      <c r="G11" s="4" t="s">
        <v>85</v>
      </c>
      <c r="H11" s="12" t="n">
        <v>3</v>
      </c>
      <c r="I11" s="12" t="n">
        <v>3</v>
      </c>
      <c r="J11" s="12" t="n">
        <v>3</v>
      </c>
      <c r="K11" s="12" t="n">
        <v>3</v>
      </c>
      <c r="L11" s="11" t="s">
        <v>86</v>
      </c>
      <c r="M11" s="11"/>
      <c r="N11" s="11"/>
      <c r="O11" s="11"/>
    </row>
    <row r="13" customFormat="false" ht="21.75" hidden="false" customHeight="true" outlineLevel="0" collapsed="false">
      <c r="B13" s="16" t="s">
        <v>87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</row>
    <row r="14" customFormat="false" ht="30" hidden="false" customHeight="true" outlineLevel="0" collapsed="false">
      <c r="B14" s="17" t="s">
        <v>88</v>
      </c>
      <c r="C14" s="17" t="s">
        <v>89</v>
      </c>
      <c r="D14" s="18" t="s">
        <v>90</v>
      </c>
      <c r="E14" s="10" t="s">
        <v>91</v>
      </c>
      <c r="F14" s="10" t="s">
        <v>92</v>
      </c>
      <c r="G14" s="17" t="s">
        <v>93</v>
      </c>
      <c r="H14" s="18" t="s">
        <v>44</v>
      </c>
      <c r="I14" s="19" t="s">
        <v>94</v>
      </c>
      <c r="J14" s="19" t="s">
        <v>95</v>
      </c>
      <c r="K14" s="19" t="s">
        <v>96</v>
      </c>
      <c r="L14" s="19" t="s">
        <v>97</v>
      </c>
      <c r="M14" s="19" t="s">
        <v>98</v>
      </c>
      <c r="N14" s="19" t="s">
        <v>99</v>
      </c>
      <c r="O14" s="17" t="s">
        <v>100</v>
      </c>
    </row>
    <row r="15" customFormat="false" ht="21.75" hidden="false" customHeight="true" outlineLevel="0" collapsed="false">
      <c r="B15" s="20"/>
      <c r="C15" s="20" t="s">
        <v>101</v>
      </c>
      <c r="D15" s="20" t="s">
        <v>102</v>
      </c>
      <c r="E15" s="20" t="s">
        <v>103</v>
      </c>
      <c r="F15" s="20" t="s">
        <v>104</v>
      </c>
      <c r="G15" s="20" t="s">
        <v>105</v>
      </c>
      <c r="H15" s="20" t="s">
        <v>106</v>
      </c>
      <c r="I15" s="20" t="s">
        <v>107</v>
      </c>
      <c r="J15" s="20" t="s">
        <v>104</v>
      </c>
      <c r="K15" s="20" t="s">
        <v>108</v>
      </c>
      <c r="L15" s="20" t="s">
        <v>109</v>
      </c>
      <c r="M15" s="20"/>
      <c r="N15" s="20"/>
      <c r="O15" s="20"/>
    </row>
    <row r="16" customFormat="false" ht="24" hidden="false" customHeight="true" outlineLevel="0" collapsed="false">
      <c r="B16" s="20" t="s">
        <v>110</v>
      </c>
      <c r="C16" s="11" t="s">
        <v>111</v>
      </c>
      <c r="D16" s="20" t="s">
        <v>75</v>
      </c>
      <c r="E16" s="20" t="s">
        <v>73</v>
      </c>
      <c r="F16" s="20" t="n">
        <v>40</v>
      </c>
      <c r="G16" s="11" t="s">
        <v>112</v>
      </c>
      <c r="H16" s="20" t="s">
        <v>113</v>
      </c>
      <c r="I16" s="20" t="s">
        <v>62</v>
      </c>
      <c r="J16" s="20" t="n">
        <v>70</v>
      </c>
      <c r="K16" s="20" t="s">
        <v>114</v>
      </c>
      <c r="L16" s="20" t="s">
        <v>115</v>
      </c>
      <c r="M16" s="20" t="s">
        <v>115</v>
      </c>
      <c r="N16" s="11" t="s">
        <v>116</v>
      </c>
      <c r="O16" s="11"/>
    </row>
    <row r="17" customFormat="false" ht="21.75" hidden="false" customHeight="true" outlineLevel="0" collapsed="false">
      <c r="B17" s="21" t="n">
        <v>1</v>
      </c>
      <c r="C17" s="5"/>
      <c r="D17" s="12"/>
      <c r="E17" s="12"/>
      <c r="F17" s="12"/>
      <c r="G17" s="5"/>
      <c r="H17" s="12"/>
      <c r="I17" s="22" t="str">
        <f aca="false">IF(D17="","",IFERROR(VLOOKUP(D17,Referência!$B$6:$I$26,5,0),""))</f>
        <v/>
      </c>
      <c r="J17" s="22" t="str">
        <f aca="false">IF(OR(D17="",E17=""),"",IFERROR(1/(1/INDEX($H$5:$K$11,MATCH(E17,$G$5:$G$11,0),VLOOKUP(D17,Referência!$B$6:$I$26,6,0))),""))</f>
        <v/>
      </c>
      <c r="K17" s="23" t="str">
        <f aca="false">IF(OR(D17="",$D$8=""),"",IF(D17=$D$8,"Igual",IF(H17="Sim","Convertido","Diferente")))</f>
        <v/>
      </c>
      <c r="L17" s="23" t="str">
        <f aca="false">IF(OR(F17="",J17=""),"",IF(F17&gt;J17,"Acima",IF(F17&gt;J17*IF($D$9="",1,$D$9),"No limite","OK")))</f>
        <v/>
      </c>
      <c r="M17" s="23" t="str">
        <f aca="false">IF(AND(K17="",L17=""),"",IF(AND(K17="Diferente",L17="Acima"),"Formato e cabo",IF(K17="Diferente","Formato",IF(L17="Acima","Comprimento",IF(L17="No limite","No limite",IF(OR(K17="",L17=""),"Incompleto","OK"))))))</f>
        <v/>
      </c>
      <c r="N17" s="24" t="str">
        <f aca="false">IF(M17="","",IF(M17="Formato e cabo","Ajuste a origem para "&amp;$D$8&amp;" e troque o tipo de ligação do trecho",IF(M17="Formato","Ajuste a saída da origem para "&amp;$D$8&amp;", ou use um scaler antes do destino",IF(M17="Comprimento",IF(E17="HDMI passivo","Use SDI com conversor, HDBaseT ou cabo HDMI óptico",IF(E17="USB","Aproxime o computador ou use extensão USB ativa","Encurte o trecho, use cabo melhor ou passe para fibra")),IF(M17="No limite","Teste com o cabo no caminho real e tenha um reserva",IF(M17="Incompleto","Informe o formato, a ligação e o comprimento","Manter"))))))</f>
        <v/>
      </c>
      <c r="O17" s="5"/>
    </row>
    <row r="18" customFormat="false" ht="21.75" hidden="false" customHeight="true" outlineLevel="0" collapsed="false">
      <c r="B18" s="21" t="n">
        <v>2</v>
      </c>
      <c r="C18" s="5"/>
      <c r="D18" s="12"/>
      <c r="E18" s="12"/>
      <c r="F18" s="12"/>
      <c r="G18" s="5"/>
      <c r="H18" s="12"/>
      <c r="I18" s="22" t="str">
        <f aca="false">IF(D18="","",IFERROR(VLOOKUP(D18,Referência!$B$6:$I$26,5,0),""))</f>
        <v/>
      </c>
      <c r="J18" s="22" t="str">
        <f aca="false">IF(OR(D18="",E18=""),"",IFERROR(1/(1/INDEX($H$5:$K$11,MATCH(E18,$G$5:$G$11,0),VLOOKUP(D18,Referência!$B$6:$I$26,6,0))),""))</f>
        <v/>
      </c>
      <c r="K18" s="23" t="str">
        <f aca="false">IF(OR(D18="",$D$8=""),"",IF(D18=$D$8,"Igual",IF(H18="Sim","Convertido","Diferente")))</f>
        <v/>
      </c>
      <c r="L18" s="23" t="str">
        <f aca="false">IF(OR(F18="",J18=""),"",IF(F18&gt;J18,"Acima",IF(F18&gt;J18*IF($D$9="",1,$D$9),"No limite","OK")))</f>
        <v/>
      </c>
      <c r="M18" s="23" t="str">
        <f aca="false">IF(AND(K18="",L18=""),"",IF(AND(K18="Diferente",L18="Acima"),"Formato e cabo",IF(K18="Diferente","Formato",IF(L18="Acima","Comprimento",IF(L18="No limite","No limite",IF(OR(K18="",L18=""),"Incompleto","OK"))))))</f>
        <v/>
      </c>
      <c r="N18" s="24" t="str">
        <f aca="false">IF(M18="","",IF(M18="Formato e cabo","Ajuste a origem para "&amp;$D$8&amp;" e troque o tipo de ligação do trecho",IF(M18="Formato","Ajuste a saída da origem para "&amp;$D$8&amp;", ou use um scaler antes do destino",IF(M18="Comprimento",IF(E18="HDMI passivo","Use SDI com conversor, HDBaseT ou cabo HDMI óptico",IF(E18="USB","Aproxime o computador ou use extensão USB ativa","Encurte o trecho, use cabo melhor ou passe para fibra")),IF(M18="No limite","Teste com o cabo no caminho real e tenha um reserva",IF(M18="Incompleto","Informe o formato, a ligação e o comprimento","Manter"))))))</f>
        <v/>
      </c>
      <c r="O18" s="5"/>
    </row>
    <row r="19" customFormat="false" ht="21.75" hidden="false" customHeight="true" outlineLevel="0" collapsed="false">
      <c r="B19" s="21" t="n">
        <v>3</v>
      </c>
      <c r="C19" s="5"/>
      <c r="D19" s="12"/>
      <c r="E19" s="12"/>
      <c r="F19" s="12"/>
      <c r="G19" s="5"/>
      <c r="H19" s="12"/>
      <c r="I19" s="22" t="str">
        <f aca="false">IF(D19="","",IFERROR(VLOOKUP(D19,Referência!$B$6:$I$26,5,0),""))</f>
        <v/>
      </c>
      <c r="J19" s="22" t="str">
        <f aca="false">IF(OR(D19="",E19=""),"",IFERROR(1/(1/INDEX($H$5:$K$11,MATCH(E19,$G$5:$G$11,0),VLOOKUP(D19,Referência!$B$6:$I$26,6,0))),""))</f>
        <v/>
      </c>
      <c r="K19" s="23" t="str">
        <f aca="false">IF(OR(D19="",$D$8=""),"",IF(D19=$D$8,"Igual",IF(H19="Sim","Convertido","Diferente")))</f>
        <v/>
      </c>
      <c r="L19" s="23" t="str">
        <f aca="false">IF(OR(F19="",J19=""),"",IF(F19&gt;J19,"Acima",IF(F19&gt;J19*IF($D$9="",1,$D$9),"No limite","OK")))</f>
        <v/>
      </c>
      <c r="M19" s="23" t="str">
        <f aca="false">IF(AND(K19="",L19=""),"",IF(AND(K19="Diferente",L19="Acima"),"Formato e cabo",IF(K19="Diferente","Formato",IF(L19="Acima","Comprimento",IF(L19="No limite","No limite",IF(OR(K19="",L19=""),"Incompleto","OK"))))))</f>
        <v/>
      </c>
      <c r="N19" s="24" t="str">
        <f aca="false">IF(M19="","",IF(M19="Formato e cabo","Ajuste a origem para "&amp;$D$8&amp;" e troque o tipo de ligação do trecho",IF(M19="Formato","Ajuste a saída da origem para "&amp;$D$8&amp;", ou use um scaler antes do destino",IF(M19="Comprimento",IF(E19="HDMI passivo","Use SDI com conversor, HDBaseT ou cabo HDMI óptico",IF(E19="USB","Aproxime o computador ou use extensão USB ativa","Encurte o trecho, use cabo melhor ou passe para fibra")),IF(M19="No limite","Teste com o cabo no caminho real e tenha um reserva",IF(M19="Incompleto","Informe o formato, a ligação e o comprimento","Manter"))))))</f>
        <v/>
      </c>
      <c r="O19" s="5"/>
    </row>
    <row r="20" customFormat="false" ht="21.75" hidden="false" customHeight="true" outlineLevel="0" collapsed="false">
      <c r="B20" s="21" t="n">
        <v>4</v>
      </c>
      <c r="C20" s="5"/>
      <c r="D20" s="12"/>
      <c r="E20" s="12"/>
      <c r="F20" s="12"/>
      <c r="G20" s="5"/>
      <c r="H20" s="12"/>
      <c r="I20" s="22" t="str">
        <f aca="false">IF(D20="","",IFERROR(VLOOKUP(D20,Referência!$B$6:$I$26,5,0),""))</f>
        <v/>
      </c>
      <c r="J20" s="22" t="str">
        <f aca="false">IF(OR(D20="",E20=""),"",IFERROR(1/(1/INDEX($H$5:$K$11,MATCH(E20,$G$5:$G$11,0),VLOOKUP(D20,Referência!$B$6:$I$26,6,0))),""))</f>
        <v/>
      </c>
      <c r="K20" s="23" t="str">
        <f aca="false">IF(OR(D20="",$D$8=""),"",IF(D20=$D$8,"Igual",IF(H20="Sim","Convertido","Diferente")))</f>
        <v/>
      </c>
      <c r="L20" s="23" t="str">
        <f aca="false">IF(OR(F20="",J20=""),"",IF(F20&gt;J20,"Acima",IF(F20&gt;J20*IF($D$9="",1,$D$9),"No limite","OK")))</f>
        <v/>
      </c>
      <c r="M20" s="23" t="str">
        <f aca="false">IF(AND(K20="",L20=""),"",IF(AND(K20="Diferente",L20="Acima"),"Formato e cabo",IF(K20="Diferente","Formato",IF(L20="Acima","Comprimento",IF(L20="No limite","No limite",IF(OR(K20="",L20=""),"Incompleto","OK"))))))</f>
        <v/>
      </c>
      <c r="N20" s="24" t="str">
        <f aca="false">IF(M20="","",IF(M20="Formato e cabo","Ajuste a origem para "&amp;$D$8&amp;" e troque o tipo de ligação do trecho",IF(M20="Formato","Ajuste a saída da origem para "&amp;$D$8&amp;", ou use um scaler antes do destino",IF(M20="Comprimento",IF(E20="HDMI passivo","Use SDI com conversor, HDBaseT ou cabo HDMI óptico",IF(E20="USB","Aproxime o computador ou use extensão USB ativa","Encurte o trecho, use cabo melhor ou passe para fibra")),IF(M20="No limite","Teste com o cabo no caminho real e tenha um reserva",IF(M20="Incompleto","Informe o formato, a ligação e o comprimento","Manter"))))))</f>
        <v/>
      </c>
      <c r="O20" s="5"/>
    </row>
    <row r="21" customFormat="false" ht="21.75" hidden="false" customHeight="true" outlineLevel="0" collapsed="false">
      <c r="B21" s="21" t="n">
        <v>5</v>
      </c>
      <c r="C21" s="5"/>
      <c r="D21" s="12"/>
      <c r="E21" s="12"/>
      <c r="F21" s="12"/>
      <c r="G21" s="5"/>
      <c r="H21" s="12"/>
      <c r="I21" s="22" t="str">
        <f aca="false">IF(D21="","",IFERROR(VLOOKUP(D21,Referência!$B$6:$I$26,5,0),""))</f>
        <v/>
      </c>
      <c r="J21" s="22" t="str">
        <f aca="false">IF(OR(D21="",E21=""),"",IFERROR(1/(1/INDEX($H$5:$K$11,MATCH(E21,$G$5:$G$11,0),VLOOKUP(D21,Referência!$B$6:$I$26,6,0))),""))</f>
        <v/>
      </c>
      <c r="K21" s="23" t="str">
        <f aca="false">IF(OR(D21="",$D$8=""),"",IF(D21=$D$8,"Igual",IF(H21="Sim","Convertido","Diferente")))</f>
        <v/>
      </c>
      <c r="L21" s="23" t="str">
        <f aca="false">IF(OR(F21="",J21=""),"",IF(F21&gt;J21,"Acima",IF(F21&gt;J21*IF($D$9="",1,$D$9),"No limite","OK")))</f>
        <v/>
      </c>
      <c r="M21" s="23" t="str">
        <f aca="false">IF(AND(K21="",L21=""),"",IF(AND(K21="Diferente",L21="Acima"),"Formato e cabo",IF(K21="Diferente","Formato",IF(L21="Acima","Comprimento",IF(L21="No limite","No limite",IF(OR(K21="",L21=""),"Incompleto","OK"))))))</f>
        <v/>
      </c>
      <c r="N21" s="24" t="str">
        <f aca="false">IF(M21="","",IF(M21="Formato e cabo","Ajuste a origem para "&amp;$D$8&amp;" e troque o tipo de ligação do trecho",IF(M21="Formato","Ajuste a saída da origem para "&amp;$D$8&amp;", ou use um scaler antes do destino",IF(M21="Comprimento",IF(E21="HDMI passivo","Use SDI com conversor, HDBaseT ou cabo HDMI óptico",IF(E21="USB","Aproxime o computador ou use extensão USB ativa","Encurte o trecho, use cabo melhor ou passe para fibra")),IF(M21="No limite","Teste com o cabo no caminho real e tenha um reserva",IF(M21="Incompleto","Informe o formato, a ligação e o comprimento","Manter"))))))</f>
        <v/>
      </c>
      <c r="O21" s="5"/>
    </row>
    <row r="22" customFormat="false" ht="21.75" hidden="false" customHeight="true" outlineLevel="0" collapsed="false">
      <c r="B22" s="21" t="n">
        <v>6</v>
      </c>
      <c r="C22" s="5"/>
      <c r="D22" s="12"/>
      <c r="E22" s="12"/>
      <c r="F22" s="12"/>
      <c r="G22" s="5"/>
      <c r="H22" s="12"/>
      <c r="I22" s="22" t="str">
        <f aca="false">IF(D22="","",IFERROR(VLOOKUP(D22,Referência!$B$6:$I$26,5,0),""))</f>
        <v/>
      </c>
      <c r="J22" s="22" t="str">
        <f aca="false">IF(OR(D22="",E22=""),"",IFERROR(1/(1/INDEX($H$5:$K$11,MATCH(E22,$G$5:$G$11,0),VLOOKUP(D22,Referência!$B$6:$I$26,6,0))),""))</f>
        <v/>
      </c>
      <c r="K22" s="23" t="str">
        <f aca="false">IF(OR(D22="",$D$8=""),"",IF(D22=$D$8,"Igual",IF(H22="Sim","Convertido","Diferente")))</f>
        <v/>
      </c>
      <c r="L22" s="23" t="str">
        <f aca="false">IF(OR(F22="",J22=""),"",IF(F22&gt;J22,"Acima",IF(F22&gt;J22*IF($D$9="",1,$D$9),"No limite","OK")))</f>
        <v/>
      </c>
      <c r="M22" s="23" t="str">
        <f aca="false">IF(AND(K22="",L22=""),"",IF(AND(K22="Diferente",L22="Acima"),"Formato e cabo",IF(K22="Diferente","Formato",IF(L22="Acima","Comprimento",IF(L22="No limite","No limite",IF(OR(K22="",L22=""),"Incompleto","OK"))))))</f>
        <v/>
      </c>
      <c r="N22" s="24" t="str">
        <f aca="false">IF(M22="","",IF(M22="Formato e cabo","Ajuste a origem para "&amp;$D$8&amp;" e troque o tipo de ligação do trecho",IF(M22="Formato","Ajuste a saída da origem para "&amp;$D$8&amp;", ou use um scaler antes do destino",IF(M22="Comprimento",IF(E22="HDMI passivo","Use SDI com conversor, HDBaseT ou cabo HDMI óptico",IF(E22="USB","Aproxime o computador ou use extensão USB ativa","Encurte o trecho, use cabo melhor ou passe para fibra")),IF(M22="No limite","Teste com o cabo no caminho real e tenha um reserva",IF(M22="Incompleto","Informe o formato, a ligação e o comprimento","Manter"))))))</f>
        <v/>
      </c>
      <c r="O22" s="5"/>
    </row>
    <row r="23" customFormat="false" ht="21.75" hidden="false" customHeight="true" outlineLevel="0" collapsed="false">
      <c r="B23" s="21" t="n">
        <v>7</v>
      </c>
      <c r="C23" s="5"/>
      <c r="D23" s="12"/>
      <c r="E23" s="12"/>
      <c r="F23" s="12"/>
      <c r="G23" s="5"/>
      <c r="H23" s="12"/>
      <c r="I23" s="22" t="str">
        <f aca="false">IF(D23="","",IFERROR(VLOOKUP(D23,Referência!$B$6:$I$26,5,0),""))</f>
        <v/>
      </c>
      <c r="J23" s="22" t="str">
        <f aca="false">IF(OR(D23="",E23=""),"",IFERROR(1/(1/INDEX($H$5:$K$11,MATCH(E23,$G$5:$G$11,0),VLOOKUP(D23,Referência!$B$6:$I$26,6,0))),""))</f>
        <v/>
      </c>
      <c r="K23" s="23" t="str">
        <f aca="false">IF(OR(D23="",$D$8=""),"",IF(D23=$D$8,"Igual",IF(H23="Sim","Convertido","Diferente")))</f>
        <v/>
      </c>
      <c r="L23" s="23" t="str">
        <f aca="false">IF(OR(F23="",J23=""),"",IF(F23&gt;J23,"Acima",IF(F23&gt;J23*IF($D$9="",1,$D$9),"No limite","OK")))</f>
        <v/>
      </c>
      <c r="M23" s="23" t="str">
        <f aca="false">IF(AND(K23="",L23=""),"",IF(AND(K23="Diferente",L23="Acima"),"Formato e cabo",IF(K23="Diferente","Formato",IF(L23="Acima","Comprimento",IF(L23="No limite","No limite",IF(OR(K23="",L23=""),"Incompleto","OK"))))))</f>
        <v/>
      </c>
      <c r="N23" s="24" t="str">
        <f aca="false">IF(M23="","",IF(M23="Formato e cabo","Ajuste a origem para "&amp;$D$8&amp;" e troque o tipo de ligação do trecho",IF(M23="Formato","Ajuste a saída da origem para "&amp;$D$8&amp;", ou use um scaler antes do destino",IF(M23="Comprimento",IF(E23="HDMI passivo","Use SDI com conversor, HDBaseT ou cabo HDMI óptico",IF(E23="USB","Aproxime o computador ou use extensão USB ativa","Encurte o trecho, use cabo melhor ou passe para fibra")),IF(M23="No limite","Teste com o cabo no caminho real e tenha um reserva",IF(M23="Incompleto","Informe o formato, a ligação e o comprimento","Manter"))))))</f>
        <v/>
      </c>
      <c r="O23" s="5"/>
    </row>
    <row r="24" customFormat="false" ht="21.75" hidden="false" customHeight="true" outlineLevel="0" collapsed="false">
      <c r="B24" s="21" t="n">
        <v>8</v>
      </c>
      <c r="C24" s="5"/>
      <c r="D24" s="12"/>
      <c r="E24" s="12"/>
      <c r="F24" s="12"/>
      <c r="G24" s="5"/>
      <c r="H24" s="12"/>
      <c r="I24" s="22" t="str">
        <f aca="false">IF(D24="","",IFERROR(VLOOKUP(D24,Referência!$B$6:$I$26,5,0),""))</f>
        <v/>
      </c>
      <c r="J24" s="22" t="str">
        <f aca="false">IF(OR(D24="",E24=""),"",IFERROR(1/(1/INDEX($H$5:$K$11,MATCH(E24,$G$5:$G$11,0),VLOOKUP(D24,Referência!$B$6:$I$26,6,0))),""))</f>
        <v/>
      </c>
      <c r="K24" s="23" t="str">
        <f aca="false">IF(OR(D24="",$D$8=""),"",IF(D24=$D$8,"Igual",IF(H24="Sim","Convertido","Diferente")))</f>
        <v/>
      </c>
      <c r="L24" s="23" t="str">
        <f aca="false">IF(OR(F24="",J24=""),"",IF(F24&gt;J24,"Acima",IF(F24&gt;J24*IF($D$9="",1,$D$9),"No limite","OK")))</f>
        <v/>
      </c>
      <c r="M24" s="23" t="str">
        <f aca="false">IF(AND(K24="",L24=""),"",IF(AND(K24="Diferente",L24="Acima"),"Formato e cabo",IF(K24="Diferente","Formato",IF(L24="Acima","Comprimento",IF(L24="No limite","No limite",IF(OR(K24="",L24=""),"Incompleto","OK"))))))</f>
        <v/>
      </c>
      <c r="N24" s="24" t="str">
        <f aca="false">IF(M24="","",IF(M24="Formato e cabo","Ajuste a origem para "&amp;$D$8&amp;" e troque o tipo de ligação do trecho",IF(M24="Formato","Ajuste a saída da origem para "&amp;$D$8&amp;", ou use um scaler antes do destino",IF(M24="Comprimento",IF(E24="HDMI passivo","Use SDI com conversor, HDBaseT ou cabo HDMI óptico",IF(E24="USB","Aproxime o computador ou use extensão USB ativa","Encurte o trecho, use cabo melhor ou passe para fibra")),IF(M24="No limite","Teste com o cabo no caminho real e tenha um reserva",IF(M24="Incompleto","Informe o formato, a ligação e o comprimento","Manter"))))))</f>
        <v/>
      </c>
      <c r="O24" s="5"/>
    </row>
    <row r="25" customFormat="false" ht="21.75" hidden="false" customHeight="true" outlineLevel="0" collapsed="false">
      <c r="B25" s="21" t="n">
        <v>9</v>
      </c>
      <c r="C25" s="5"/>
      <c r="D25" s="12"/>
      <c r="E25" s="12"/>
      <c r="F25" s="12"/>
      <c r="G25" s="5"/>
      <c r="H25" s="12"/>
      <c r="I25" s="22" t="str">
        <f aca="false">IF(D25="","",IFERROR(VLOOKUP(D25,Referência!$B$6:$I$26,5,0),""))</f>
        <v/>
      </c>
      <c r="J25" s="22" t="str">
        <f aca="false">IF(OR(D25="",E25=""),"",IFERROR(1/(1/INDEX($H$5:$K$11,MATCH(E25,$G$5:$G$11,0),VLOOKUP(D25,Referência!$B$6:$I$26,6,0))),""))</f>
        <v/>
      </c>
      <c r="K25" s="23" t="str">
        <f aca="false">IF(OR(D25="",$D$8=""),"",IF(D25=$D$8,"Igual",IF(H25="Sim","Convertido","Diferente")))</f>
        <v/>
      </c>
      <c r="L25" s="23" t="str">
        <f aca="false">IF(OR(F25="",J25=""),"",IF(F25&gt;J25,"Acima",IF(F25&gt;J25*IF($D$9="",1,$D$9),"No limite","OK")))</f>
        <v/>
      </c>
      <c r="M25" s="23" t="str">
        <f aca="false">IF(AND(K25="",L25=""),"",IF(AND(K25="Diferente",L25="Acima"),"Formato e cabo",IF(K25="Diferente","Formato",IF(L25="Acima","Comprimento",IF(L25="No limite","No limite",IF(OR(K25="",L25=""),"Incompleto","OK"))))))</f>
        <v/>
      </c>
      <c r="N25" s="24" t="str">
        <f aca="false">IF(M25="","",IF(M25="Formato e cabo","Ajuste a origem para "&amp;$D$8&amp;" e troque o tipo de ligação do trecho",IF(M25="Formato","Ajuste a saída da origem para "&amp;$D$8&amp;", ou use um scaler antes do destino",IF(M25="Comprimento",IF(E25="HDMI passivo","Use SDI com conversor, HDBaseT ou cabo HDMI óptico",IF(E25="USB","Aproxime o computador ou use extensão USB ativa","Encurte o trecho, use cabo melhor ou passe para fibra")),IF(M25="No limite","Teste com o cabo no caminho real e tenha um reserva",IF(M25="Incompleto","Informe o formato, a ligação e o comprimento","Manter"))))))</f>
        <v/>
      </c>
      <c r="O25" s="5"/>
    </row>
    <row r="26" customFormat="false" ht="21.75" hidden="false" customHeight="true" outlineLevel="0" collapsed="false">
      <c r="B26" s="21" t="n">
        <v>10</v>
      </c>
      <c r="C26" s="5"/>
      <c r="D26" s="12"/>
      <c r="E26" s="12"/>
      <c r="F26" s="12"/>
      <c r="G26" s="5"/>
      <c r="H26" s="12"/>
      <c r="I26" s="22" t="str">
        <f aca="false">IF(D26="","",IFERROR(VLOOKUP(D26,Referência!$B$6:$I$26,5,0),""))</f>
        <v/>
      </c>
      <c r="J26" s="22" t="str">
        <f aca="false">IF(OR(D26="",E26=""),"",IFERROR(1/(1/INDEX($H$5:$K$11,MATCH(E26,$G$5:$G$11,0),VLOOKUP(D26,Referência!$B$6:$I$26,6,0))),""))</f>
        <v/>
      </c>
      <c r="K26" s="23" t="str">
        <f aca="false">IF(OR(D26="",$D$8=""),"",IF(D26=$D$8,"Igual",IF(H26="Sim","Convertido","Diferente")))</f>
        <v/>
      </c>
      <c r="L26" s="23" t="str">
        <f aca="false">IF(OR(F26="",J26=""),"",IF(F26&gt;J26,"Acima",IF(F26&gt;J26*IF($D$9="",1,$D$9),"No limite","OK")))</f>
        <v/>
      </c>
      <c r="M26" s="23" t="str">
        <f aca="false">IF(AND(K26="",L26=""),"",IF(AND(K26="Diferente",L26="Acima"),"Formato e cabo",IF(K26="Diferente","Formato",IF(L26="Acima","Comprimento",IF(L26="No limite","No limite",IF(OR(K26="",L26=""),"Incompleto","OK"))))))</f>
        <v/>
      </c>
      <c r="N26" s="24" t="str">
        <f aca="false">IF(M26="","",IF(M26="Formato e cabo","Ajuste a origem para "&amp;$D$8&amp;" e troque o tipo de ligação do trecho",IF(M26="Formato","Ajuste a saída da origem para "&amp;$D$8&amp;", ou use um scaler antes do destino",IF(M26="Comprimento",IF(E26="HDMI passivo","Use SDI com conversor, HDBaseT ou cabo HDMI óptico",IF(E26="USB","Aproxime o computador ou use extensão USB ativa","Encurte o trecho, use cabo melhor ou passe para fibra")),IF(M26="No limite","Teste com o cabo no caminho real e tenha um reserva",IF(M26="Incompleto","Informe o formato, a ligação e o comprimento","Manter"))))))</f>
        <v/>
      </c>
      <c r="O26" s="5"/>
    </row>
    <row r="27" customFormat="false" ht="21.75" hidden="false" customHeight="true" outlineLevel="0" collapsed="false">
      <c r="B27" s="21" t="n">
        <v>11</v>
      </c>
      <c r="C27" s="5"/>
      <c r="D27" s="12"/>
      <c r="E27" s="12"/>
      <c r="F27" s="12"/>
      <c r="G27" s="5"/>
      <c r="H27" s="12"/>
      <c r="I27" s="22" t="str">
        <f aca="false">IF(D27="","",IFERROR(VLOOKUP(D27,Referência!$B$6:$I$26,5,0),""))</f>
        <v/>
      </c>
      <c r="J27" s="22" t="str">
        <f aca="false">IF(OR(D27="",E27=""),"",IFERROR(1/(1/INDEX($H$5:$K$11,MATCH(E27,$G$5:$G$11,0),VLOOKUP(D27,Referência!$B$6:$I$26,6,0))),""))</f>
        <v/>
      </c>
      <c r="K27" s="23" t="str">
        <f aca="false">IF(OR(D27="",$D$8=""),"",IF(D27=$D$8,"Igual",IF(H27="Sim","Convertido","Diferente")))</f>
        <v/>
      </c>
      <c r="L27" s="23" t="str">
        <f aca="false">IF(OR(F27="",J27=""),"",IF(F27&gt;J27,"Acima",IF(F27&gt;J27*IF($D$9="",1,$D$9),"No limite","OK")))</f>
        <v/>
      </c>
      <c r="M27" s="23" t="str">
        <f aca="false">IF(AND(K27="",L27=""),"",IF(AND(K27="Diferente",L27="Acima"),"Formato e cabo",IF(K27="Diferente","Formato",IF(L27="Acima","Comprimento",IF(L27="No limite","No limite",IF(OR(K27="",L27=""),"Incompleto","OK"))))))</f>
        <v/>
      </c>
      <c r="N27" s="24" t="str">
        <f aca="false">IF(M27="","",IF(M27="Formato e cabo","Ajuste a origem para "&amp;$D$8&amp;" e troque o tipo de ligação do trecho",IF(M27="Formato","Ajuste a saída da origem para "&amp;$D$8&amp;", ou use um scaler antes do destino",IF(M27="Comprimento",IF(E27="HDMI passivo","Use SDI com conversor, HDBaseT ou cabo HDMI óptico",IF(E27="USB","Aproxime o computador ou use extensão USB ativa","Encurte o trecho, use cabo melhor ou passe para fibra")),IF(M27="No limite","Teste com o cabo no caminho real e tenha um reserva",IF(M27="Incompleto","Informe o formato, a ligação e o comprimento","Manter"))))))</f>
        <v/>
      </c>
      <c r="O27" s="5"/>
    </row>
    <row r="28" customFormat="false" ht="21.75" hidden="false" customHeight="true" outlineLevel="0" collapsed="false">
      <c r="B28" s="21" t="n">
        <v>12</v>
      </c>
      <c r="C28" s="5"/>
      <c r="D28" s="12"/>
      <c r="E28" s="12"/>
      <c r="F28" s="12"/>
      <c r="G28" s="5"/>
      <c r="H28" s="12"/>
      <c r="I28" s="22" t="str">
        <f aca="false">IF(D28="","",IFERROR(VLOOKUP(D28,Referência!$B$6:$I$26,5,0),""))</f>
        <v/>
      </c>
      <c r="J28" s="22" t="str">
        <f aca="false">IF(OR(D28="",E28=""),"",IFERROR(1/(1/INDEX($H$5:$K$11,MATCH(E28,$G$5:$G$11,0),VLOOKUP(D28,Referência!$B$6:$I$26,6,0))),""))</f>
        <v/>
      </c>
      <c r="K28" s="23" t="str">
        <f aca="false">IF(OR(D28="",$D$8=""),"",IF(D28=$D$8,"Igual",IF(H28="Sim","Convertido","Diferente")))</f>
        <v/>
      </c>
      <c r="L28" s="23" t="str">
        <f aca="false">IF(OR(F28="",J28=""),"",IF(F28&gt;J28,"Acima",IF(F28&gt;J28*IF($D$9="",1,$D$9),"No limite","OK")))</f>
        <v/>
      </c>
      <c r="M28" s="23" t="str">
        <f aca="false">IF(AND(K28="",L28=""),"",IF(AND(K28="Diferente",L28="Acima"),"Formato e cabo",IF(K28="Diferente","Formato",IF(L28="Acima","Comprimento",IF(L28="No limite","No limite",IF(OR(K28="",L28=""),"Incompleto","OK"))))))</f>
        <v/>
      </c>
      <c r="N28" s="24" t="str">
        <f aca="false">IF(M28="","",IF(M28="Formato e cabo","Ajuste a origem para "&amp;$D$8&amp;" e troque o tipo de ligação do trecho",IF(M28="Formato","Ajuste a saída da origem para "&amp;$D$8&amp;", ou use um scaler antes do destino",IF(M28="Comprimento",IF(E28="HDMI passivo","Use SDI com conversor, HDBaseT ou cabo HDMI óptico",IF(E28="USB","Aproxime o computador ou use extensão USB ativa","Encurte o trecho, use cabo melhor ou passe para fibra")),IF(M28="No limite","Teste com o cabo no caminho real e tenha um reserva",IF(M28="Incompleto","Informe o formato, a ligação e o comprimento","Manter"))))))</f>
        <v/>
      </c>
      <c r="O28" s="5"/>
    </row>
    <row r="29" customFormat="false" ht="21.75" hidden="false" customHeight="true" outlineLevel="0" collapsed="false">
      <c r="B29" s="21" t="n">
        <v>13</v>
      </c>
      <c r="C29" s="5"/>
      <c r="D29" s="12"/>
      <c r="E29" s="12"/>
      <c r="F29" s="12"/>
      <c r="G29" s="5"/>
      <c r="H29" s="12"/>
      <c r="I29" s="22" t="str">
        <f aca="false">IF(D29="","",IFERROR(VLOOKUP(D29,Referência!$B$6:$I$26,5,0),""))</f>
        <v/>
      </c>
      <c r="J29" s="22" t="str">
        <f aca="false">IF(OR(D29="",E29=""),"",IFERROR(1/(1/INDEX($H$5:$K$11,MATCH(E29,$G$5:$G$11,0),VLOOKUP(D29,Referência!$B$6:$I$26,6,0))),""))</f>
        <v/>
      </c>
      <c r="K29" s="23" t="str">
        <f aca="false">IF(OR(D29="",$D$8=""),"",IF(D29=$D$8,"Igual",IF(H29="Sim","Convertido","Diferente")))</f>
        <v/>
      </c>
      <c r="L29" s="23" t="str">
        <f aca="false">IF(OR(F29="",J29=""),"",IF(F29&gt;J29,"Acima",IF(F29&gt;J29*IF($D$9="",1,$D$9),"No limite","OK")))</f>
        <v/>
      </c>
      <c r="M29" s="23" t="str">
        <f aca="false">IF(AND(K29="",L29=""),"",IF(AND(K29="Diferente",L29="Acima"),"Formato e cabo",IF(K29="Diferente","Formato",IF(L29="Acima","Comprimento",IF(L29="No limite","No limite",IF(OR(K29="",L29=""),"Incompleto","OK"))))))</f>
        <v/>
      </c>
      <c r="N29" s="24" t="str">
        <f aca="false">IF(M29="","",IF(M29="Formato e cabo","Ajuste a origem para "&amp;$D$8&amp;" e troque o tipo de ligação do trecho",IF(M29="Formato","Ajuste a saída da origem para "&amp;$D$8&amp;", ou use um scaler antes do destino",IF(M29="Comprimento",IF(E29="HDMI passivo","Use SDI com conversor, HDBaseT ou cabo HDMI óptico",IF(E29="USB","Aproxime o computador ou use extensão USB ativa","Encurte o trecho, use cabo melhor ou passe para fibra")),IF(M29="No limite","Teste com o cabo no caminho real e tenha um reserva",IF(M29="Incompleto","Informe o formato, a ligação e o comprimento","Manter"))))))</f>
        <v/>
      </c>
      <c r="O29" s="5"/>
    </row>
    <row r="30" customFormat="false" ht="21.75" hidden="false" customHeight="true" outlineLevel="0" collapsed="false">
      <c r="B30" s="21" t="n">
        <v>14</v>
      </c>
      <c r="C30" s="5"/>
      <c r="D30" s="12"/>
      <c r="E30" s="12"/>
      <c r="F30" s="12"/>
      <c r="G30" s="5"/>
      <c r="H30" s="12"/>
      <c r="I30" s="22" t="str">
        <f aca="false">IF(D30="","",IFERROR(VLOOKUP(D30,Referência!$B$6:$I$26,5,0),""))</f>
        <v/>
      </c>
      <c r="J30" s="22" t="str">
        <f aca="false">IF(OR(D30="",E30=""),"",IFERROR(1/(1/INDEX($H$5:$K$11,MATCH(E30,$G$5:$G$11,0),VLOOKUP(D30,Referência!$B$6:$I$26,6,0))),""))</f>
        <v/>
      </c>
      <c r="K30" s="23" t="str">
        <f aca="false">IF(OR(D30="",$D$8=""),"",IF(D30=$D$8,"Igual",IF(H30="Sim","Convertido","Diferente")))</f>
        <v/>
      </c>
      <c r="L30" s="23" t="str">
        <f aca="false">IF(OR(F30="",J30=""),"",IF(F30&gt;J30,"Acima",IF(F30&gt;J30*IF($D$9="",1,$D$9),"No limite","OK")))</f>
        <v/>
      </c>
      <c r="M30" s="23" t="str">
        <f aca="false">IF(AND(K30="",L30=""),"",IF(AND(K30="Diferente",L30="Acima"),"Formato e cabo",IF(K30="Diferente","Formato",IF(L30="Acima","Comprimento",IF(L30="No limite","No limite",IF(OR(K30="",L30=""),"Incompleto","OK"))))))</f>
        <v/>
      </c>
      <c r="N30" s="24" t="str">
        <f aca="false">IF(M30="","",IF(M30="Formato e cabo","Ajuste a origem para "&amp;$D$8&amp;" e troque o tipo de ligação do trecho",IF(M30="Formato","Ajuste a saída da origem para "&amp;$D$8&amp;", ou use um scaler antes do destino",IF(M30="Comprimento",IF(E30="HDMI passivo","Use SDI com conversor, HDBaseT ou cabo HDMI óptico",IF(E30="USB","Aproxime o computador ou use extensão USB ativa","Encurte o trecho, use cabo melhor ou passe para fibra")),IF(M30="No limite","Teste com o cabo no caminho real e tenha um reserva",IF(M30="Incompleto","Informe o formato, a ligação e o comprimento","Manter"))))))</f>
        <v/>
      </c>
      <c r="O30" s="5"/>
    </row>
    <row r="31" customFormat="false" ht="21.75" hidden="false" customHeight="true" outlineLevel="0" collapsed="false">
      <c r="B31" s="21" t="n">
        <v>15</v>
      </c>
      <c r="C31" s="5"/>
      <c r="D31" s="12"/>
      <c r="E31" s="12"/>
      <c r="F31" s="12"/>
      <c r="G31" s="5"/>
      <c r="H31" s="12"/>
      <c r="I31" s="22" t="str">
        <f aca="false">IF(D31="","",IFERROR(VLOOKUP(D31,Referência!$B$6:$I$26,5,0),""))</f>
        <v/>
      </c>
      <c r="J31" s="22" t="str">
        <f aca="false">IF(OR(D31="",E31=""),"",IFERROR(1/(1/INDEX($H$5:$K$11,MATCH(E31,$G$5:$G$11,0),VLOOKUP(D31,Referência!$B$6:$I$26,6,0))),""))</f>
        <v/>
      </c>
      <c r="K31" s="23" t="str">
        <f aca="false">IF(OR(D31="",$D$8=""),"",IF(D31=$D$8,"Igual",IF(H31="Sim","Convertido","Diferente")))</f>
        <v/>
      </c>
      <c r="L31" s="23" t="str">
        <f aca="false">IF(OR(F31="",J31=""),"",IF(F31&gt;J31,"Acima",IF(F31&gt;J31*IF($D$9="",1,$D$9),"No limite","OK")))</f>
        <v/>
      </c>
      <c r="M31" s="23" t="str">
        <f aca="false">IF(AND(K31="",L31=""),"",IF(AND(K31="Diferente",L31="Acima"),"Formato e cabo",IF(K31="Diferente","Formato",IF(L31="Acima","Comprimento",IF(L31="No limite","No limite",IF(OR(K31="",L31=""),"Incompleto","OK"))))))</f>
        <v/>
      </c>
      <c r="N31" s="24" t="str">
        <f aca="false">IF(M31="","",IF(M31="Formato e cabo","Ajuste a origem para "&amp;$D$8&amp;" e troque o tipo de ligação do trecho",IF(M31="Formato","Ajuste a saída da origem para "&amp;$D$8&amp;", ou use um scaler antes do destino",IF(M31="Comprimento",IF(E31="HDMI passivo","Use SDI com conversor, HDBaseT ou cabo HDMI óptico",IF(E31="USB","Aproxime o computador ou use extensão USB ativa","Encurte o trecho, use cabo melhor ou passe para fibra")),IF(M31="No limite","Teste com o cabo no caminho real e tenha um reserva",IF(M31="Incompleto","Informe o formato, a ligação e o comprimento","Manter"))))))</f>
        <v/>
      </c>
      <c r="O31" s="5"/>
    </row>
    <row r="32" customFormat="false" ht="21.75" hidden="false" customHeight="true" outlineLevel="0" collapsed="false">
      <c r="B32" s="21" t="n">
        <v>16</v>
      </c>
      <c r="C32" s="5"/>
      <c r="D32" s="12"/>
      <c r="E32" s="12"/>
      <c r="F32" s="12"/>
      <c r="G32" s="5"/>
      <c r="H32" s="12"/>
      <c r="I32" s="22" t="str">
        <f aca="false">IF(D32="","",IFERROR(VLOOKUP(D32,Referência!$B$6:$I$26,5,0),""))</f>
        <v/>
      </c>
      <c r="J32" s="22" t="str">
        <f aca="false">IF(OR(D32="",E32=""),"",IFERROR(1/(1/INDEX($H$5:$K$11,MATCH(E32,$G$5:$G$11,0),VLOOKUP(D32,Referência!$B$6:$I$26,6,0))),""))</f>
        <v/>
      </c>
      <c r="K32" s="23" t="str">
        <f aca="false">IF(OR(D32="",$D$8=""),"",IF(D32=$D$8,"Igual",IF(H32="Sim","Convertido","Diferente")))</f>
        <v/>
      </c>
      <c r="L32" s="23" t="str">
        <f aca="false">IF(OR(F32="",J32=""),"",IF(F32&gt;J32,"Acima",IF(F32&gt;J32*IF($D$9="",1,$D$9),"No limite","OK")))</f>
        <v/>
      </c>
      <c r="M32" s="23" t="str">
        <f aca="false">IF(AND(K32="",L32=""),"",IF(AND(K32="Diferente",L32="Acima"),"Formato e cabo",IF(K32="Diferente","Formato",IF(L32="Acima","Comprimento",IF(L32="No limite","No limite",IF(OR(K32="",L32=""),"Incompleto","OK"))))))</f>
        <v/>
      </c>
      <c r="N32" s="24" t="str">
        <f aca="false">IF(M32="","",IF(M32="Formato e cabo","Ajuste a origem para "&amp;$D$8&amp;" e troque o tipo de ligação do trecho",IF(M32="Formato","Ajuste a saída da origem para "&amp;$D$8&amp;", ou use um scaler antes do destino",IF(M32="Comprimento",IF(E32="HDMI passivo","Use SDI com conversor, HDBaseT ou cabo HDMI óptico",IF(E32="USB","Aproxime o computador ou use extensão USB ativa","Encurte o trecho, use cabo melhor ou passe para fibra")),IF(M32="No limite","Teste com o cabo no caminho real e tenha um reserva",IF(M32="Incompleto","Informe o formato, a ligação e o comprimento","Manter"))))))</f>
        <v/>
      </c>
      <c r="O32" s="5"/>
    </row>
    <row r="33" customFormat="false" ht="21.75" hidden="false" customHeight="true" outlineLevel="0" collapsed="false">
      <c r="B33" s="21" t="n">
        <v>17</v>
      </c>
      <c r="C33" s="5"/>
      <c r="D33" s="12"/>
      <c r="E33" s="12"/>
      <c r="F33" s="12"/>
      <c r="G33" s="5"/>
      <c r="H33" s="12"/>
      <c r="I33" s="22" t="str">
        <f aca="false">IF(D33="","",IFERROR(VLOOKUP(D33,Referência!$B$6:$I$26,5,0),""))</f>
        <v/>
      </c>
      <c r="J33" s="22" t="str">
        <f aca="false">IF(OR(D33="",E33=""),"",IFERROR(1/(1/INDEX($H$5:$K$11,MATCH(E33,$G$5:$G$11,0),VLOOKUP(D33,Referência!$B$6:$I$26,6,0))),""))</f>
        <v/>
      </c>
      <c r="K33" s="23" t="str">
        <f aca="false">IF(OR(D33="",$D$8=""),"",IF(D33=$D$8,"Igual",IF(H33="Sim","Convertido","Diferente")))</f>
        <v/>
      </c>
      <c r="L33" s="23" t="str">
        <f aca="false">IF(OR(F33="",J33=""),"",IF(F33&gt;J33,"Acima",IF(F33&gt;J33*IF($D$9="",1,$D$9),"No limite","OK")))</f>
        <v/>
      </c>
      <c r="M33" s="23" t="str">
        <f aca="false">IF(AND(K33="",L33=""),"",IF(AND(K33="Diferente",L33="Acima"),"Formato e cabo",IF(K33="Diferente","Formato",IF(L33="Acima","Comprimento",IF(L33="No limite","No limite",IF(OR(K33="",L33=""),"Incompleto","OK"))))))</f>
        <v/>
      </c>
      <c r="N33" s="24" t="str">
        <f aca="false">IF(M33="","",IF(M33="Formato e cabo","Ajuste a origem para "&amp;$D$8&amp;" e troque o tipo de ligação do trecho",IF(M33="Formato","Ajuste a saída da origem para "&amp;$D$8&amp;", ou use um scaler antes do destino",IF(M33="Comprimento",IF(E33="HDMI passivo","Use SDI com conversor, HDBaseT ou cabo HDMI óptico",IF(E33="USB","Aproxime o computador ou use extensão USB ativa","Encurte o trecho, use cabo melhor ou passe para fibra")),IF(M33="No limite","Teste com o cabo no caminho real e tenha um reserva",IF(M33="Incompleto","Informe o formato, a ligação e o comprimento","Manter"))))))</f>
        <v/>
      </c>
      <c r="O33" s="5"/>
    </row>
    <row r="34" customFormat="false" ht="21.75" hidden="false" customHeight="true" outlineLevel="0" collapsed="false">
      <c r="B34" s="21" t="n">
        <v>18</v>
      </c>
      <c r="C34" s="5"/>
      <c r="D34" s="12"/>
      <c r="E34" s="12"/>
      <c r="F34" s="12"/>
      <c r="G34" s="5"/>
      <c r="H34" s="12"/>
      <c r="I34" s="22" t="str">
        <f aca="false">IF(D34="","",IFERROR(VLOOKUP(D34,Referência!$B$6:$I$26,5,0),""))</f>
        <v/>
      </c>
      <c r="J34" s="22" t="str">
        <f aca="false">IF(OR(D34="",E34=""),"",IFERROR(1/(1/INDEX($H$5:$K$11,MATCH(E34,$G$5:$G$11,0),VLOOKUP(D34,Referência!$B$6:$I$26,6,0))),""))</f>
        <v/>
      </c>
      <c r="K34" s="23" t="str">
        <f aca="false">IF(OR(D34="",$D$8=""),"",IF(D34=$D$8,"Igual",IF(H34="Sim","Convertido","Diferente")))</f>
        <v/>
      </c>
      <c r="L34" s="23" t="str">
        <f aca="false">IF(OR(F34="",J34=""),"",IF(F34&gt;J34,"Acima",IF(F34&gt;J34*IF($D$9="",1,$D$9),"No limite","OK")))</f>
        <v/>
      </c>
      <c r="M34" s="23" t="str">
        <f aca="false">IF(AND(K34="",L34=""),"",IF(AND(K34="Diferente",L34="Acima"),"Formato e cabo",IF(K34="Diferente","Formato",IF(L34="Acima","Comprimento",IF(L34="No limite","No limite",IF(OR(K34="",L34=""),"Incompleto","OK"))))))</f>
        <v/>
      </c>
      <c r="N34" s="24" t="str">
        <f aca="false">IF(M34="","",IF(M34="Formato e cabo","Ajuste a origem para "&amp;$D$8&amp;" e troque o tipo de ligação do trecho",IF(M34="Formato","Ajuste a saída da origem para "&amp;$D$8&amp;", ou use um scaler antes do destino",IF(M34="Comprimento",IF(E34="HDMI passivo","Use SDI com conversor, HDBaseT ou cabo HDMI óptico",IF(E34="USB","Aproxime o computador ou use extensão USB ativa","Encurte o trecho, use cabo melhor ou passe para fibra")),IF(M34="No limite","Teste com o cabo no caminho real e tenha um reserva",IF(M34="Incompleto","Informe o formato, a ligação e o comprimento","Manter"))))))</f>
        <v/>
      </c>
      <c r="O34" s="5"/>
    </row>
    <row r="35" customFormat="false" ht="21.75" hidden="false" customHeight="true" outlineLevel="0" collapsed="false">
      <c r="B35" s="21" t="n">
        <v>19</v>
      </c>
      <c r="C35" s="5"/>
      <c r="D35" s="12"/>
      <c r="E35" s="12"/>
      <c r="F35" s="12"/>
      <c r="G35" s="5"/>
      <c r="H35" s="12"/>
      <c r="I35" s="22" t="str">
        <f aca="false">IF(D35="","",IFERROR(VLOOKUP(D35,Referência!$B$6:$I$26,5,0),""))</f>
        <v/>
      </c>
      <c r="J35" s="22" t="str">
        <f aca="false">IF(OR(D35="",E35=""),"",IFERROR(1/(1/INDEX($H$5:$K$11,MATCH(E35,$G$5:$G$11,0),VLOOKUP(D35,Referência!$B$6:$I$26,6,0))),""))</f>
        <v/>
      </c>
      <c r="K35" s="23" t="str">
        <f aca="false">IF(OR(D35="",$D$8=""),"",IF(D35=$D$8,"Igual",IF(H35="Sim","Convertido","Diferente")))</f>
        <v/>
      </c>
      <c r="L35" s="23" t="str">
        <f aca="false">IF(OR(F35="",J35=""),"",IF(F35&gt;J35,"Acima",IF(F35&gt;J35*IF($D$9="",1,$D$9),"No limite","OK")))</f>
        <v/>
      </c>
      <c r="M35" s="23" t="str">
        <f aca="false">IF(AND(K35="",L35=""),"",IF(AND(K35="Diferente",L35="Acima"),"Formato e cabo",IF(K35="Diferente","Formato",IF(L35="Acima","Comprimento",IF(L35="No limite","No limite",IF(OR(K35="",L35=""),"Incompleto","OK"))))))</f>
        <v/>
      </c>
      <c r="N35" s="24" t="str">
        <f aca="false">IF(M35="","",IF(M35="Formato e cabo","Ajuste a origem para "&amp;$D$8&amp;" e troque o tipo de ligação do trecho",IF(M35="Formato","Ajuste a saída da origem para "&amp;$D$8&amp;", ou use um scaler antes do destino",IF(M35="Comprimento",IF(E35="HDMI passivo","Use SDI com conversor, HDBaseT ou cabo HDMI óptico",IF(E35="USB","Aproxime o computador ou use extensão USB ativa","Encurte o trecho, use cabo melhor ou passe para fibra")),IF(M35="No limite","Teste com o cabo no caminho real e tenha um reserva",IF(M35="Incompleto","Informe o formato, a ligação e o comprimento","Manter"))))))</f>
        <v/>
      </c>
      <c r="O35" s="5"/>
    </row>
    <row r="36" customFormat="false" ht="21.75" hidden="false" customHeight="true" outlineLevel="0" collapsed="false">
      <c r="B36" s="21" t="n">
        <v>20</v>
      </c>
      <c r="C36" s="5"/>
      <c r="D36" s="12"/>
      <c r="E36" s="12"/>
      <c r="F36" s="12"/>
      <c r="G36" s="5"/>
      <c r="H36" s="12"/>
      <c r="I36" s="22" t="str">
        <f aca="false">IF(D36="","",IFERROR(VLOOKUP(D36,Referência!$B$6:$I$26,5,0),""))</f>
        <v/>
      </c>
      <c r="J36" s="22" t="str">
        <f aca="false">IF(OR(D36="",E36=""),"",IFERROR(1/(1/INDEX($H$5:$K$11,MATCH(E36,$G$5:$G$11,0),VLOOKUP(D36,Referência!$B$6:$I$26,6,0))),""))</f>
        <v/>
      </c>
      <c r="K36" s="23" t="str">
        <f aca="false">IF(OR(D36="",$D$8=""),"",IF(D36=$D$8,"Igual",IF(H36="Sim","Convertido","Diferente")))</f>
        <v/>
      </c>
      <c r="L36" s="23" t="str">
        <f aca="false">IF(OR(F36="",J36=""),"",IF(F36&gt;J36,"Acima",IF(F36&gt;J36*IF($D$9="",1,$D$9),"No limite","OK")))</f>
        <v/>
      </c>
      <c r="M36" s="23" t="str">
        <f aca="false">IF(AND(K36="",L36=""),"",IF(AND(K36="Diferente",L36="Acima"),"Formato e cabo",IF(K36="Diferente","Formato",IF(L36="Acima","Comprimento",IF(L36="No limite","No limite",IF(OR(K36="",L36=""),"Incompleto","OK"))))))</f>
        <v/>
      </c>
      <c r="N36" s="24" t="str">
        <f aca="false">IF(M36="","",IF(M36="Formato e cabo","Ajuste a origem para "&amp;$D$8&amp;" e troque o tipo de ligação do trecho",IF(M36="Formato","Ajuste a saída da origem para "&amp;$D$8&amp;", ou use um scaler antes do destino",IF(M36="Comprimento",IF(E36="HDMI passivo","Use SDI com conversor, HDBaseT ou cabo HDMI óptico",IF(E36="USB","Aproxime o computador ou use extensão USB ativa","Encurte o trecho, use cabo melhor ou passe para fibra")),IF(M36="No limite","Teste com o cabo no caminho real e tenha um reserva",IF(M36="Incompleto","Informe o formato, a ligação e o comprimento","Manter"))))))</f>
        <v/>
      </c>
      <c r="O36" s="5"/>
    </row>
    <row r="38" customFormat="false" ht="21.75" hidden="false" customHeight="true" outlineLevel="0" collapsed="false">
      <c r="B38" s="16" t="s">
        <v>117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</row>
    <row r="39" customFormat="false" ht="19.5" hidden="false" customHeight="true" outlineLevel="0" collapsed="false">
      <c r="B39" s="25" t="s">
        <v>118</v>
      </c>
      <c r="C39" s="25"/>
      <c r="D39" s="25"/>
      <c r="E39" s="25"/>
      <c r="F39" s="8" t="n">
        <f aca="false">COUNTA(C17:C36)</f>
        <v>0</v>
      </c>
    </row>
    <row r="40" customFormat="false" ht="19.5" hidden="false" customHeight="true" outlineLevel="0" collapsed="false">
      <c r="B40" s="25" t="s">
        <v>119</v>
      </c>
      <c r="C40" s="25"/>
      <c r="D40" s="25"/>
      <c r="E40" s="25"/>
      <c r="F40" s="8" t="n">
        <f aca="false">COUNTIF(M17:M36,"OK")</f>
        <v>0</v>
      </c>
    </row>
    <row r="41" customFormat="false" ht="19.5" hidden="false" customHeight="true" outlineLevel="0" collapsed="false">
      <c r="B41" s="25" t="s">
        <v>120</v>
      </c>
      <c r="C41" s="25"/>
      <c r="D41" s="25"/>
      <c r="E41" s="25"/>
      <c r="F41" s="8" t="n">
        <f aca="false">COUNTIF(M17:M36,"Formato")+COUNTIF(M17:M36,"Formato e cabo")</f>
        <v>0</v>
      </c>
    </row>
    <row r="42" customFormat="false" ht="19.5" hidden="false" customHeight="true" outlineLevel="0" collapsed="false">
      <c r="B42" s="25" t="s">
        <v>121</v>
      </c>
      <c r="C42" s="25"/>
      <c r="D42" s="25"/>
      <c r="E42" s="25"/>
      <c r="F42" s="8" t="n">
        <f aca="false">COUNTIF(M17:M36,"Comprimento")+COUNTIF(M17:M36,"Formato e cabo")</f>
        <v>0</v>
      </c>
    </row>
    <row r="43" customFormat="false" ht="19.5" hidden="false" customHeight="true" outlineLevel="0" collapsed="false">
      <c r="B43" s="25" t="s">
        <v>122</v>
      </c>
      <c r="C43" s="25"/>
      <c r="D43" s="25"/>
      <c r="E43" s="25"/>
      <c r="F43" s="8" t="n">
        <f aca="false">COUNTIF(M17:M36,"No limite")</f>
        <v>0</v>
      </c>
    </row>
    <row r="44" customFormat="false" ht="19.5" hidden="false" customHeight="true" outlineLevel="0" collapsed="false">
      <c r="B44" s="25" t="s">
        <v>123</v>
      </c>
      <c r="C44" s="25"/>
      <c r="D44" s="25"/>
      <c r="E44" s="25"/>
      <c r="F44" s="8" t="n">
        <f aca="false">COUNTIF(K17:K36,"Convertido")</f>
        <v>0</v>
      </c>
    </row>
    <row r="45" customFormat="false" ht="19.5" hidden="false" customHeight="true" outlineLevel="0" collapsed="false">
      <c r="B45" s="25" t="s">
        <v>124</v>
      </c>
      <c r="C45" s="25"/>
      <c r="D45" s="25"/>
      <c r="E45" s="25"/>
      <c r="F45" s="8" t="str">
        <f aca="false">IF(COUNT(F17:F36)=0,"",SUM(F17:F36))</f>
        <v/>
      </c>
    </row>
    <row r="46" customFormat="false" ht="21.75" hidden="false" customHeight="true" outlineLevel="0" collapsed="false">
      <c r="B46" s="25" t="s">
        <v>125</v>
      </c>
      <c r="C46" s="25"/>
      <c r="D46" s="25"/>
      <c r="E46" s="25"/>
      <c r="F46" s="26" t="str">
        <f aca="false">IF($D$8="","Informe o padrão do sistema",IF(F39=0,"Liste os trechos",IF(F41&gt;0,"Há origem em formato diferente do padrão: corrija antes do ensaio",IF(F42&gt;0,"Há trecho acima do comprimento recomendado: mude o tipo de ligação",IF(COUNTIF(M17:M36,"Incompleto")&gt;0,"Há trecho incompleto",IF(F43&gt;0,"Há trecho no limite: teste no caminho real e leve reserva","OK"))))))</f>
        <v>Liste os trechos</v>
      </c>
      <c r="G46" s="26"/>
      <c r="H46" s="26"/>
      <c r="I46" s="26"/>
      <c r="J46" s="26"/>
      <c r="K46" s="26"/>
      <c r="L46" s="26"/>
      <c r="M46" s="26"/>
      <c r="N46" s="26"/>
    </row>
    <row r="47" customFormat="false" ht="15" hidden="false" customHeight="true" outlineLevel="0" collapsed="false">
      <c r="B47" s="11" t="s">
        <v>126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</row>
  </sheetData>
  <mergeCells count="36">
    <mergeCell ref="B1:O1"/>
    <mergeCell ref="B2:O2"/>
    <mergeCell ref="B4:C4"/>
    <mergeCell ref="D4:F4"/>
    <mergeCell ref="L4:O4"/>
    <mergeCell ref="B5:C5"/>
    <mergeCell ref="D5:F5"/>
    <mergeCell ref="L5:O5"/>
    <mergeCell ref="B6:C6"/>
    <mergeCell ref="D6:F6"/>
    <mergeCell ref="L6:O6"/>
    <mergeCell ref="B7:C7"/>
    <mergeCell ref="D7:F7"/>
    <mergeCell ref="L7:O7"/>
    <mergeCell ref="B8:C8"/>
    <mergeCell ref="D8:F8"/>
    <mergeCell ref="L8:O8"/>
    <mergeCell ref="B9:C9"/>
    <mergeCell ref="D9:F9"/>
    <mergeCell ref="L9:O9"/>
    <mergeCell ref="B10:F10"/>
    <mergeCell ref="L10:O10"/>
    <mergeCell ref="B11:F11"/>
    <mergeCell ref="L11:O11"/>
    <mergeCell ref="B13:O13"/>
    <mergeCell ref="B38:O38"/>
    <mergeCell ref="B39:E39"/>
    <mergeCell ref="B40:E40"/>
    <mergeCell ref="B41:E41"/>
    <mergeCell ref="B42:E42"/>
    <mergeCell ref="B43:E43"/>
    <mergeCell ref="B44:E44"/>
    <mergeCell ref="B45:E45"/>
    <mergeCell ref="B46:E46"/>
    <mergeCell ref="F46:N46"/>
    <mergeCell ref="B47:O47"/>
  </mergeCells>
  <conditionalFormatting sqref="K17:K36">
    <cfRule type="cellIs" priority="2" operator="equal" aboveAverage="0" equalAverage="0" bottom="0" percent="0" rank="0" text="" dxfId="0">
      <formula>"Igual"</formula>
    </cfRule>
    <cfRule type="cellIs" priority="3" operator="equal" aboveAverage="0" equalAverage="0" bottom="0" percent="0" rank="0" text="" dxfId="1">
      <formula>"Convertido"</formula>
    </cfRule>
    <cfRule type="cellIs" priority="4" operator="equal" aboveAverage="0" equalAverage="0" bottom="0" percent="0" rank="0" text="" dxfId="2">
      <formula>"Diferente"</formula>
    </cfRule>
  </conditionalFormatting>
  <conditionalFormatting sqref="L17:L36">
    <cfRule type="cellIs" priority="5" operator="equal" aboveAverage="0" equalAverage="0" bottom="0" percent="0" rank="0" text="" dxfId="0">
      <formula>"OK"</formula>
    </cfRule>
    <cfRule type="cellIs" priority="6" operator="equal" aboveAverage="0" equalAverage="0" bottom="0" percent="0" rank="0" text="" dxfId="1">
      <formula>"No limite"</formula>
    </cfRule>
    <cfRule type="cellIs" priority="7" operator="equal" aboveAverage="0" equalAverage="0" bottom="0" percent="0" rank="0" text="" dxfId="2">
      <formula>"Acima"</formula>
    </cfRule>
  </conditionalFormatting>
  <conditionalFormatting sqref="M17:M36">
    <cfRule type="cellIs" priority="8" operator="equal" aboveAverage="0" equalAverage="0" bottom="0" percent="0" rank="0" text="" dxfId="0">
      <formula>"OK"</formula>
    </cfRule>
    <cfRule type="cellIs" priority="9" operator="equal" aboveAverage="0" equalAverage="0" bottom="0" percent="0" rank="0" text="" dxfId="1">
      <formula>"No limite"</formula>
    </cfRule>
    <cfRule type="cellIs" priority="10" operator="equal" aboveAverage="0" equalAverage="0" bottom="0" percent="0" rank="0" text="" dxfId="1">
      <formula>"Incompleto"</formula>
    </cfRule>
    <cfRule type="cellIs" priority="11" operator="equal" aboveAverage="0" equalAverage="0" bottom="0" percent="0" rank="0" text="" dxfId="2">
      <formula>"Formato"</formula>
    </cfRule>
    <cfRule type="cellIs" priority="12" operator="equal" aboveAverage="0" equalAverage="0" bottom="0" percent="0" rank="0" text="" dxfId="2">
      <formula>"Comprimento"</formula>
    </cfRule>
    <cfRule type="cellIs" priority="13" operator="equal" aboveAverage="0" equalAverage="0" bottom="0" percent="0" rank="0" text="" dxfId="2">
      <formula>"Formato e cabo"</formula>
    </cfRule>
  </conditionalFormatting>
  <conditionalFormatting sqref="F46:N46">
    <cfRule type="cellIs" priority="14" operator="equal" aboveAverage="0" equalAverage="0" bottom="0" percent="0" rank="0" text="" dxfId="0">
      <formula>"OK"</formula>
    </cfRule>
    <cfRule type="cellIs" priority="15" operator="notEqual" aboveAverage="0" equalAverage="0" bottom="0" percent="0" rank="0" text="" dxfId="1">
      <formula>"OK"</formula>
    </cfRule>
  </conditionalFormatting>
  <dataValidations count="8">
    <dataValidation allowBlank="true" error="Digite uma data no formato dia/mês/ano." errorStyle="stop" errorTitle="Data inválida" operator="greaterThanOrEqual" showDropDown="false" showErrorMessage="true" showInputMessage="false" sqref="D6" type="date">
      <formula1>36526</formula1>
      <formula2>0</formula2>
    </dataValidation>
    <dataValidation allowBlank="true" error="Escolha uma das opções da lista." errorStyle="stop" errorTitle="Valor inválido" operator="between" prompt="O formato em que todas as origens devem estar, como aparece nos menus." promptTitle="Opções" showDropDown="false" showErrorMessage="true" showInputMessage="true" sqref="D8" type="list">
      <formula1>"720p50,720p59.94,720p60,1080i50,1080i59.94,1080i60,1080p23.98,1080p24,1080p25,1080p29.97,1080p30,1080p50,1080p59.94,1080p60,2160p25,2160p29.97,2160p30,2160p50,2160p59.94,2160p60,Outro"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D9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H5:K11" type="decimal">
      <formula1>-1000000000</formula1>
      <formula2>1000000000</formula2>
    </dataValidation>
    <dataValidation allowBlank="true" error="Escolha uma das opções da lista." errorStyle="stop" errorTitle="Valor inválido" operator="between" prompt="O formato que a origem envia, como aparece no menu dela." promptTitle="Opções" showDropDown="false" showErrorMessage="true" showInputMessage="true" sqref="D17:D36" type="list">
      <formula1>"720p50,720p59.94,720p60,1080i50,1080i59.94,1080i60,1080p23.98,1080p24,1080p25,1080p29.97,1080p30,1080p50,1080p59.94,1080p60,2160p25,2160p29.97,2160p30,2160p50,2160p59.94,2160p60,Outro"</formula1>
      <formula2>0</formula2>
    </dataValidation>
    <dataValidation allowBlank="true" error="Escolha uma das opções da lista." errorStyle="stop" errorTitle="Valor inválido" operator="between" prompt="O tipo de cabo ou de extensor do trecho." promptTitle="Opções" showDropDown="false" showErrorMessage="true" showInputMessage="true" sqref="E17:E36" type="list">
      <formula1>"HDMI passivo,HDMI ativo ou óptico,SDI,HDBaseT,Fibra,Rede (NDI),USB"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F17:F36" type="decimal">
      <formula1>-1000000000</formula1>
      <formula2>1000000000</formula2>
    </dataValidation>
    <dataValidation allowBlank="true" error="Escolha uma das opções da lista." errorStyle="stop" errorTitle="Valor inválido" operator="between" prompt="O destino tem conversor de formato na entrada?" promptTitle="Opções" showDropDown="false" showErrorMessage="true" showInputMessage="true" sqref="H17:H36" type="list">
      <formula1>"Sim,Não"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6A12"/>
    <pageSetUpPr fitToPage="true"/>
  </sheetPr>
  <dimension ref="B1:P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34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9" min="8" style="0" width="11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2" min="12" style="0" width="22"/>
    <col collapsed="false" customWidth="true" hidden="false" outlineLevel="0" max="13" min="13" style="0" width="9"/>
    <col collapsed="false" customWidth="true" hidden="false" outlineLevel="0" max="14" min="14" style="0" width="15"/>
    <col collapsed="false" customWidth="true" hidden="false" outlineLevel="0" max="15" min="15" style="0" width="44"/>
    <col collapsed="false" customWidth="true" hidden="false" outlineLevel="0" max="16" min="16" style="0" width="26"/>
    <col collapsed="false" customWidth="true" hidden="false" outlineLevel="0" max="17" min="17" style="0" width="2"/>
  </cols>
  <sheetData>
    <row r="1" customFormat="false" ht="31.5" hidden="false" customHeight="true" outlineLevel="0" collapsed="false">
      <c r="B1" s="1" t="s">
        <v>127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9.5" hidden="false" customHeight="true" outlineLevel="0" collapsed="false">
      <c r="B2" s="2" t="s">
        <v>128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21.75" hidden="false" customHeight="true" outlineLevel="0" collapsed="false">
      <c r="B4" s="4" t="s">
        <v>129</v>
      </c>
      <c r="C4" s="4"/>
      <c r="D4" s="5"/>
      <c r="E4" s="5"/>
      <c r="F4" s="5"/>
      <c r="H4" s="11" t="s">
        <v>130</v>
      </c>
      <c r="I4" s="11"/>
      <c r="J4" s="11"/>
      <c r="K4" s="11"/>
      <c r="L4" s="11"/>
      <c r="M4" s="11"/>
      <c r="N4" s="11"/>
      <c r="O4" s="11"/>
      <c r="P4" s="11"/>
    </row>
    <row r="5" customFormat="false" ht="21.75" hidden="false" customHeight="true" outlineLevel="0" collapsed="false">
      <c r="B5" s="4" t="s">
        <v>72</v>
      </c>
      <c r="C5" s="4"/>
      <c r="D5" s="5"/>
      <c r="E5" s="5"/>
      <c r="F5" s="5"/>
      <c r="H5" s="11" t="s">
        <v>131</v>
      </c>
      <c r="I5" s="11"/>
      <c r="J5" s="11"/>
      <c r="K5" s="11"/>
      <c r="L5" s="11"/>
      <c r="M5" s="11"/>
      <c r="N5" s="11"/>
      <c r="O5" s="11"/>
      <c r="P5" s="11"/>
    </row>
    <row r="6" customFormat="false" ht="21.75" hidden="false" customHeight="true" outlineLevel="0" collapsed="false">
      <c r="B6" s="4" t="s">
        <v>132</v>
      </c>
      <c r="C6" s="4"/>
      <c r="D6" s="13"/>
      <c r="E6" s="13"/>
      <c r="F6" s="13"/>
      <c r="H6" s="11" t="s">
        <v>133</v>
      </c>
      <c r="I6" s="11"/>
      <c r="J6" s="11"/>
      <c r="K6" s="11"/>
      <c r="L6" s="11"/>
      <c r="M6" s="11"/>
      <c r="N6" s="11"/>
      <c r="O6" s="11"/>
      <c r="P6" s="11"/>
    </row>
    <row r="7" customFormat="false" ht="21.75" hidden="false" customHeight="true" outlineLevel="0" collapsed="false">
      <c r="B7" s="4" t="s">
        <v>134</v>
      </c>
      <c r="C7" s="4"/>
      <c r="D7" s="12" t="n">
        <v>180</v>
      </c>
      <c r="E7" s="12"/>
      <c r="F7" s="12"/>
      <c r="H7" s="11" t="s">
        <v>135</v>
      </c>
      <c r="I7" s="11"/>
      <c r="J7" s="11"/>
      <c r="K7" s="11"/>
      <c r="L7" s="11"/>
      <c r="M7" s="11"/>
      <c r="N7" s="11"/>
      <c r="O7" s="11"/>
      <c r="P7" s="11"/>
    </row>
    <row r="9" customFormat="false" ht="21.75" hidden="false" customHeight="true" outlineLevel="0" collapsed="false">
      <c r="B9" s="16" t="s">
        <v>136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customFormat="false" ht="30" hidden="false" customHeight="true" outlineLevel="0" collapsed="false">
      <c r="B10" s="17" t="s">
        <v>88</v>
      </c>
      <c r="C10" s="17" t="s">
        <v>137</v>
      </c>
      <c r="D10" s="17" t="s">
        <v>138</v>
      </c>
      <c r="E10" s="10" t="s">
        <v>92</v>
      </c>
      <c r="F10" s="10" t="s">
        <v>139</v>
      </c>
      <c r="G10" s="17" t="s">
        <v>140</v>
      </c>
      <c r="H10" s="18" t="s">
        <v>141</v>
      </c>
      <c r="I10" s="18" t="s">
        <v>142</v>
      </c>
      <c r="J10" s="18" t="s">
        <v>143</v>
      </c>
      <c r="K10" s="18" t="s">
        <v>144</v>
      </c>
      <c r="L10" s="17" t="s">
        <v>145</v>
      </c>
      <c r="M10" s="19" t="s">
        <v>146</v>
      </c>
      <c r="N10" s="19" t="s">
        <v>98</v>
      </c>
      <c r="O10" s="19" t="s">
        <v>99</v>
      </c>
      <c r="P10" s="17" t="s">
        <v>100</v>
      </c>
    </row>
    <row r="11" customFormat="false" ht="21.75" hidden="false" customHeight="true" outlineLevel="0" collapsed="false">
      <c r="B11" s="20"/>
      <c r="C11" s="20" t="s">
        <v>147</v>
      </c>
      <c r="D11" s="20"/>
      <c r="E11" s="20" t="s">
        <v>104</v>
      </c>
      <c r="F11" s="20" t="s">
        <v>148</v>
      </c>
      <c r="G11" s="20"/>
      <c r="H11" s="20" t="s">
        <v>106</v>
      </c>
      <c r="I11" s="20" t="s">
        <v>106</v>
      </c>
      <c r="J11" s="20" t="s">
        <v>149</v>
      </c>
      <c r="K11" s="20" t="s">
        <v>150</v>
      </c>
      <c r="L11" s="20"/>
      <c r="M11" s="20" t="s">
        <v>151</v>
      </c>
      <c r="N11" s="20"/>
      <c r="O11" s="20"/>
      <c r="P11" s="20"/>
    </row>
    <row r="12" customFormat="false" ht="24" hidden="false" customHeight="true" outlineLevel="0" collapsed="false">
      <c r="B12" s="20" t="s">
        <v>110</v>
      </c>
      <c r="C12" s="11" t="s">
        <v>152</v>
      </c>
      <c r="D12" s="20" t="s">
        <v>153</v>
      </c>
      <c r="E12" s="20" t="n">
        <v>40</v>
      </c>
      <c r="F12" s="20" t="s">
        <v>62</v>
      </c>
      <c r="G12" s="20" t="n">
        <v>1</v>
      </c>
      <c r="H12" s="20" t="s">
        <v>113</v>
      </c>
      <c r="I12" s="20"/>
      <c r="J12" s="20" t="s">
        <v>154</v>
      </c>
      <c r="K12" s="20" t="s">
        <v>115</v>
      </c>
      <c r="L12" s="11" t="s">
        <v>155</v>
      </c>
      <c r="M12" s="20" t="n">
        <v>0</v>
      </c>
      <c r="N12" s="20" t="s">
        <v>115</v>
      </c>
      <c r="O12" s="11" t="s">
        <v>116</v>
      </c>
      <c r="P12" s="11"/>
    </row>
    <row r="13" customFormat="false" ht="21.75" hidden="false" customHeight="true" outlineLevel="0" collapsed="false">
      <c r="B13" s="21" t="n">
        <v>1</v>
      </c>
      <c r="C13" s="5"/>
      <c r="D13" s="12"/>
      <c r="E13" s="12"/>
      <c r="F13" s="12"/>
      <c r="G13" s="12"/>
      <c r="H13" s="12"/>
      <c r="I13" s="12"/>
      <c r="J13" s="27"/>
      <c r="K13" s="12"/>
      <c r="L13" s="5"/>
      <c r="M13" s="28" t="str">
        <f aca="false">IF(OR(J13="",$D$6=""),"",$D$6-J13)</f>
        <v/>
      </c>
      <c r="N13" s="23" t="str">
        <f aca="false">IF(C13="","",IF(OR(K13="Com defeito",K13="Intermitente"),"Retirar",IF(AND(H13="Sim",I13&lt;&gt;"Sim"),"Falta fonte",IF(OR(J13="",K13=""),"Testar",IF(AND(M13&lt;&gt;"",$D$7&lt;&gt;"",M13&gt;$D$7),"Testar de novo","OK")))))</f>
        <v/>
      </c>
      <c r="O13" s="24" t="str">
        <f aca="false">IF(N13="","",IF(N13="Retirar","Marque como defeituoso e tire do uso",IF(N13="Falta fonte","Localize a fonte e guarde junto do aparelho",IF(N13="Testar","Teste no formato do sistema e anote a data",IF(N13="Testar de novo","Teste vencido: repita antes do próximo evento","Manter")))))</f>
        <v/>
      </c>
      <c r="P13" s="5"/>
    </row>
    <row r="14" customFormat="false" ht="21.75" hidden="false" customHeight="true" outlineLevel="0" collapsed="false">
      <c r="B14" s="21" t="n">
        <v>2</v>
      </c>
      <c r="C14" s="5"/>
      <c r="D14" s="12"/>
      <c r="E14" s="12"/>
      <c r="F14" s="12"/>
      <c r="G14" s="12"/>
      <c r="H14" s="12"/>
      <c r="I14" s="12"/>
      <c r="J14" s="27"/>
      <c r="K14" s="12"/>
      <c r="L14" s="5"/>
      <c r="M14" s="28" t="str">
        <f aca="false">IF(OR(J14="",$D$6=""),"",$D$6-J14)</f>
        <v/>
      </c>
      <c r="N14" s="23" t="str">
        <f aca="false">IF(C14="","",IF(OR(K14="Com defeito",K14="Intermitente"),"Retirar",IF(AND(H14="Sim",I14&lt;&gt;"Sim"),"Falta fonte",IF(OR(J14="",K14=""),"Testar",IF(AND(M14&lt;&gt;"",$D$7&lt;&gt;"",M14&gt;$D$7),"Testar de novo","OK")))))</f>
        <v/>
      </c>
      <c r="O14" s="24" t="str">
        <f aca="false">IF(N14="","",IF(N14="Retirar","Marque como defeituoso e tire do uso",IF(N14="Falta fonte","Localize a fonte e guarde junto do aparelho",IF(N14="Testar","Teste no formato do sistema e anote a data",IF(N14="Testar de novo","Teste vencido: repita antes do próximo evento","Manter")))))</f>
        <v/>
      </c>
      <c r="P14" s="5"/>
    </row>
    <row r="15" customFormat="false" ht="21.75" hidden="false" customHeight="true" outlineLevel="0" collapsed="false">
      <c r="B15" s="21" t="n">
        <v>3</v>
      </c>
      <c r="C15" s="5"/>
      <c r="D15" s="12"/>
      <c r="E15" s="12"/>
      <c r="F15" s="12"/>
      <c r="G15" s="12"/>
      <c r="H15" s="12"/>
      <c r="I15" s="12"/>
      <c r="J15" s="27"/>
      <c r="K15" s="12"/>
      <c r="L15" s="5"/>
      <c r="M15" s="28" t="str">
        <f aca="false">IF(OR(J15="",$D$6=""),"",$D$6-J15)</f>
        <v/>
      </c>
      <c r="N15" s="23" t="str">
        <f aca="false">IF(C15="","",IF(OR(K15="Com defeito",K15="Intermitente"),"Retirar",IF(AND(H15="Sim",I15&lt;&gt;"Sim"),"Falta fonte",IF(OR(J15="",K15=""),"Testar",IF(AND(M15&lt;&gt;"",$D$7&lt;&gt;"",M15&gt;$D$7),"Testar de novo","OK")))))</f>
        <v/>
      </c>
      <c r="O15" s="24" t="str">
        <f aca="false">IF(N15="","",IF(N15="Retirar","Marque como defeituoso e tire do uso",IF(N15="Falta fonte","Localize a fonte e guarde junto do aparelho",IF(N15="Testar","Teste no formato do sistema e anote a data",IF(N15="Testar de novo","Teste vencido: repita antes do próximo evento","Manter")))))</f>
        <v/>
      </c>
      <c r="P15" s="5"/>
    </row>
    <row r="16" customFormat="false" ht="21.75" hidden="false" customHeight="true" outlineLevel="0" collapsed="false">
      <c r="B16" s="21" t="n">
        <v>4</v>
      </c>
      <c r="C16" s="5"/>
      <c r="D16" s="12"/>
      <c r="E16" s="12"/>
      <c r="F16" s="12"/>
      <c r="G16" s="12"/>
      <c r="H16" s="12"/>
      <c r="I16" s="12"/>
      <c r="J16" s="27"/>
      <c r="K16" s="12"/>
      <c r="L16" s="5"/>
      <c r="M16" s="28" t="str">
        <f aca="false">IF(OR(J16="",$D$6=""),"",$D$6-J16)</f>
        <v/>
      </c>
      <c r="N16" s="23" t="str">
        <f aca="false">IF(C16="","",IF(OR(K16="Com defeito",K16="Intermitente"),"Retirar",IF(AND(H16="Sim",I16&lt;&gt;"Sim"),"Falta fonte",IF(OR(J16="",K16=""),"Testar",IF(AND(M16&lt;&gt;"",$D$7&lt;&gt;"",M16&gt;$D$7),"Testar de novo","OK")))))</f>
        <v/>
      </c>
      <c r="O16" s="24" t="str">
        <f aca="false">IF(N16="","",IF(N16="Retirar","Marque como defeituoso e tire do uso",IF(N16="Falta fonte","Localize a fonte e guarde junto do aparelho",IF(N16="Testar","Teste no formato do sistema e anote a data",IF(N16="Testar de novo","Teste vencido: repita antes do próximo evento","Manter")))))</f>
        <v/>
      </c>
      <c r="P16" s="5"/>
    </row>
    <row r="17" customFormat="false" ht="21.75" hidden="false" customHeight="true" outlineLevel="0" collapsed="false">
      <c r="B17" s="21" t="n">
        <v>5</v>
      </c>
      <c r="C17" s="5"/>
      <c r="D17" s="12"/>
      <c r="E17" s="12"/>
      <c r="F17" s="12"/>
      <c r="G17" s="12"/>
      <c r="H17" s="12"/>
      <c r="I17" s="12"/>
      <c r="J17" s="27"/>
      <c r="K17" s="12"/>
      <c r="L17" s="5"/>
      <c r="M17" s="28" t="str">
        <f aca="false">IF(OR(J17="",$D$6=""),"",$D$6-J17)</f>
        <v/>
      </c>
      <c r="N17" s="23" t="str">
        <f aca="false">IF(C17="","",IF(OR(K17="Com defeito",K17="Intermitente"),"Retirar",IF(AND(H17="Sim",I17&lt;&gt;"Sim"),"Falta fonte",IF(OR(J17="",K17=""),"Testar",IF(AND(M17&lt;&gt;"",$D$7&lt;&gt;"",M17&gt;$D$7),"Testar de novo","OK")))))</f>
        <v/>
      </c>
      <c r="O17" s="24" t="str">
        <f aca="false">IF(N17="","",IF(N17="Retirar","Marque como defeituoso e tire do uso",IF(N17="Falta fonte","Localize a fonte e guarde junto do aparelho",IF(N17="Testar","Teste no formato do sistema e anote a data",IF(N17="Testar de novo","Teste vencido: repita antes do próximo evento","Manter")))))</f>
        <v/>
      </c>
      <c r="P17" s="5"/>
    </row>
    <row r="18" customFormat="false" ht="21.75" hidden="false" customHeight="true" outlineLevel="0" collapsed="false">
      <c r="B18" s="21" t="n">
        <v>6</v>
      </c>
      <c r="C18" s="5"/>
      <c r="D18" s="12"/>
      <c r="E18" s="12"/>
      <c r="F18" s="12"/>
      <c r="G18" s="12"/>
      <c r="H18" s="12"/>
      <c r="I18" s="12"/>
      <c r="J18" s="27"/>
      <c r="K18" s="12"/>
      <c r="L18" s="5"/>
      <c r="M18" s="28" t="str">
        <f aca="false">IF(OR(J18="",$D$6=""),"",$D$6-J18)</f>
        <v/>
      </c>
      <c r="N18" s="23" t="str">
        <f aca="false">IF(C18="","",IF(OR(K18="Com defeito",K18="Intermitente"),"Retirar",IF(AND(H18="Sim",I18&lt;&gt;"Sim"),"Falta fonte",IF(OR(J18="",K18=""),"Testar",IF(AND(M18&lt;&gt;"",$D$7&lt;&gt;"",M18&gt;$D$7),"Testar de novo","OK")))))</f>
        <v/>
      </c>
      <c r="O18" s="24" t="str">
        <f aca="false">IF(N18="","",IF(N18="Retirar","Marque como defeituoso e tire do uso",IF(N18="Falta fonte","Localize a fonte e guarde junto do aparelho",IF(N18="Testar","Teste no formato do sistema e anote a data",IF(N18="Testar de novo","Teste vencido: repita antes do próximo evento","Manter")))))</f>
        <v/>
      </c>
      <c r="P18" s="5"/>
    </row>
    <row r="19" customFormat="false" ht="21.75" hidden="false" customHeight="true" outlineLevel="0" collapsed="false">
      <c r="B19" s="21" t="n">
        <v>7</v>
      </c>
      <c r="C19" s="5"/>
      <c r="D19" s="12"/>
      <c r="E19" s="12"/>
      <c r="F19" s="12"/>
      <c r="G19" s="12"/>
      <c r="H19" s="12"/>
      <c r="I19" s="12"/>
      <c r="J19" s="27"/>
      <c r="K19" s="12"/>
      <c r="L19" s="5"/>
      <c r="M19" s="28" t="str">
        <f aca="false">IF(OR(J19="",$D$6=""),"",$D$6-J19)</f>
        <v/>
      </c>
      <c r="N19" s="23" t="str">
        <f aca="false">IF(C19="","",IF(OR(K19="Com defeito",K19="Intermitente"),"Retirar",IF(AND(H19="Sim",I19&lt;&gt;"Sim"),"Falta fonte",IF(OR(J19="",K19=""),"Testar",IF(AND(M19&lt;&gt;"",$D$7&lt;&gt;"",M19&gt;$D$7),"Testar de novo","OK")))))</f>
        <v/>
      </c>
      <c r="O19" s="24" t="str">
        <f aca="false">IF(N19="","",IF(N19="Retirar","Marque como defeituoso e tire do uso",IF(N19="Falta fonte","Localize a fonte e guarde junto do aparelho",IF(N19="Testar","Teste no formato do sistema e anote a data",IF(N19="Testar de novo","Teste vencido: repita antes do próximo evento","Manter")))))</f>
        <v/>
      </c>
      <c r="P19" s="5"/>
    </row>
    <row r="20" customFormat="false" ht="21.75" hidden="false" customHeight="true" outlineLevel="0" collapsed="false">
      <c r="B20" s="21" t="n">
        <v>8</v>
      </c>
      <c r="C20" s="5"/>
      <c r="D20" s="12"/>
      <c r="E20" s="12"/>
      <c r="F20" s="12"/>
      <c r="G20" s="12"/>
      <c r="H20" s="12"/>
      <c r="I20" s="12"/>
      <c r="J20" s="27"/>
      <c r="K20" s="12"/>
      <c r="L20" s="5"/>
      <c r="M20" s="28" t="str">
        <f aca="false">IF(OR(J20="",$D$6=""),"",$D$6-J20)</f>
        <v/>
      </c>
      <c r="N20" s="23" t="str">
        <f aca="false">IF(C20="","",IF(OR(K20="Com defeito",K20="Intermitente"),"Retirar",IF(AND(H20="Sim",I20&lt;&gt;"Sim"),"Falta fonte",IF(OR(J20="",K20=""),"Testar",IF(AND(M20&lt;&gt;"",$D$7&lt;&gt;"",M20&gt;$D$7),"Testar de novo","OK")))))</f>
        <v/>
      </c>
      <c r="O20" s="24" t="str">
        <f aca="false">IF(N20="","",IF(N20="Retirar","Marque como defeituoso e tire do uso",IF(N20="Falta fonte","Localize a fonte e guarde junto do aparelho",IF(N20="Testar","Teste no formato do sistema e anote a data",IF(N20="Testar de novo","Teste vencido: repita antes do próximo evento","Manter")))))</f>
        <v/>
      </c>
      <c r="P20" s="5"/>
    </row>
    <row r="21" customFormat="false" ht="21.75" hidden="false" customHeight="true" outlineLevel="0" collapsed="false">
      <c r="B21" s="21" t="n">
        <v>9</v>
      </c>
      <c r="C21" s="5"/>
      <c r="D21" s="12"/>
      <c r="E21" s="12"/>
      <c r="F21" s="12"/>
      <c r="G21" s="12"/>
      <c r="H21" s="12"/>
      <c r="I21" s="12"/>
      <c r="J21" s="27"/>
      <c r="K21" s="12"/>
      <c r="L21" s="5"/>
      <c r="M21" s="28" t="str">
        <f aca="false">IF(OR(J21="",$D$6=""),"",$D$6-J21)</f>
        <v/>
      </c>
      <c r="N21" s="23" t="str">
        <f aca="false">IF(C21="","",IF(OR(K21="Com defeito",K21="Intermitente"),"Retirar",IF(AND(H21="Sim",I21&lt;&gt;"Sim"),"Falta fonte",IF(OR(J21="",K21=""),"Testar",IF(AND(M21&lt;&gt;"",$D$7&lt;&gt;"",M21&gt;$D$7),"Testar de novo","OK")))))</f>
        <v/>
      </c>
      <c r="O21" s="24" t="str">
        <f aca="false">IF(N21="","",IF(N21="Retirar","Marque como defeituoso e tire do uso",IF(N21="Falta fonte","Localize a fonte e guarde junto do aparelho",IF(N21="Testar","Teste no formato do sistema e anote a data",IF(N21="Testar de novo","Teste vencido: repita antes do próximo evento","Manter")))))</f>
        <v/>
      </c>
      <c r="P21" s="5"/>
    </row>
    <row r="22" customFormat="false" ht="21.75" hidden="false" customHeight="true" outlineLevel="0" collapsed="false">
      <c r="B22" s="21" t="n">
        <v>10</v>
      </c>
      <c r="C22" s="5"/>
      <c r="D22" s="12"/>
      <c r="E22" s="12"/>
      <c r="F22" s="12"/>
      <c r="G22" s="12"/>
      <c r="H22" s="12"/>
      <c r="I22" s="12"/>
      <c r="J22" s="27"/>
      <c r="K22" s="12"/>
      <c r="L22" s="5"/>
      <c r="M22" s="28" t="str">
        <f aca="false">IF(OR(J22="",$D$6=""),"",$D$6-J22)</f>
        <v/>
      </c>
      <c r="N22" s="23" t="str">
        <f aca="false">IF(C22="","",IF(OR(K22="Com defeito",K22="Intermitente"),"Retirar",IF(AND(H22="Sim",I22&lt;&gt;"Sim"),"Falta fonte",IF(OR(J22="",K22=""),"Testar",IF(AND(M22&lt;&gt;"",$D$7&lt;&gt;"",M22&gt;$D$7),"Testar de novo","OK")))))</f>
        <v/>
      </c>
      <c r="O22" s="24" t="str">
        <f aca="false">IF(N22="","",IF(N22="Retirar","Marque como defeituoso e tire do uso",IF(N22="Falta fonte","Localize a fonte e guarde junto do aparelho",IF(N22="Testar","Teste no formato do sistema e anote a data",IF(N22="Testar de novo","Teste vencido: repita antes do próximo evento","Manter")))))</f>
        <v/>
      </c>
      <c r="P22" s="5"/>
    </row>
    <row r="23" customFormat="false" ht="21.75" hidden="false" customHeight="true" outlineLevel="0" collapsed="false">
      <c r="B23" s="21" t="n">
        <v>11</v>
      </c>
      <c r="C23" s="5"/>
      <c r="D23" s="12"/>
      <c r="E23" s="12"/>
      <c r="F23" s="12"/>
      <c r="G23" s="12"/>
      <c r="H23" s="12"/>
      <c r="I23" s="12"/>
      <c r="J23" s="27"/>
      <c r="K23" s="12"/>
      <c r="L23" s="5"/>
      <c r="M23" s="28" t="str">
        <f aca="false">IF(OR(J23="",$D$6=""),"",$D$6-J23)</f>
        <v/>
      </c>
      <c r="N23" s="23" t="str">
        <f aca="false">IF(C23="","",IF(OR(K23="Com defeito",K23="Intermitente"),"Retirar",IF(AND(H23="Sim",I23&lt;&gt;"Sim"),"Falta fonte",IF(OR(J23="",K23=""),"Testar",IF(AND(M23&lt;&gt;"",$D$7&lt;&gt;"",M23&gt;$D$7),"Testar de novo","OK")))))</f>
        <v/>
      </c>
      <c r="O23" s="24" t="str">
        <f aca="false">IF(N23="","",IF(N23="Retirar","Marque como defeituoso e tire do uso",IF(N23="Falta fonte","Localize a fonte e guarde junto do aparelho",IF(N23="Testar","Teste no formato do sistema e anote a data",IF(N23="Testar de novo","Teste vencido: repita antes do próximo evento","Manter")))))</f>
        <v/>
      </c>
      <c r="P23" s="5"/>
    </row>
    <row r="24" customFormat="false" ht="21.75" hidden="false" customHeight="true" outlineLevel="0" collapsed="false">
      <c r="B24" s="21" t="n">
        <v>12</v>
      </c>
      <c r="C24" s="5"/>
      <c r="D24" s="12"/>
      <c r="E24" s="12"/>
      <c r="F24" s="12"/>
      <c r="G24" s="12"/>
      <c r="H24" s="12"/>
      <c r="I24" s="12"/>
      <c r="J24" s="27"/>
      <c r="K24" s="12"/>
      <c r="L24" s="5"/>
      <c r="M24" s="28" t="str">
        <f aca="false">IF(OR(J24="",$D$6=""),"",$D$6-J24)</f>
        <v/>
      </c>
      <c r="N24" s="23" t="str">
        <f aca="false">IF(C24="","",IF(OR(K24="Com defeito",K24="Intermitente"),"Retirar",IF(AND(H24="Sim",I24&lt;&gt;"Sim"),"Falta fonte",IF(OR(J24="",K24=""),"Testar",IF(AND(M24&lt;&gt;"",$D$7&lt;&gt;"",M24&gt;$D$7),"Testar de novo","OK")))))</f>
        <v/>
      </c>
      <c r="O24" s="24" t="str">
        <f aca="false">IF(N24="","",IF(N24="Retirar","Marque como defeituoso e tire do uso",IF(N24="Falta fonte","Localize a fonte e guarde junto do aparelho",IF(N24="Testar","Teste no formato do sistema e anote a data",IF(N24="Testar de novo","Teste vencido: repita antes do próximo evento","Manter")))))</f>
        <v/>
      </c>
      <c r="P24" s="5"/>
    </row>
    <row r="25" customFormat="false" ht="21.75" hidden="false" customHeight="true" outlineLevel="0" collapsed="false">
      <c r="B25" s="21" t="n">
        <v>13</v>
      </c>
      <c r="C25" s="5"/>
      <c r="D25" s="12"/>
      <c r="E25" s="12"/>
      <c r="F25" s="12"/>
      <c r="G25" s="12"/>
      <c r="H25" s="12"/>
      <c r="I25" s="12"/>
      <c r="J25" s="27"/>
      <c r="K25" s="12"/>
      <c r="L25" s="5"/>
      <c r="M25" s="28" t="str">
        <f aca="false">IF(OR(J25="",$D$6=""),"",$D$6-J25)</f>
        <v/>
      </c>
      <c r="N25" s="23" t="str">
        <f aca="false">IF(C25="","",IF(OR(K25="Com defeito",K25="Intermitente"),"Retirar",IF(AND(H25="Sim",I25&lt;&gt;"Sim"),"Falta fonte",IF(OR(J25="",K25=""),"Testar",IF(AND(M25&lt;&gt;"",$D$7&lt;&gt;"",M25&gt;$D$7),"Testar de novo","OK")))))</f>
        <v/>
      </c>
      <c r="O25" s="24" t="str">
        <f aca="false">IF(N25="","",IF(N25="Retirar","Marque como defeituoso e tire do uso",IF(N25="Falta fonte","Localize a fonte e guarde junto do aparelho",IF(N25="Testar","Teste no formato do sistema e anote a data",IF(N25="Testar de novo","Teste vencido: repita antes do próximo evento","Manter")))))</f>
        <v/>
      </c>
      <c r="P25" s="5"/>
    </row>
    <row r="26" customFormat="false" ht="21.75" hidden="false" customHeight="true" outlineLevel="0" collapsed="false">
      <c r="B26" s="21" t="n">
        <v>14</v>
      </c>
      <c r="C26" s="5"/>
      <c r="D26" s="12"/>
      <c r="E26" s="12"/>
      <c r="F26" s="12"/>
      <c r="G26" s="12"/>
      <c r="H26" s="12"/>
      <c r="I26" s="12"/>
      <c r="J26" s="27"/>
      <c r="K26" s="12"/>
      <c r="L26" s="5"/>
      <c r="M26" s="28" t="str">
        <f aca="false">IF(OR(J26="",$D$6=""),"",$D$6-J26)</f>
        <v/>
      </c>
      <c r="N26" s="23" t="str">
        <f aca="false">IF(C26="","",IF(OR(K26="Com defeito",K26="Intermitente"),"Retirar",IF(AND(H26="Sim",I26&lt;&gt;"Sim"),"Falta fonte",IF(OR(J26="",K26=""),"Testar",IF(AND(M26&lt;&gt;"",$D$7&lt;&gt;"",M26&gt;$D$7),"Testar de novo","OK")))))</f>
        <v/>
      </c>
      <c r="O26" s="24" t="str">
        <f aca="false">IF(N26="","",IF(N26="Retirar","Marque como defeituoso e tire do uso",IF(N26="Falta fonte","Localize a fonte e guarde junto do aparelho",IF(N26="Testar","Teste no formato do sistema e anote a data",IF(N26="Testar de novo","Teste vencido: repita antes do próximo evento","Manter")))))</f>
        <v/>
      </c>
      <c r="P26" s="5"/>
    </row>
    <row r="27" customFormat="false" ht="21.75" hidden="false" customHeight="true" outlineLevel="0" collapsed="false">
      <c r="B27" s="21" t="n">
        <v>15</v>
      </c>
      <c r="C27" s="5"/>
      <c r="D27" s="12"/>
      <c r="E27" s="12"/>
      <c r="F27" s="12"/>
      <c r="G27" s="12"/>
      <c r="H27" s="12"/>
      <c r="I27" s="12"/>
      <c r="J27" s="27"/>
      <c r="K27" s="12"/>
      <c r="L27" s="5"/>
      <c r="M27" s="28" t="str">
        <f aca="false">IF(OR(J27="",$D$6=""),"",$D$6-J27)</f>
        <v/>
      </c>
      <c r="N27" s="23" t="str">
        <f aca="false">IF(C27="","",IF(OR(K27="Com defeito",K27="Intermitente"),"Retirar",IF(AND(H27="Sim",I27&lt;&gt;"Sim"),"Falta fonte",IF(OR(J27="",K27=""),"Testar",IF(AND(M27&lt;&gt;"",$D$7&lt;&gt;"",M27&gt;$D$7),"Testar de novo","OK")))))</f>
        <v/>
      </c>
      <c r="O27" s="24" t="str">
        <f aca="false">IF(N27="","",IF(N27="Retirar","Marque como defeituoso e tire do uso",IF(N27="Falta fonte","Localize a fonte e guarde junto do aparelho",IF(N27="Testar","Teste no formato do sistema e anote a data",IF(N27="Testar de novo","Teste vencido: repita antes do próximo evento","Manter")))))</f>
        <v/>
      </c>
      <c r="P27" s="5"/>
    </row>
    <row r="28" customFormat="false" ht="21.75" hidden="false" customHeight="true" outlineLevel="0" collapsed="false">
      <c r="B28" s="21" t="n">
        <v>16</v>
      </c>
      <c r="C28" s="5"/>
      <c r="D28" s="12"/>
      <c r="E28" s="12"/>
      <c r="F28" s="12"/>
      <c r="G28" s="12"/>
      <c r="H28" s="12"/>
      <c r="I28" s="12"/>
      <c r="J28" s="27"/>
      <c r="K28" s="12"/>
      <c r="L28" s="5"/>
      <c r="M28" s="28" t="str">
        <f aca="false">IF(OR(J28="",$D$6=""),"",$D$6-J28)</f>
        <v/>
      </c>
      <c r="N28" s="23" t="str">
        <f aca="false">IF(C28="","",IF(OR(K28="Com defeito",K28="Intermitente"),"Retirar",IF(AND(H28="Sim",I28&lt;&gt;"Sim"),"Falta fonte",IF(OR(J28="",K28=""),"Testar",IF(AND(M28&lt;&gt;"",$D$7&lt;&gt;"",M28&gt;$D$7),"Testar de novo","OK")))))</f>
        <v/>
      </c>
      <c r="O28" s="24" t="str">
        <f aca="false">IF(N28="","",IF(N28="Retirar","Marque como defeituoso e tire do uso",IF(N28="Falta fonte","Localize a fonte e guarde junto do aparelho",IF(N28="Testar","Teste no formato do sistema e anote a data",IF(N28="Testar de novo","Teste vencido: repita antes do próximo evento","Manter")))))</f>
        <v/>
      </c>
      <c r="P28" s="5"/>
    </row>
    <row r="29" customFormat="false" ht="21.75" hidden="false" customHeight="true" outlineLevel="0" collapsed="false">
      <c r="B29" s="21" t="n">
        <v>17</v>
      </c>
      <c r="C29" s="5"/>
      <c r="D29" s="12"/>
      <c r="E29" s="12"/>
      <c r="F29" s="12"/>
      <c r="G29" s="12"/>
      <c r="H29" s="12"/>
      <c r="I29" s="12"/>
      <c r="J29" s="27"/>
      <c r="K29" s="12"/>
      <c r="L29" s="5"/>
      <c r="M29" s="28" t="str">
        <f aca="false">IF(OR(J29="",$D$6=""),"",$D$6-J29)</f>
        <v/>
      </c>
      <c r="N29" s="23" t="str">
        <f aca="false">IF(C29="","",IF(OR(K29="Com defeito",K29="Intermitente"),"Retirar",IF(AND(H29="Sim",I29&lt;&gt;"Sim"),"Falta fonte",IF(OR(J29="",K29=""),"Testar",IF(AND(M29&lt;&gt;"",$D$7&lt;&gt;"",M29&gt;$D$7),"Testar de novo","OK")))))</f>
        <v/>
      </c>
      <c r="O29" s="24" t="str">
        <f aca="false">IF(N29="","",IF(N29="Retirar","Marque como defeituoso e tire do uso",IF(N29="Falta fonte","Localize a fonte e guarde junto do aparelho",IF(N29="Testar","Teste no formato do sistema e anote a data",IF(N29="Testar de novo","Teste vencido: repita antes do próximo evento","Manter")))))</f>
        <v/>
      </c>
      <c r="P29" s="5"/>
    </row>
    <row r="30" customFormat="false" ht="21.75" hidden="false" customHeight="true" outlineLevel="0" collapsed="false">
      <c r="B30" s="21" t="n">
        <v>18</v>
      </c>
      <c r="C30" s="5"/>
      <c r="D30" s="12"/>
      <c r="E30" s="12"/>
      <c r="F30" s="12"/>
      <c r="G30" s="12"/>
      <c r="H30" s="12"/>
      <c r="I30" s="12"/>
      <c r="J30" s="27"/>
      <c r="K30" s="12"/>
      <c r="L30" s="5"/>
      <c r="M30" s="28" t="str">
        <f aca="false">IF(OR(J30="",$D$6=""),"",$D$6-J30)</f>
        <v/>
      </c>
      <c r="N30" s="23" t="str">
        <f aca="false">IF(C30="","",IF(OR(K30="Com defeito",K30="Intermitente"),"Retirar",IF(AND(H30="Sim",I30&lt;&gt;"Sim"),"Falta fonte",IF(OR(J30="",K30=""),"Testar",IF(AND(M30&lt;&gt;"",$D$7&lt;&gt;"",M30&gt;$D$7),"Testar de novo","OK")))))</f>
        <v/>
      </c>
      <c r="O30" s="24" t="str">
        <f aca="false">IF(N30="","",IF(N30="Retirar","Marque como defeituoso e tire do uso",IF(N30="Falta fonte","Localize a fonte e guarde junto do aparelho",IF(N30="Testar","Teste no formato do sistema e anote a data",IF(N30="Testar de novo","Teste vencido: repita antes do próximo evento","Manter")))))</f>
        <v/>
      </c>
      <c r="P30" s="5"/>
    </row>
    <row r="31" customFormat="false" ht="21.75" hidden="false" customHeight="true" outlineLevel="0" collapsed="false">
      <c r="B31" s="21" t="n">
        <v>19</v>
      </c>
      <c r="C31" s="5"/>
      <c r="D31" s="12"/>
      <c r="E31" s="12"/>
      <c r="F31" s="12"/>
      <c r="G31" s="12"/>
      <c r="H31" s="12"/>
      <c r="I31" s="12"/>
      <c r="J31" s="27"/>
      <c r="K31" s="12"/>
      <c r="L31" s="5"/>
      <c r="M31" s="28" t="str">
        <f aca="false">IF(OR(J31="",$D$6=""),"",$D$6-J31)</f>
        <v/>
      </c>
      <c r="N31" s="23" t="str">
        <f aca="false">IF(C31="","",IF(OR(K31="Com defeito",K31="Intermitente"),"Retirar",IF(AND(H31="Sim",I31&lt;&gt;"Sim"),"Falta fonte",IF(OR(J31="",K31=""),"Testar",IF(AND(M31&lt;&gt;"",$D$7&lt;&gt;"",M31&gt;$D$7),"Testar de novo","OK")))))</f>
        <v/>
      </c>
      <c r="O31" s="24" t="str">
        <f aca="false">IF(N31="","",IF(N31="Retirar","Marque como defeituoso e tire do uso",IF(N31="Falta fonte","Localize a fonte e guarde junto do aparelho",IF(N31="Testar","Teste no formato do sistema e anote a data",IF(N31="Testar de novo","Teste vencido: repita antes do próximo evento","Manter")))))</f>
        <v/>
      </c>
      <c r="P31" s="5"/>
    </row>
    <row r="32" customFormat="false" ht="21.75" hidden="false" customHeight="true" outlineLevel="0" collapsed="false">
      <c r="B32" s="21" t="n">
        <v>20</v>
      </c>
      <c r="C32" s="5"/>
      <c r="D32" s="12"/>
      <c r="E32" s="12"/>
      <c r="F32" s="12"/>
      <c r="G32" s="12"/>
      <c r="H32" s="12"/>
      <c r="I32" s="12"/>
      <c r="J32" s="27"/>
      <c r="K32" s="12"/>
      <c r="L32" s="5"/>
      <c r="M32" s="28" t="str">
        <f aca="false">IF(OR(J32="",$D$6=""),"",$D$6-J32)</f>
        <v/>
      </c>
      <c r="N32" s="23" t="str">
        <f aca="false">IF(C32="","",IF(OR(K32="Com defeito",K32="Intermitente"),"Retirar",IF(AND(H32="Sim",I32&lt;&gt;"Sim"),"Falta fonte",IF(OR(J32="",K32=""),"Testar",IF(AND(M32&lt;&gt;"",$D$7&lt;&gt;"",M32&gt;$D$7),"Testar de novo","OK")))))</f>
        <v/>
      </c>
      <c r="O32" s="24" t="str">
        <f aca="false">IF(N32="","",IF(N32="Retirar","Marque como defeituoso e tire do uso",IF(N32="Falta fonte","Localize a fonte e guarde junto do aparelho",IF(N32="Testar","Teste no formato do sistema e anote a data",IF(N32="Testar de novo","Teste vencido: repita antes do próximo evento","Manter")))))</f>
        <v/>
      </c>
      <c r="P32" s="5"/>
    </row>
    <row r="33" customFormat="false" ht="21.75" hidden="false" customHeight="true" outlineLevel="0" collapsed="false">
      <c r="B33" s="21" t="n">
        <v>21</v>
      </c>
      <c r="C33" s="5"/>
      <c r="D33" s="12"/>
      <c r="E33" s="12"/>
      <c r="F33" s="12"/>
      <c r="G33" s="12"/>
      <c r="H33" s="12"/>
      <c r="I33" s="12"/>
      <c r="J33" s="27"/>
      <c r="K33" s="12"/>
      <c r="L33" s="5"/>
      <c r="M33" s="28" t="str">
        <f aca="false">IF(OR(J33="",$D$6=""),"",$D$6-J33)</f>
        <v/>
      </c>
      <c r="N33" s="23" t="str">
        <f aca="false">IF(C33="","",IF(OR(K33="Com defeito",K33="Intermitente"),"Retirar",IF(AND(H33="Sim",I33&lt;&gt;"Sim"),"Falta fonte",IF(OR(J33="",K33=""),"Testar",IF(AND(M33&lt;&gt;"",$D$7&lt;&gt;"",M33&gt;$D$7),"Testar de novo","OK")))))</f>
        <v/>
      </c>
      <c r="O33" s="24" t="str">
        <f aca="false">IF(N33="","",IF(N33="Retirar","Marque como defeituoso e tire do uso",IF(N33="Falta fonte","Localize a fonte e guarde junto do aparelho",IF(N33="Testar","Teste no formato do sistema e anote a data",IF(N33="Testar de novo","Teste vencido: repita antes do próximo evento","Manter")))))</f>
        <v/>
      </c>
      <c r="P33" s="5"/>
    </row>
    <row r="34" customFormat="false" ht="21.75" hidden="false" customHeight="true" outlineLevel="0" collapsed="false">
      <c r="B34" s="21" t="n">
        <v>22</v>
      </c>
      <c r="C34" s="5"/>
      <c r="D34" s="12"/>
      <c r="E34" s="12"/>
      <c r="F34" s="12"/>
      <c r="G34" s="12"/>
      <c r="H34" s="12"/>
      <c r="I34" s="12"/>
      <c r="J34" s="27"/>
      <c r="K34" s="12"/>
      <c r="L34" s="5"/>
      <c r="M34" s="28" t="str">
        <f aca="false">IF(OR(J34="",$D$6=""),"",$D$6-J34)</f>
        <v/>
      </c>
      <c r="N34" s="23" t="str">
        <f aca="false">IF(C34="","",IF(OR(K34="Com defeito",K34="Intermitente"),"Retirar",IF(AND(H34="Sim",I34&lt;&gt;"Sim"),"Falta fonte",IF(OR(J34="",K34=""),"Testar",IF(AND(M34&lt;&gt;"",$D$7&lt;&gt;"",M34&gt;$D$7),"Testar de novo","OK")))))</f>
        <v/>
      </c>
      <c r="O34" s="24" t="str">
        <f aca="false">IF(N34="","",IF(N34="Retirar","Marque como defeituoso e tire do uso",IF(N34="Falta fonte","Localize a fonte e guarde junto do aparelho",IF(N34="Testar","Teste no formato do sistema e anote a data",IF(N34="Testar de novo","Teste vencido: repita antes do próximo evento","Manter")))))</f>
        <v/>
      </c>
      <c r="P34" s="5"/>
    </row>
    <row r="35" customFormat="false" ht="21.75" hidden="false" customHeight="true" outlineLevel="0" collapsed="false">
      <c r="B35" s="21" t="n">
        <v>23</v>
      </c>
      <c r="C35" s="5"/>
      <c r="D35" s="12"/>
      <c r="E35" s="12"/>
      <c r="F35" s="12"/>
      <c r="G35" s="12"/>
      <c r="H35" s="12"/>
      <c r="I35" s="12"/>
      <c r="J35" s="27"/>
      <c r="K35" s="12"/>
      <c r="L35" s="5"/>
      <c r="M35" s="28" t="str">
        <f aca="false">IF(OR(J35="",$D$6=""),"",$D$6-J35)</f>
        <v/>
      </c>
      <c r="N35" s="23" t="str">
        <f aca="false">IF(C35="","",IF(OR(K35="Com defeito",K35="Intermitente"),"Retirar",IF(AND(H35="Sim",I35&lt;&gt;"Sim"),"Falta fonte",IF(OR(J35="",K35=""),"Testar",IF(AND(M35&lt;&gt;"",$D$7&lt;&gt;"",M35&gt;$D$7),"Testar de novo","OK")))))</f>
        <v/>
      </c>
      <c r="O35" s="24" t="str">
        <f aca="false">IF(N35="","",IF(N35="Retirar","Marque como defeituoso e tire do uso",IF(N35="Falta fonte","Localize a fonte e guarde junto do aparelho",IF(N35="Testar","Teste no formato do sistema e anote a data",IF(N35="Testar de novo","Teste vencido: repita antes do próximo evento","Manter")))))</f>
        <v/>
      </c>
      <c r="P35" s="5"/>
    </row>
    <row r="36" customFormat="false" ht="21.75" hidden="false" customHeight="true" outlineLevel="0" collapsed="false">
      <c r="B36" s="21" t="n">
        <v>24</v>
      </c>
      <c r="C36" s="5"/>
      <c r="D36" s="12"/>
      <c r="E36" s="12"/>
      <c r="F36" s="12"/>
      <c r="G36" s="12"/>
      <c r="H36" s="12"/>
      <c r="I36" s="12"/>
      <c r="J36" s="27"/>
      <c r="K36" s="12"/>
      <c r="L36" s="5"/>
      <c r="M36" s="28" t="str">
        <f aca="false">IF(OR(J36="",$D$6=""),"",$D$6-J36)</f>
        <v/>
      </c>
      <c r="N36" s="23" t="str">
        <f aca="false">IF(C36="","",IF(OR(K36="Com defeito",K36="Intermitente"),"Retirar",IF(AND(H36="Sim",I36&lt;&gt;"Sim"),"Falta fonte",IF(OR(J36="",K36=""),"Testar",IF(AND(M36&lt;&gt;"",$D$7&lt;&gt;"",M36&gt;$D$7),"Testar de novo","OK")))))</f>
        <v/>
      </c>
      <c r="O36" s="24" t="str">
        <f aca="false">IF(N36="","",IF(N36="Retirar","Marque como defeituoso e tire do uso",IF(N36="Falta fonte","Localize a fonte e guarde junto do aparelho",IF(N36="Testar","Teste no formato do sistema e anote a data",IF(N36="Testar de novo","Teste vencido: repita antes do próximo evento","Manter")))))</f>
        <v/>
      </c>
      <c r="P36" s="5"/>
    </row>
    <row r="37" customFormat="false" ht="21.75" hidden="false" customHeight="true" outlineLevel="0" collapsed="false">
      <c r="B37" s="21" t="n">
        <v>25</v>
      </c>
      <c r="C37" s="5"/>
      <c r="D37" s="12"/>
      <c r="E37" s="12"/>
      <c r="F37" s="12"/>
      <c r="G37" s="12"/>
      <c r="H37" s="12"/>
      <c r="I37" s="12"/>
      <c r="J37" s="27"/>
      <c r="K37" s="12"/>
      <c r="L37" s="5"/>
      <c r="M37" s="28" t="str">
        <f aca="false">IF(OR(J37="",$D$6=""),"",$D$6-J37)</f>
        <v/>
      </c>
      <c r="N37" s="23" t="str">
        <f aca="false">IF(C37="","",IF(OR(K37="Com defeito",K37="Intermitente"),"Retirar",IF(AND(H37="Sim",I37&lt;&gt;"Sim"),"Falta fonte",IF(OR(J37="",K37=""),"Testar",IF(AND(M37&lt;&gt;"",$D$7&lt;&gt;"",M37&gt;$D$7),"Testar de novo","OK")))))</f>
        <v/>
      </c>
      <c r="O37" s="24" t="str">
        <f aca="false">IF(N37="","",IF(N37="Retirar","Marque como defeituoso e tire do uso",IF(N37="Falta fonte","Localize a fonte e guarde junto do aparelho",IF(N37="Testar","Teste no formato do sistema e anote a data",IF(N37="Testar de novo","Teste vencido: repita antes do próximo evento","Manter")))))</f>
        <v/>
      </c>
      <c r="P37" s="5"/>
    </row>
    <row r="38" customFormat="false" ht="21.75" hidden="false" customHeight="true" outlineLevel="0" collapsed="false">
      <c r="B38" s="21" t="n">
        <v>26</v>
      </c>
      <c r="C38" s="5"/>
      <c r="D38" s="12"/>
      <c r="E38" s="12"/>
      <c r="F38" s="12"/>
      <c r="G38" s="12"/>
      <c r="H38" s="12"/>
      <c r="I38" s="12"/>
      <c r="J38" s="27"/>
      <c r="K38" s="12"/>
      <c r="L38" s="5"/>
      <c r="M38" s="28" t="str">
        <f aca="false">IF(OR(J38="",$D$6=""),"",$D$6-J38)</f>
        <v/>
      </c>
      <c r="N38" s="23" t="str">
        <f aca="false">IF(C38="","",IF(OR(K38="Com defeito",K38="Intermitente"),"Retirar",IF(AND(H38="Sim",I38&lt;&gt;"Sim"),"Falta fonte",IF(OR(J38="",K38=""),"Testar",IF(AND(M38&lt;&gt;"",$D$7&lt;&gt;"",M38&gt;$D$7),"Testar de novo","OK")))))</f>
        <v/>
      </c>
      <c r="O38" s="24" t="str">
        <f aca="false">IF(N38="","",IF(N38="Retirar","Marque como defeituoso e tire do uso",IF(N38="Falta fonte","Localize a fonte e guarde junto do aparelho",IF(N38="Testar","Teste no formato do sistema e anote a data",IF(N38="Testar de novo","Teste vencido: repita antes do próximo evento","Manter")))))</f>
        <v/>
      </c>
      <c r="P38" s="5"/>
    </row>
    <row r="39" customFormat="false" ht="21.75" hidden="false" customHeight="true" outlineLevel="0" collapsed="false">
      <c r="B39" s="21" t="n">
        <v>27</v>
      </c>
      <c r="C39" s="5"/>
      <c r="D39" s="12"/>
      <c r="E39" s="12"/>
      <c r="F39" s="12"/>
      <c r="G39" s="12"/>
      <c r="H39" s="12"/>
      <c r="I39" s="12"/>
      <c r="J39" s="27"/>
      <c r="K39" s="12"/>
      <c r="L39" s="5"/>
      <c r="M39" s="28" t="str">
        <f aca="false">IF(OR(J39="",$D$6=""),"",$D$6-J39)</f>
        <v/>
      </c>
      <c r="N39" s="23" t="str">
        <f aca="false">IF(C39="","",IF(OR(K39="Com defeito",K39="Intermitente"),"Retirar",IF(AND(H39="Sim",I39&lt;&gt;"Sim"),"Falta fonte",IF(OR(J39="",K39=""),"Testar",IF(AND(M39&lt;&gt;"",$D$7&lt;&gt;"",M39&gt;$D$7),"Testar de novo","OK")))))</f>
        <v/>
      </c>
      <c r="O39" s="24" t="str">
        <f aca="false">IF(N39="","",IF(N39="Retirar","Marque como defeituoso e tire do uso",IF(N39="Falta fonte","Localize a fonte e guarde junto do aparelho",IF(N39="Testar","Teste no formato do sistema e anote a data",IF(N39="Testar de novo","Teste vencido: repita antes do próximo evento","Manter")))))</f>
        <v/>
      </c>
      <c r="P39" s="5"/>
    </row>
    <row r="40" customFormat="false" ht="21.75" hidden="false" customHeight="true" outlineLevel="0" collapsed="false">
      <c r="B40" s="21" t="n">
        <v>28</v>
      </c>
      <c r="C40" s="5"/>
      <c r="D40" s="12"/>
      <c r="E40" s="12"/>
      <c r="F40" s="12"/>
      <c r="G40" s="12"/>
      <c r="H40" s="12"/>
      <c r="I40" s="12"/>
      <c r="J40" s="27"/>
      <c r="K40" s="12"/>
      <c r="L40" s="5"/>
      <c r="M40" s="28" t="str">
        <f aca="false">IF(OR(J40="",$D$6=""),"",$D$6-J40)</f>
        <v/>
      </c>
      <c r="N40" s="23" t="str">
        <f aca="false">IF(C40="","",IF(OR(K40="Com defeito",K40="Intermitente"),"Retirar",IF(AND(H40="Sim",I40&lt;&gt;"Sim"),"Falta fonte",IF(OR(J40="",K40=""),"Testar",IF(AND(M40&lt;&gt;"",$D$7&lt;&gt;"",M40&gt;$D$7),"Testar de novo","OK")))))</f>
        <v/>
      </c>
      <c r="O40" s="24" t="str">
        <f aca="false">IF(N40="","",IF(N40="Retirar","Marque como defeituoso e tire do uso",IF(N40="Falta fonte","Localize a fonte e guarde junto do aparelho",IF(N40="Testar","Teste no formato do sistema e anote a data",IF(N40="Testar de novo","Teste vencido: repita antes do próximo evento","Manter")))))</f>
        <v/>
      </c>
      <c r="P40" s="5"/>
    </row>
    <row r="41" customFormat="false" ht="21.75" hidden="false" customHeight="true" outlineLevel="0" collapsed="false">
      <c r="B41" s="21" t="n">
        <v>29</v>
      </c>
      <c r="C41" s="5"/>
      <c r="D41" s="12"/>
      <c r="E41" s="12"/>
      <c r="F41" s="12"/>
      <c r="G41" s="12"/>
      <c r="H41" s="12"/>
      <c r="I41" s="12"/>
      <c r="J41" s="27"/>
      <c r="K41" s="12"/>
      <c r="L41" s="5"/>
      <c r="M41" s="28" t="str">
        <f aca="false">IF(OR(J41="",$D$6=""),"",$D$6-J41)</f>
        <v/>
      </c>
      <c r="N41" s="23" t="str">
        <f aca="false">IF(C41="","",IF(OR(K41="Com defeito",K41="Intermitente"),"Retirar",IF(AND(H41="Sim",I41&lt;&gt;"Sim"),"Falta fonte",IF(OR(J41="",K41=""),"Testar",IF(AND(M41&lt;&gt;"",$D$7&lt;&gt;"",M41&gt;$D$7),"Testar de novo","OK")))))</f>
        <v/>
      </c>
      <c r="O41" s="24" t="str">
        <f aca="false">IF(N41="","",IF(N41="Retirar","Marque como defeituoso e tire do uso",IF(N41="Falta fonte","Localize a fonte e guarde junto do aparelho",IF(N41="Testar","Teste no formato do sistema e anote a data",IF(N41="Testar de novo","Teste vencido: repita antes do próximo evento","Manter")))))</f>
        <v/>
      </c>
      <c r="P41" s="5"/>
    </row>
    <row r="42" customFormat="false" ht="21.75" hidden="false" customHeight="true" outlineLevel="0" collapsed="false">
      <c r="B42" s="21" t="n">
        <v>30</v>
      </c>
      <c r="C42" s="5"/>
      <c r="D42" s="12"/>
      <c r="E42" s="12"/>
      <c r="F42" s="12"/>
      <c r="G42" s="12"/>
      <c r="H42" s="12"/>
      <c r="I42" s="12"/>
      <c r="J42" s="27"/>
      <c r="K42" s="12"/>
      <c r="L42" s="5"/>
      <c r="M42" s="28" t="str">
        <f aca="false">IF(OR(J42="",$D$6=""),"",$D$6-J42)</f>
        <v/>
      </c>
      <c r="N42" s="23" t="str">
        <f aca="false">IF(C42="","",IF(OR(K42="Com defeito",K42="Intermitente"),"Retirar",IF(AND(H42="Sim",I42&lt;&gt;"Sim"),"Falta fonte",IF(OR(J42="",K42=""),"Testar",IF(AND(M42&lt;&gt;"",$D$7&lt;&gt;"",M42&gt;$D$7),"Testar de novo","OK")))))</f>
        <v/>
      </c>
      <c r="O42" s="24" t="str">
        <f aca="false">IF(N42="","",IF(N42="Retirar","Marque como defeituoso e tire do uso",IF(N42="Falta fonte","Localize a fonte e guarde junto do aparelho",IF(N42="Testar","Teste no formato do sistema e anote a data",IF(N42="Testar de novo","Teste vencido: repita antes do próximo evento","Manter")))))</f>
        <v/>
      </c>
      <c r="P42" s="5"/>
    </row>
    <row r="44" customFormat="false" ht="21.75" hidden="false" customHeight="true" outlineLevel="0" collapsed="false">
      <c r="B44" s="16" t="s">
        <v>117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</row>
    <row r="45" customFormat="false" ht="19.5" hidden="false" customHeight="true" outlineLevel="0" collapsed="false">
      <c r="B45" s="25" t="s">
        <v>156</v>
      </c>
      <c r="C45" s="25"/>
      <c r="D45" s="25"/>
      <c r="E45" s="25"/>
      <c r="F45" s="8" t="n">
        <f aca="false">COUNTA(C13:C42)</f>
        <v>0</v>
      </c>
    </row>
    <row r="46" customFormat="false" ht="19.5" hidden="false" customHeight="true" outlineLevel="0" collapsed="false">
      <c r="B46" s="25" t="s">
        <v>157</v>
      </c>
      <c r="C46" s="25"/>
      <c r="D46" s="25"/>
      <c r="E46" s="25"/>
      <c r="F46" s="8" t="n">
        <f aca="false">COUNTIF(N13:N42,"OK")</f>
        <v>0</v>
      </c>
    </row>
    <row r="47" customFormat="false" ht="19.5" hidden="false" customHeight="true" outlineLevel="0" collapsed="false">
      <c r="B47" s="25" t="s">
        <v>158</v>
      </c>
      <c r="C47" s="25"/>
      <c r="D47" s="25"/>
      <c r="E47" s="25"/>
      <c r="F47" s="8" t="n">
        <f aca="false">COUNTIF(N13:N42,"Testar")+COUNTIF(N13:N42,"Testar de novo")</f>
        <v>0</v>
      </c>
    </row>
    <row r="48" customFormat="false" ht="19.5" hidden="false" customHeight="true" outlineLevel="0" collapsed="false">
      <c r="B48" s="25" t="s">
        <v>159</v>
      </c>
      <c r="C48" s="25"/>
      <c r="D48" s="25"/>
      <c r="E48" s="25"/>
      <c r="F48" s="8" t="n">
        <f aca="false">COUNTIF(N13:N42,"Falta fonte")</f>
        <v>0</v>
      </c>
    </row>
    <row r="49" customFormat="false" ht="19.5" hidden="false" customHeight="true" outlineLevel="0" collapsed="false">
      <c r="B49" s="25" t="s">
        <v>160</v>
      </c>
      <c r="C49" s="25"/>
      <c r="D49" s="25"/>
      <c r="E49" s="25"/>
      <c r="F49" s="8" t="n">
        <f aca="false">COUNTIF(N13:N42,"Retirar")</f>
        <v>0</v>
      </c>
    </row>
    <row r="50" customFormat="false" ht="21.75" hidden="false" customHeight="true" outlineLevel="0" collapsed="false">
      <c r="B50" s="25" t="s">
        <v>125</v>
      </c>
      <c r="C50" s="25"/>
      <c r="D50" s="25"/>
      <c r="E50" s="25"/>
      <c r="F50" s="26" t="str">
        <f aca="false">IF(F45=0,"Liste os itens",IF(F49&gt;0,"Há item com defeito: retire antes do evento",IF(F48&gt;0,"Há aparelho sem a fonte",IF(F47&gt;0,"Há item sem teste em dia","OK"))))</f>
        <v>Liste os itens</v>
      </c>
      <c r="G50" s="26"/>
      <c r="H50" s="26"/>
      <c r="I50" s="26"/>
      <c r="J50" s="26"/>
      <c r="K50" s="26"/>
      <c r="L50" s="26"/>
      <c r="M50" s="26"/>
      <c r="N50" s="26"/>
    </row>
  </sheetData>
  <mergeCells count="23">
    <mergeCell ref="B1:P1"/>
    <mergeCell ref="B2:P2"/>
    <mergeCell ref="B4:C4"/>
    <mergeCell ref="D4:F4"/>
    <mergeCell ref="H4:P4"/>
    <mergeCell ref="B5:C5"/>
    <mergeCell ref="D5:F5"/>
    <mergeCell ref="H5:P5"/>
    <mergeCell ref="B6:C6"/>
    <mergeCell ref="D6:F6"/>
    <mergeCell ref="H6:P6"/>
    <mergeCell ref="B7:C7"/>
    <mergeCell ref="D7:F7"/>
    <mergeCell ref="H7:P7"/>
    <mergeCell ref="B9:P9"/>
    <mergeCell ref="B44:P44"/>
    <mergeCell ref="B45:E45"/>
    <mergeCell ref="B46:E46"/>
    <mergeCell ref="B47:E47"/>
    <mergeCell ref="B48:E48"/>
    <mergeCell ref="B49:E49"/>
    <mergeCell ref="B50:E50"/>
    <mergeCell ref="F50:N50"/>
  </mergeCells>
  <conditionalFormatting sqref="N13:N42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"Testar"</formula>
    </cfRule>
    <cfRule type="cellIs" priority="4" operator="equal" aboveAverage="0" equalAverage="0" bottom="0" percent="0" rank="0" text="" dxfId="1">
      <formula>"Testar de novo"</formula>
    </cfRule>
    <cfRule type="cellIs" priority="5" operator="equal" aboveAverage="0" equalAverage="0" bottom="0" percent="0" rank="0" text="" dxfId="1">
      <formula>"Falta fonte"</formula>
    </cfRule>
    <cfRule type="cellIs" priority="6" operator="equal" aboveAverage="0" equalAverage="0" bottom="0" percent="0" rank="0" text="" dxfId="2">
      <formula>"Retirar"</formula>
    </cfRule>
  </conditionalFormatting>
  <conditionalFormatting sqref="F50:N50">
    <cfRule type="cellIs" priority="7" operator="equal" aboveAverage="0" equalAverage="0" bottom="0" percent="0" rank="0" text="" dxfId="0">
      <formula>"OK"</formula>
    </cfRule>
    <cfRule type="cellIs" priority="8" operator="notEqual" aboveAverage="0" equalAverage="0" bottom="0" percent="0" rank="0" text="" dxfId="1">
      <formula>"OK"</formula>
    </cfRule>
  </conditionalFormatting>
  <dataValidations count="8">
    <dataValidation allowBlank="true" error="Digite uma data no formato dia/mês/ano." errorStyle="stop" errorTitle="Data inválida" operator="greaterThanOrEqual" showDropDown="false" showErrorMessage="true" showInputMessage="false" sqref="D6 J13:J42" type="date">
      <formula1>36526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D7" type="decimal">
      <formula1>-1000000000</formula1>
      <formula2>1000000000</formula2>
    </dataValidation>
    <dataValidation allowBlank="true" error="Escolha uma das opções da lista." errorStyle="stop" errorTitle="Valor inválido" operator="between" prompt="O tipo do item." promptTitle="Opções" showDropDown="false" showErrorMessage="true" showInputMessage="true" sqref="D13:D42" type="list">
      <formula1>"Cabo HDMI,Cabo HDMI óptico,Cabo SDI,Cabo de rede,Cabo USB,Fibra,Conversor,Scaler,Distribuidor,Extensor,Placa de captura,Adaptador"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E13:E42" type="decimal">
      <formula1>-1000000000</formula1>
      <formula2>1000000000</formula2>
    </dataValidation>
    <dataValidation allowBlank="true" error="Escolha uma das opções da lista." errorStyle="stop" errorTitle="Valor inválido" operator="between" prompt="HD, 3G, 6G, 12G ou Não sei." promptTitle="Opções" showDropDown="false" showErrorMessage="true" showInputMessage="true" sqref="F13:F42" type="list">
      <formula1>"HD,3G,6G,12G,Não sei"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G13:G42" type="decimal">
      <formula1>-1000000000</formula1>
      <formula2>1000000000</formula2>
    </dataValidation>
    <dataValidation allowBlank="true" error="Escolha uma das opções da lista." errorStyle="stop" errorTitle="Valor inválido" operator="between" prompt="Sim ou Não." promptTitle="Opções" showDropDown="false" showErrorMessage="true" showInputMessage="true" sqref="H13:I42" type="list">
      <formula1>"Sim,Não"</formula1>
      <formula2>0</formula2>
    </dataValidation>
    <dataValidation allowBlank="true" error="Escolha uma das opções da lista." errorStyle="stop" errorTitle="Valor inválido" operator="between" prompt="Resultado do último teste." promptTitle="Opções" showDropDown="false" showErrorMessage="true" showInputMessage="true" sqref="K13:K42" type="list">
      <formula1>"OK,Intermitente,Com defeito"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B73"/>
    <pageSetUpPr fitToPage="true"/>
  </sheetPr>
  <dimension ref="B1:G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2"/>
    <col collapsed="false" customWidth="true" hidden="false" outlineLevel="0" max="4" min="4" style="0" width="44"/>
    <col collapsed="false" customWidth="true" hidden="false" outlineLevel="0" max="5" min="5" style="0" width="12"/>
    <col collapsed="false" customWidth="true" hidden="false" outlineLevel="0" max="6" min="6" style="0" width="62"/>
    <col collapsed="false" customWidth="true" hidden="false" outlineLevel="0" max="7" min="7" style="0" width="30"/>
    <col collapsed="false" customWidth="true" hidden="false" outlineLevel="0" max="8" min="8" style="0" width="2"/>
  </cols>
  <sheetData>
    <row r="1" customFormat="false" ht="31.5" hidden="false" customHeight="true" outlineLevel="0" collapsed="false">
      <c r="B1" s="1" t="s">
        <v>161</v>
      </c>
      <c r="C1" s="1"/>
      <c r="D1" s="1"/>
      <c r="E1" s="1"/>
      <c r="F1" s="1"/>
      <c r="G1" s="1"/>
    </row>
    <row r="2" customFormat="false" ht="19.5" hidden="false" customHeight="true" outlineLevel="0" collapsed="false">
      <c r="B2" s="2" t="s">
        <v>162</v>
      </c>
      <c r="C2" s="2"/>
      <c r="D2" s="2"/>
      <c r="E2" s="2"/>
      <c r="F2" s="2"/>
      <c r="G2" s="2"/>
    </row>
    <row r="4" customFormat="false" ht="21.75" hidden="false" customHeight="true" outlineLevel="0" collapsed="false">
      <c r="B4" s="4" t="s">
        <v>163</v>
      </c>
      <c r="C4" s="4"/>
      <c r="D4" s="5"/>
      <c r="E4" s="5"/>
      <c r="F4" s="11" t="s">
        <v>164</v>
      </c>
      <c r="G4" s="11"/>
    </row>
    <row r="5" customFormat="false" ht="21.75" hidden="false" customHeight="true" outlineLevel="0" collapsed="false">
      <c r="B5" s="4" t="s">
        <v>69</v>
      </c>
      <c r="C5" s="4"/>
      <c r="D5" s="13"/>
      <c r="E5" s="13"/>
      <c r="F5" s="11" t="s">
        <v>165</v>
      </c>
      <c r="G5" s="11"/>
    </row>
    <row r="6" customFormat="false" ht="21.75" hidden="false" customHeight="true" outlineLevel="0" collapsed="false">
      <c r="B6" s="4" t="s">
        <v>166</v>
      </c>
      <c r="C6" s="4"/>
      <c r="D6" s="5"/>
      <c r="E6" s="5"/>
      <c r="F6" s="11" t="s">
        <v>167</v>
      </c>
      <c r="G6" s="11"/>
    </row>
    <row r="7" customFormat="false" ht="21.75" hidden="false" customHeight="true" outlineLevel="0" collapsed="false">
      <c r="B7" s="4" t="s">
        <v>168</v>
      </c>
      <c r="C7" s="4"/>
      <c r="D7" s="5"/>
      <c r="E7" s="5"/>
      <c r="F7" s="11" t="s">
        <v>169</v>
      </c>
      <c r="G7" s="11"/>
    </row>
    <row r="8" customFormat="false" ht="21.75" hidden="false" customHeight="true" outlineLevel="0" collapsed="false">
      <c r="B8" s="4" t="s">
        <v>170</v>
      </c>
      <c r="C8" s="4"/>
      <c r="D8" s="5"/>
      <c r="E8" s="5"/>
      <c r="F8" s="11" t="s">
        <v>171</v>
      </c>
      <c r="G8" s="11"/>
    </row>
    <row r="10" customFormat="false" ht="21.75" hidden="false" customHeight="true" outlineLevel="0" collapsed="false">
      <c r="B10" s="16" t="s">
        <v>172</v>
      </c>
      <c r="C10" s="16"/>
      <c r="D10" s="16"/>
      <c r="E10" s="16"/>
      <c r="F10" s="16"/>
      <c r="G10" s="16"/>
    </row>
    <row r="11" customFormat="false" ht="21.75" hidden="false" customHeight="true" outlineLevel="0" collapsed="false">
      <c r="B11" s="17" t="s">
        <v>88</v>
      </c>
      <c r="C11" s="17" t="s">
        <v>173</v>
      </c>
      <c r="D11" s="17"/>
      <c r="E11" s="10" t="s">
        <v>174</v>
      </c>
      <c r="F11" s="19" t="s">
        <v>175</v>
      </c>
      <c r="G11" s="17" t="s">
        <v>100</v>
      </c>
    </row>
    <row r="12" customFormat="false" ht="31.5" hidden="false" customHeight="true" outlineLevel="0" collapsed="false">
      <c r="B12" s="21" t="n">
        <v>1</v>
      </c>
      <c r="C12" s="6" t="s">
        <v>176</v>
      </c>
      <c r="D12" s="6"/>
      <c r="E12" s="12"/>
      <c r="F12" s="6" t="s">
        <v>177</v>
      </c>
      <c r="G12" s="5"/>
    </row>
    <row r="13" customFormat="false" ht="31.5" hidden="false" customHeight="true" outlineLevel="0" collapsed="false">
      <c r="B13" s="21" t="n">
        <v>2</v>
      </c>
      <c r="C13" s="6" t="s">
        <v>178</v>
      </c>
      <c r="D13" s="6"/>
      <c r="E13" s="12"/>
      <c r="F13" s="6" t="s">
        <v>179</v>
      </c>
      <c r="G13" s="5"/>
    </row>
    <row r="14" customFormat="false" ht="31.5" hidden="false" customHeight="true" outlineLevel="0" collapsed="false">
      <c r="B14" s="21" t="n">
        <v>3</v>
      </c>
      <c r="C14" s="6" t="s">
        <v>180</v>
      </c>
      <c r="D14" s="6"/>
      <c r="E14" s="12"/>
      <c r="F14" s="6" t="s">
        <v>181</v>
      </c>
      <c r="G14" s="5"/>
    </row>
    <row r="15" customFormat="false" ht="31.5" hidden="false" customHeight="true" outlineLevel="0" collapsed="false">
      <c r="B15" s="21" t="n">
        <v>4</v>
      </c>
      <c r="C15" s="6" t="s">
        <v>182</v>
      </c>
      <c r="D15" s="6"/>
      <c r="E15" s="12"/>
      <c r="F15" s="6" t="s">
        <v>183</v>
      </c>
      <c r="G15" s="5"/>
    </row>
    <row r="16" customFormat="false" ht="31.5" hidden="false" customHeight="true" outlineLevel="0" collapsed="false">
      <c r="B16" s="21" t="n">
        <v>5</v>
      </c>
      <c r="C16" s="6" t="s">
        <v>184</v>
      </c>
      <c r="D16" s="6"/>
      <c r="E16" s="12"/>
      <c r="F16" s="6" t="s">
        <v>185</v>
      </c>
      <c r="G16" s="5"/>
    </row>
    <row r="17" customFormat="false" ht="31.5" hidden="false" customHeight="true" outlineLevel="0" collapsed="false">
      <c r="B17" s="21" t="n">
        <v>6</v>
      </c>
      <c r="C17" s="6" t="s">
        <v>186</v>
      </c>
      <c r="D17" s="6"/>
      <c r="E17" s="12"/>
      <c r="F17" s="6" t="s">
        <v>187</v>
      </c>
      <c r="G17" s="5"/>
    </row>
    <row r="18" customFormat="false" ht="31.5" hidden="false" customHeight="true" outlineLevel="0" collapsed="false">
      <c r="B18" s="21" t="n">
        <v>7</v>
      </c>
      <c r="C18" s="6" t="s">
        <v>188</v>
      </c>
      <c r="D18" s="6"/>
      <c r="E18" s="12"/>
      <c r="F18" s="6" t="s">
        <v>189</v>
      </c>
      <c r="G18" s="5"/>
    </row>
    <row r="19" customFormat="false" ht="31.5" hidden="false" customHeight="true" outlineLevel="0" collapsed="false">
      <c r="B19" s="21" t="n">
        <v>8</v>
      </c>
      <c r="C19" s="6" t="s">
        <v>190</v>
      </c>
      <c r="D19" s="6"/>
      <c r="E19" s="12"/>
      <c r="F19" s="6" t="s">
        <v>191</v>
      </c>
      <c r="G19" s="5"/>
    </row>
    <row r="20" customFormat="false" ht="31.5" hidden="false" customHeight="true" outlineLevel="0" collapsed="false">
      <c r="B20" s="21" t="n">
        <v>9</v>
      </c>
      <c r="C20" s="6" t="s">
        <v>192</v>
      </c>
      <c r="D20" s="6"/>
      <c r="E20" s="12"/>
      <c r="F20" s="6" t="s">
        <v>193</v>
      </c>
      <c r="G20" s="5"/>
    </row>
    <row r="21" customFormat="false" ht="31.5" hidden="false" customHeight="true" outlineLevel="0" collapsed="false">
      <c r="B21" s="21" t="n">
        <v>10</v>
      </c>
      <c r="C21" s="6" t="s">
        <v>194</v>
      </c>
      <c r="D21" s="6"/>
      <c r="E21" s="12"/>
      <c r="F21" s="6" t="s">
        <v>195</v>
      </c>
      <c r="G21" s="5"/>
    </row>
    <row r="23" customFormat="false" ht="21.75" hidden="false" customHeight="true" outlineLevel="0" collapsed="false">
      <c r="B23" s="16" t="s">
        <v>144</v>
      </c>
      <c r="C23" s="16"/>
      <c r="D23" s="16"/>
      <c r="E23" s="16"/>
      <c r="F23" s="16"/>
      <c r="G23" s="16"/>
    </row>
    <row r="24" customFormat="false" ht="19.5" hidden="false" customHeight="true" outlineLevel="0" collapsed="false">
      <c r="B24" s="25" t="s">
        <v>196</v>
      </c>
      <c r="C24" s="25"/>
      <c r="D24" s="25"/>
      <c r="E24" s="8" t="n">
        <f aca="false">COUNTA(E12:E21)</f>
        <v>0</v>
      </c>
    </row>
    <row r="25" customFormat="false" ht="19.5" hidden="false" customHeight="true" outlineLevel="0" collapsed="false">
      <c r="B25" s="25" t="s">
        <v>197</v>
      </c>
      <c r="C25" s="25"/>
      <c r="D25" s="25"/>
      <c r="E25" s="8" t="str">
        <f aca="false">IF(COUNTIF(E12:E21,"Não")=0,"",MATCH("Não",E12:E21,0))</f>
        <v/>
      </c>
    </row>
    <row r="26" customFormat="false" ht="21.75" hidden="false" customHeight="true" outlineLevel="0" collapsed="false">
      <c r="B26" s="25" t="s">
        <v>198</v>
      </c>
      <c r="C26" s="25"/>
      <c r="D26" s="25"/>
      <c r="E26" s="26" t="str">
        <f aca="false">IF(E25&lt;&gt;"",INDEX(F12:F21,E25),IF(COUNTA(E12:E21)=0,"Responda às perguntas na ordem",IF(COUNTA(E12:E21)&lt;10,"Continue respondendo na ordem","Tudo conferido. Religue na ordem destino, meio, origem. Se continuar, troque um aparelho por vez")))</f>
        <v>Responda às perguntas na ordem</v>
      </c>
      <c r="F26" s="26"/>
      <c r="G26" s="26"/>
    </row>
    <row r="27" customFormat="false" ht="21.75" hidden="false" customHeight="true" outlineLevel="0" collapsed="false">
      <c r="B27" s="25" t="s">
        <v>98</v>
      </c>
      <c r="C27" s="25"/>
      <c r="D27" s="25"/>
      <c r="E27" s="29" t="str">
        <f aca="false">IF(COUNTA(E12:E21)=0,"",IF(E25&lt;&gt;"","Corrigir o item "&amp;E25,IF(COUNTA(E12:E21)&lt;10,"Em andamento","OK")))</f>
        <v/>
      </c>
      <c r="F27" s="29"/>
      <c r="G27" s="29"/>
    </row>
    <row r="29" customFormat="false" ht="21.75" hidden="false" customHeight="true" outlineLevel="0" collapsed="false">
      <c r="B29" s="16" t="s">
        <v>199</v>
      </c>
      <c r="C29" s="16"/>
      <c r="D29" s="16"/>
      <c r="E29" s="16"/>
      <c r="F29" s="16"/>
      <c r="G29" s="16"/>
    </row>
    <row r="30" customFormat="false" ht="21.75" hidden="false" customHeight="true" outlineLevel="0" collapsed="false">
      <c r="B30" s="17" t="s">
        <v>88</v>
      </c>
      <c r="C30" s="17" t="s">
        <v>69</v>
      </c>
      <c r="D30" s="17" t="s">
        <v>200</v>
      </c>
      <c r="E30" s="17"/>
      <c r="F30" s="17" t="s">
        <v>201</v>
      </c>
      <c r="G30" s="17" t="s">
        <v>202</v>
      </c>
    </row>
    <row r="31" customFormat="false" ht="21.75" hidden="false" customHeight="true" outlineLevel="0" collapsed="false">
      <c r="B31" s="21" t="n">
        <v>1</v>
      </c>
      <c r="C31" s="27"/>
      <c r="D31" s="5"/>
      <c r="E31" s="5"/>
      <c r="F31" s="5"/>
      <c r="G31" s="5"/>
    </row>
    <row r="32" customFormat="false" ht="21.75" hidden="false" customHeight="true" outlineLevel="0" collapsed="false">
      <c r="B32" s="21" t="n">
        <v>2</v>
      </c>
      <c r="C32" s="27"/>
      <c r="D32" s="5"/>
      <c r="E32" s="5"/>
      <c r="F32" s="5"/>
      <c r="G32" s="5"/>
    </row>
    <row r="33" customFormat="false" ht="21.75" hidden="false" customHeight="true" outlineLevel="0" collapsed="false">
      <c r="B33" s="21" t="n">
        <v>3</v>
      </c>
      <c r="C33" s="27"/>
      <c r="D33" s="5"/>
      <c r="E33" s="5"/>
      <c r="F33" s="5"/>
      <c r="G33" s="5"/>
    </row>
    <row r="34" customFormat="false" ht="21.75" hidden="false" customHeight="true" outlineLevel="0" collapsed="false">
      <c r="B34" s="21" t="n">
        <v>4</v>
      </c>
      <c r="C34" s="27"/>
      <c r="D34" s="5"/>
      <c r="E34" s="5"/>
      <c r="F34" s="5"/>
      <c r="G34" s="5"/>
    </row>
    <row r="35" customFormat="false" ht="21.75" hidden="false" customHeight="true" outlineLevel="0" collapsed="false">
      <c r="B35" s="21" t="n">
        <v>5</v>
      </c>
      <c r="C35" s="27"/>
      <c r="D35" s="5"/>
      <c r="E35" s="5"/>
      <c r="F35" s="5"/>
      <c r="G35" s="5"/>
    </row>
    <row r="36" customFormat="false" ht="21.75" hidden="false" customHeight="true" outlineLevel="0" collapsed="false">
      <c r="B36" s="21" t="n">
        <v>6</v>
      </c>
      <c r="C36" s="27"/>
      <c r="D36" s="5"/>
      <c r="E36" s="5"/>
      <c r="F36" s="5"/>
      <c r="G36" s="5"/>
    </row>
    <row r="37" customFormat="false" ht="21.75" hidden="false" customHeight="true" outlineLevel="0" collapsed="false">
      <c r="B37" s="21" t="n">
        <v>7</v>
      </c>
      <c r="C37" s="27"/>
      <c r="D37" s="5"/>
      <c r="E37" s="5"/>
      <c r="F37" s="5"/>
      <c r="G37" s="5"/>
    </row>
    <row r="38" customFormat="false" ht="21.75" hidden="false" customHeight="true" outlineLevel="0" collapsed="false">
      <c r="B38" s="21" t="n">
        <v>8</v>
      </c>
      <c r="C38" s="27"/>
      <c r="D38" s="5"/>
      <c r="E38" s="5"/>
      <c r="F38" s="5"/>
      <c r="G38" s="5"/>
    </row>
  </sheetData>
  <mergeCells count="46">
    <mergeCell ref="B1:G1"/>
    <mergeCell ref="B2:G2"/>
    <mergeCell ref="B4:C4"/>
    <mergeCell ref="D4:E4"/>
    <mergeCell ref="F4:G4"/>
    <mergeCell ref="B5:C5"/>
    <mergeCell ref="D5:E5"/>
    <mergeCell ref="F5:G5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10:G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B23:G23"/>
    <mergeCell ref="B24:D24"/>
    <mergeCell ref="B25:D25"/>
    <mergeCell ref="B26:D26"/>
    <mergeCell ref="E26:G26"/>
    <mergeCell ref="B27:D27"/>
    <mergeCell ref="E27:G27"/>
    <mergeCell ref="B29:G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</mergeCells>
  <conditionalFormatting sqref="E12:E21">
    <cfRule type="cellIs" priority="2" operator="equal" aboveAverage="0" equalAverage="0" bottom="0" percent="0" rank="0" text="" dxfId="0">
      <formula>"Sim"</formula>
    </cfRule>
    <cfRule type="cellIs" priority="3" operator="equal" aboveAverage="0" equalAverage="0" bottom="0" percent="0" rank="0" text="" dxfId="2">
      <formula>"Não"</formula>
    </cfRule>
  </conditionalFormatting>
  <conditionalFormatting sqref="E27:G27">
    <cfRule type="cellIs" priority="4" operator="equal" aboveAverage="0" equalAverage="0" bottom="0" percent="0" rank="0" text="" dxfId="0">
      <formula>"OK"</formula>
    </cfRule>
    <cfRule type="expression" priority="5" aboveAverage="0" equalAverage="0" bottom="0" percent="0" rank="0" text="" dxfId="1">
      <formula>AND(LEN($E$27)&gt;0,$E$27&lt;&gt;"OK")</formula>
    </cfRule>
  </conditionalFormatting>
  <dataValidations count="3">
    <dataValidation allowBlank="true" error="Digite uma data no formato dia/mês/ano." errorStyle="stop" errorTitle="Data inválida" operator="greaterThanOrEqual" showDropDown="false" showErrorMessage="true" showInputMessage="false" sqref="D5 C31:C38" type="date">
      <formula1>36526</formula1>
      <formula2>0</formula2>
    </dataValidation>
    <dataValidation allowBlank="true" error="Escolha uma das opções da lista." errorStyle="stop" errorTitle="Valor inválido" operator="between" prompt="O que se vê no destino." promptTitle="Opções" showDropDown="false" showErrorMessage="true" showInputMessage="true" sqref="D7" type="list">
      <formula1>"Sem sinal,Imagem pisca,Chuvisco ou pontos,Cor errada,Movimento aos trancos,Imagem cortada ou esticada,Sem som,Outro"</formula1>
      <formula2>0</formula2>
    </dataValidation>
    <dataValidation allowBlank="true" error="Escolha uma das opções da lista." errorStyle="stop" errorTitle="Valor inválido" operator="between" prompt="Sim ou Não." promptTitle="Opções" showDropDown="false" showErrorMessage="true" showInputMessage="true" sqref="E12:E21" type="list">
      <formula1>"Sim,Não"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I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8" min="8" style="0" width="20"/>
    <col collapsed="false" customWidth="true" hidden="false" outlineLevel="0" max="9" min="9" style="0" width="40"/>
    <col collapsed="false" customWidth="true" hidden="false" outlineLevel="0" max="10" min="10" style="0" width="2"/>
  </cols>
  <sheetData>
    <row r="1" customFormat="false" ht="31.5" hidden="false" customHeight="true" outlineLevel="0" collapsed="false">
      <c r="B1" s="1" t="s">
        <v>203</v>
      </c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B2" s="2" t="s">
        <v>204</v>
      </c>
      <c r="C2" s="2"/>
      <c r="D2" s="2"/>
      <c r="E2" s="2"/>
      <c r="F2" s="2"/>
      <c r="G2" s="2"/>
      <c r="H2" s="2"/>
      <c r="I2" s="2"/>
    </row>
    <row r="4" customFormat="false" ht="21.75" hidden="false" customHeight="true" outlineLevel="0" collapsed="false">
      <c r="B4" s="16" t="s">
        <v>205</v>
      </c>
      <c r="C4" s="16"/>
      <c r="D4" s="16"/>
      <c r="E4" s="16"/>
      <c r="F4" s="16"/>
      <c r="G4" s="16"/>
      <c r="H4" s="16"/>
      <c r="I4" s="16"/>
    </row>
    <row r="5" customFormat="false" ht="30" hidden="false" customHeight="true" outlineLevel="0" collapsed="false">
      <c r="B5" s="8" t="s">
        <v>96</v>
      </c>
      <c r="C5" s="8" t="s">
        <v>206</v>
      </c>
      <c r="D5" s="8" t="s">
        <v>207</v>
      </c>
      <c r="E5" s="8" t="s">
        <v>208</v>
      </c>
      <c r="F5" s="8" t="s">
        <v>94</v>
      </c>
      <c r="G5" s="8" t="s">
        <v>209</v>
      </c>
      <c r="H5" s="8" t="s">
        <v>210</v>
      </c>
      <c r="I5" s="8" t="s">
        <v>211</v>
      </c>
    </row>
    <row r="6" customFormat="false" ht="15" hidden="false" customHeight="false" outlineLevel="0" collapsed="false">
      <c r="B6" s="30" t="s">
        <v>212</v>
      </c>
      <c r="C6" s="31" t="s">
        <v>213</v>
      </c>
      <c r="D6" s="31" t="s">
        <v>214</v>
      </c>
      <c r="E6" s="31" t="s">
        <v>215</v>
      </c>
      <c r="F6" s="31" t="s">
        <v>61</v>
      </c>
      <c r="G6" s="31" t="n">
        <v>1</v>
      </c>
      <c r="H6" s="31" t="s">
        <v>216</v>
      </c>
      <c r="I6" s="31" t="s">
        <v>217</v>
      </c>
    </row>
    <row r="7" customFormat="false" ht="15" hidden="false" customHeight="false" outlineLevel="0" collapsed="false">
      <c r="B7" s="30" t="s">
        <v>218</v>
      </c>
      <c r="C7" s="31" t="s">
        <v>213</v>
      </c>
      <c r="D7" s="31" t="s">
        <v>214</v>
      </c>
      <c r="E7" s="31" t="s">
        <v>219</v>
      </c>
      <c r="F7" s="31" t="s">
        <v>61</v>
      </c>
      <c r="G7" s="31" t="n">
        <v>1</v>
      </c>
      <c r="H7" s="31" t="s">
        <v>216</v>
      </c>
      <c r="I7" s="31" t="s">
        <v>217</v>
      </c>
    </row>
    <row r="8" customFormat="false" ht="15" hidden="false" customHeight="false" outlineLevel="0" collapsed="false">
      <c r="B8" s="30" t="s">
        <v>220</v>
      </c>
      <c r="C8" s="31" t="s">
        <v>213</v>
      </c>
      <c r="D8" s="31" t="s">
        <v>214</v>
      </c>
      <c r="E8" s="31" t="s">
        <v>221</v>
      </c>
      <c r="F8" s="31" t="s">
        <v>61</v>
      </c>
      <c r="G8" s="31" t="n">
        <v>1</v>
      </c>
      <c r="H8" s="31" t="s">
        <v>216</v>
      </c>
      <c r="I8" s="31" t="s">
        <v>217</v>
      </c>
    </row>
    <row r="9" customFormat="false" ht="15" hidden="false" customHeight="false" outlineLevel="0" collapsed="false">
      <c r="B9" s="30" t="s">
        <v>222</v>
      </c>
      <c r="C9" s="31" t="s">
        <v>223</v>
      </c>
      <c r="D9" s="31" t="s">
        <v>224</v>
      </c>
      <c r="E9" s="31" t="s">
        <v>225</v>
      </c>
      <c r="F9" s="31" t="s">
        <v>61</v>
      </c>
      <c r="G9" s="31" t="n">
        <v>1</v>
      </c>
      <c r="H9" s="31" t="s">
        <v>216</v>
      </c>
      <c r="I9" s="31" t="s">
        <v>217</v>
      </c>
    </row>
    <row r="10" customFormat="false" ht="15" hidden="false" customHeight="false" outlineLevel="0" collapsed="false">
      <c r="B10" s="30" t="s">
        <v>226</v>
      </c>
      <c r="C10" s="31" t="s">
        <v>223</v>
      </c>
      <c r="D10" s="31" t="s">
        <v>224</v>
      </c>
      <c r="E10" s="31" t="s">
        <v>227</v>
      </c>
      <c r="F10" s="31" t="s">
        <v>61</v>
      </c>
      <c r="G10" s="31" t="n">
        <v>1</v>
      </c>
      <c r="H10" s="31" t="s">
        <v>216</v>
      </c>
      <c r="I10" s="31" t="s">
        <v>217</v>
      </c>
    </row>
    <row r="11" customFormat="false" ht="15" hidden="false" customHeight="false" outlineLevel="0" collapsed="false">
      <c r="B11" s="30" t="s">
        <v>228</v>
      </c>
      <c r="C11" s="31" t="s">
        <v>223</v>
      </c>
      <c r="D11" s="31" t="s">
        <v>224</v>
      </c>
      <c r="E11" s="31" t="s">
        <v>229</v>
      </c>
      <c r="F11" s="31" t="s">
        <v>61</v>
      </c>
      <c r="G11" s="31" t="n">
        <v>1</v>
      </c>
      <c r="H11" s="31" t="s">
        <v>216</v>
      </c>
      <c r="I11" s="31" t="s">
        <v>217</v>
      </c>
    </row>
    <row r="12" customFormat="false" ht="15" hidden="false" customHeight="false" outlineLevel="0" collapsed="false">
      <c r="B12" s="30" t="s">
        <v>230</v>
      </c>
      <c r="C12" s="31" t="s">
        <v>223</v>
      </c>
      <c r="D12" s="31" t="s">
        <v>214</v>
      </c>
      <c r="E12" s="31" t="s">
        <v>231</v>
      </c>
      <c r="F12" s="31" t="s">
        <v>61</v>
      </c>
      <c r="G12" s="31" t="n">
        <v>1</v>
      </c>
      <c r="H12" s="31" t="s">
        <v>216</v>
      </c>
      <c r="I12" s="31" t="s">
        <v>217</v>
      </c>
    </row>
    <row r="13" customFormat="false" ht="15" hidden="false" customHeight="false" outlineLevel="0" collapsed="false">
      <c r="B13" s="30" t="s">
        <v>232</v>
      </c>
      <c r="C13" s="31" t="s">
        <v>223</v>
      </c>
      <c r="D13" s="31" t="s">
        <v>214</v>
      </c>
      <c r="E13" s="31" t="s">
        <v>233</v>
      </c>
      <c r="F13" s="31" t="s">
        <v>61</v>
      </c>
      <c r="G13" s="31" t="n">
        <v>1</v>
      </c>
      <c r="H13" s="31" t="s">
        <v>216</v>
      </c>
      <c r="I13" s="31" t="s">
        <v>217</v>
      </c>
    </row>
    <row r="14" customFormat="false" ht="15" hidden="false" customHeight="false" outlineLevel="0" collapsed="false">
      <c r="B14" s="30" t="s">
        <v>234</v>
      </c>
      <c r="C14" s="31" t="s">
        <v>223</v>
      </c>
      <c r="D14" s="31" t="s">
        <v>214</v>
      </c>
      <c r="E14" s="31" t="s">
        <v>235</v>
      </c>
      <c r="F14" s="31" t="s">
        <v>61</v>
      </c>
      <c r="G14" s="31" t="n">
        <v>1</v>
      </c>
      <c r="H14" s="31" t="s">
        <v>216</v>
      </c>
      <c r="I14" s="31" t="s">
        <v>217</v>
      </c>
    </row>
    <row r="15" customFormat="false" ht="15" hidden="false" customHeight="false" outlineLevel="0" collapsed="false">
      <c r="B15" s="30" t="s">
        <v>236</v>
      </c>
      <c r="C15" s="31" t="s">
        <v>223</v>
      </c>
      <c r="D15" s="31" t="s">
        <v>214</v>
      </c>
      <c r="E15" s="31" t="s">
        <v>237</v>
      </c>
      <c r="F15" s="31" t="s">
        <v>61</v>
      </c>
      <c r="G15" s="31" t="n">
        <v>1</v>
      </c>
      <c r="H15" s="31" t="s">
        <v>216</v>
      </c>
      <c r="I15" s="31" t="s">
        <v>217</v>
      </c>
    </row>
    <row r="16" customFormat="false" ht="15" hidden="false" customHeight="false" outlineLevel="0" collapsed="false">
      <c r="B16" s="30" t="s">
        <v>238</v>
      </c>
      <c r="C16" s="31" t="s">
        <v>223</v>
      </c>
      <c r="D16" s="31" t="s">
        <v>214</v>
      </c>
      <c r="E16" s="31" t="s">
        <v>239</v>
      </c>
      <c r="F16" s="31" t="s">
        <v>61</v>
      </c>
      <c r="G16" s="31" t="n">
        <v>1</v>
      </c>
      <c r="H16" s="31" t="s">
        <v>216</v>
      </c>
      <c r="I16" s="31" t="s">
        <v>217</v>
      </c>
    </row>
    <row r="17" customFormat="false" ht="15" hidden="false" customHeight="false" outlineLevel="0" collapsed="false">
      <c r="B17" s="30" t="s">
        <v>240</v>
      </c>
      <c r="C17" s="31" t="s">
        <v>223</v>
      </c>
      <c r="D17" s="31" t="s">
        <v>214</v>
      </c>
      <c r="E17" s="31" t="s">
        <v>215</v>
      </c>
      <c r="F17" s="31" t="s">
        <v>62</v>
      </c>
      <c r="G17" s="31" t="n">
        <v>2</v>
      </c>
      <c r="H17" s="31" t="s">
        <v>241</v>
      </c>
      <c r="I17" s="31" t="s">
        <v>217</v>
      </c>
    </row>
    <row r="18" customFormat="false" ht="15" hidden="false" customHeight="false" outlineLevel="0" collapsed="false">
      <c r="B18" s="30" t="s">
        <v>75</v>
      </c>
      <c r="C18" s="31" t="s">
        <v>223</v>
      </c>
      <c r="D18" s="31" t="s">
        <v>214</v>
      </c>
      <c r="E18" s="31" t="s">
        <v>219</v>
      </c>
      <c r="F18" s="31" t="s">
        <v>62</v>
      </c>
      <c r="G18" s="31" t="n">
        <v>2</v>
      </c>
      <c r="H18" s="31" t="s">
        <v>241</v>
      </c>
      <c r="I18" s="31" t="s">
        <v>217</v>
      </c>
    </row>
    <row r="19" customFormat="false" ht="15" hidden="false" customHeight="false" outlineLevel="0" collapsed="false">
      <c r="B19" s="30" t="s">
        <v>242</v>
      </c>
      <c r="C19" s="31" t="s">
        <v>223</v>
      </c>
      <c r="D19" s="31" t="s">
        <v>214</v>
      </c>
      <c r="E19" s="31" t="s">
        <v>221</v>
      </c>
      <c r="F19" s="31" t="s">
        <v>62</v>
      </c>
      <c r="G19" s="31" t="n">
        <v>2</v>
      </c>
      <c r="H19" s="31" t="s">
        <v>241</v>
      </c>
      <c r="I19" s="31" t="s">
        <v>217</v>
      </c>
    </row>
    <row r="20" customFormat="false" ht="15" hidden="false" customHeight="false" outlineLevel="0" collapsed="false">
      <c r="B20" s="30" t="s">
        <v>243</v>
      </c>
      <c r="C20" s="31" t="s">
        <v>244</v>
      </c>
      <c r="D20" s="31" t="s">
        <v>214</v>
      </c>
      <c r="E20" s="31" t="s">
        <v>235</v>
      </c>
      <c r="F20" s="31" t="s">
        <v>63</v>
      </c>
      <c r="G20" s="31" t="n">
        <v>3</v>
      </c>
      <c r="H20" s="31" t="s">
        <v>245</v>
      </c>
      <c r="I20" s="31" t="s">
        <v>217</v>
      </c>
    </row>
    <row r="21" customFormat="false" ht="15" hidden="false" customHeight="false" outlineLevel="0" collapsed="false">
      <c r="B21" s="30" t="s">
        <v>246</v>
      </c>
      <c r="C21" s="31" t="s">
        <v>244</v>
      </c>
      <c r="D21" s="31" t="s">
        <v>214</v>
      </c>
      <c r="E21" s="31" t="s">
        <v>237</v>
      </c>
      <c r="F21" s="31" t="s">
        <v>63</v>
      </c>
      <c r="G21" s="31" t="n">
        <v>3</v>
      </c>
      <c r="H21" s="31" t="s">
        <v>245</v>
      </c>
      <c r="I21" s="31" t="s">
        <v>217</v>
      </c>
    </row>
    <row r="22" customFormat="false" ht="15" hidden="false" customHeight="false" outlineLevel="0" collapsed="false">
      <c r="B22" s="30" t="s">
        <v>247</v>
      </c>
      <c r="C22" s="31" t="s">
        <v>244</v>
      </c>
      <c r="D22" s="31" t="s">
        <v>214</v>
      </c>
      <c r="E22" s="31" t="s">
        <v>239</v>
      </c>
      <c r="F22" s="31" t="s">
        <v>63</v>
      </c>
      <c r="G22" s="31" t="n">
        <v>3</v>
      </c>
      <c r="H22" s="31" t="s">
        <v>245</v>
      </c>
      <c r="I22" s="31" t="s">
        <v>217</v>
      </c>
    </row>
    <row r="23" customFormat="false" ht="15" hidden="false" customHeight="false" outlineLevel="0" collapsed="false">
      <c r="B23" s="30" t="s">
        <v>248</v>
      </c>
      <c r="C23" s="31" t="s">
        <v>244</v>
      </c>
      <c r="D23" s="31" t="s">
        <v>214</v>
      </c>
      <c r="E23" s="31" t="s">
        <v>215</v>
      </c>
      <c r="F23" s="31" t="s">
        <v>64</v>
      </c>
      <c r="G23" s="31" t="n">
        <v>4</v>
      </c>
      <c r="H23" s="31" t="s">
        <v>249</v>
      </c>
      <c r="I23" s="31" t="s">
        <v>250</v>
      </c>
    </row>
    <row r="24" customFormat="false" ht="15" hidden="false" customHeight="false" outlineLevel="0" collapsed="false">
      <c r="B24" s="30" t="s">
        <v>251</v>
      </c>
      <c r="C24" s="31" t="s">
        <v>244</v>
      </c>
      <c r="D24" s="31" t="s">
        <v>214</v>
      </c>
      <c r="E24" s="31" t="s">
        <v>219</v>
      </c>
      <c r="F24" s="31" t="s">
        <v>64</v>
      </c>
      <c r="G24" s="31" t="n">
        <v>4</v>
      </c>
      <c r="H24" s="31" t="s">
        <v>249</v>
      </c>
      <c r="I24" s="31" t="s">
        <v>250</v>
      </c>
    </row>
    <row r="25" customFormat="false" ht="15" hidden="false" customHeight="false" outlineLevel="0" collapsed="false">
      <c r="B25" s="30" t="s">
        <v>252</v>
      </c>
      <c r="C25" s="31" t="s">
        <v>244</v>
      </c>
      <c r="D25" s="31" t="s">
        <v>214</v>
      </c>
      <c r="E25" s="31" t="s">
        <v>221</v>
      </c>
      <c r="F25" s="31" t="s">
        <v>64</v>
      </c>
      <c r="G25" s="31" t="n">
        <v>4</v>
      </c>
      <c r="H25" s="31" t="s">
        <v>249</v>
      </c>
      <c r="I25" s="31" t="s">
        <v>250</v>
      </c>
    </row>
    <row r="26" customFormat="false" ht="15" hidden="false" customHeight="false" outlineLevel="0" collapsed="false">
      <c r="B26" s="30" t="s">
        <v>253</v>
      </c>
      <c r="C26" s="31" t="s">
        <v>254</v>
      </c>
      <c r="D26" s="31" t="s">
        <v>255</v>
      </c>
      <c r="E26" s="31" t="s">
        <v>255</v>
      </c>
      <c r="F26" s="31" t="s">
        <v>62</v>
      </c>
      <c r="G26" s="31" t="n">
        <v>2</v>
      </c>
      <c r="H26" s="31" t="s">
        <v>256</v>
      </c>
      <c r="I26" s="31" t="s">
        <v>256</v>
      </c>
    </row>
    <row r="27" customFormat="false" ht="15" hidden="false" customHeight="true" outlineLevel="0" collapsed="false">
      <c r="B27" s="11" t="s">
        <v>257</v>
      </c>
      <c r="C27" s="11"/>
      <c r="D27" s="11"/>
      <c r="E27" s="11"/>
      <c r="F27" s="11"/>
      <c r="G27" s="11"/>
      <c r="H27" s="11"/>
      <c r="I27" s="11"/>
    </row>
    <row r="29" customFormat="false" ht="21.75" hidden="false" customHeight="true" outlineLevel="0" collapsed="false">
      <c r="B29" s="16" t="s">
        <v>258</v>
      </c>
      <c r="C29" s="16"/>
      <c r="D29" s="16"/>
      <c r="E29" s="16"/>
      <c r="F29" s="16"/>
      <c r="G29" s="16"/>
      <c r="H29" s="16"/>
      <c r="I29" s="16"/>
    </row>
    <row r="30" customFormat="false" ht="21.75" hidden="false" customHeight="true" outlineLevel="0" collapsed="false">
      <c r="B30" s="8" t="s">
        <v>91</v>
      </c>
      <c r="C30" s="8" t="s">
        <v>259</v>
      </c>
      <c r="D30" s="8"/>
      <c r="E30" s="8" t="s">
        <v>260</v>
      </c>
      <c r="F30" s="8"/>
      <c r="G30" s="8"/>
      <c r="H30" s="8" t="s">
        <v>261</v>
      </c>
      <c r="I30" s="8"/>
    </row>
    <row r="31" customFormat="false" ht="43.5" hidden="false" customHeight="true" outlineLevel="0" collapsed="false">
      <c r="B31" s="32" t="s">
        <v>67</v>
      </c>
      <c r="C31" s="7" t="s">
        <v>262</v>
      </c>
      <c r="D31" s="7"/>
      <c r="E31" s="7" t="s">
        <v>263</v>
      </c>
      <c r="F31" s="7"/>
      <c r="G31" s="7"/>
      <c r="H31" s="7" t="s">
        <v>264</v>
      </c>
      <c r="I31" s="7"/>
    </row>
    <row r="32" customFormat="false" ht="43.5" hidden="false" customHeight="true" outlineLevel="0" collapsed="false">
      <c r="B32" s="32" t="s">
        <v>70</v>
      </c>
      <c r="C32" s="7" t="s">
        <v>265</v>
      </c>
      <c r="D32" s="7"/>
      <c r="E32" s="7" t="s">
        <v>266</v>
      </c>
      <c r="F32" s="7"/>
      <c r="G32" s="7"/>
      <c r="H32" s="7" t="s">
        <v>267</v>
      </c>
      <c r="I32" s="7"/>
    </row>
    <row r="33" customFormat="false" ht="43.5" hidden="false" customHeight="true" outlineLevel="0" collapsed="false">
      <c r="B33" s="32" t="s">
        <v>73</v>
      </c>
      <c r="C33" s="7" t="s">
        <v>268</v>
      </c>
      <c r="D33" s="7"/>
      <c r="E33" s="7" t="s">
        <v>269</v>
      </c>
      <c r="F33" s="7"/>
      <c r="G33" s="7"/>
      <c r="H33" s="7" t="s">
        <v>270</v>
      </c>
      <c r="I33" s="7"/>
    </row>
    <row r="34" customFormat="false" ht="43.5" hidden="false" customHeight="true" outlineLevel="0" collapsed="false">
      <c r="B34" s="32" t="s">
        <v>76</v>
      </c>
      <c r="C34" s="7" t="s">
        <v>271</v>
      </c>
      <c r="D34" s="7"/>
      <c r="E34" s="7" t="s">
        <v>272</v>
      </c>
      <c r="F34" s="7"/>
      <c r="G34" s="7"/>
      <c r="H34" s="7" t="s">
        <v>273</v>
      </c>
      <c r="I34" s="7"/>
    </row>
    <row r="35" customFormat="false" ht="43.5" hidden="false" customHeight="true" outlineLevel="0" collapsed="false">
      <c r="B35" s="32" t="s">
        <v>79</v>
      </c>
      <c r="C35" s="7" t="s">
        <v>274</v>
      </c>
      <c r="D35" s="7"/>
      <c r="E35" s="7" t="s">
        <v>275</v>
      </c>
      <c r="F35" s="7"/>
      <c r="G35" s="7"/>
      <c r="H35" s="7" t="s">
        <v>276</v>
      </c>
      <c r="I35" s="7"/>
    </row>
    <row r="36" customFormat="false" ht="43.5" hidden="false" customHeight="true" outlineLevel="0" collapsed="false">
      <c r="B36" s="32" t="s">
        <v>82</v>
      </c>
      <c r="C36" s="7" t="s">
        <v>277</v>
      </c>
      <c r="D36" s="7"/>
      <c r="E36" s="7" t="s">
        <v>278</v>
      </c>
      <c r="F36" s="7"/>
      <c r="G36" s="7"/>
      <c r="H36" s="7" t="s">
        <v>279</v>
      </c>
      <c r="I36" s="7"/>
    </row>
    <row r="37" customFormat="false" ht="43.5" hidden="false" customHeight="true" outlineLevel="0" collapsed="false">
      <c r="B37" s="32" t="s">
        <v>85</v>
      </c>
      <c r="C37" s="7" t="s">
        <v>280</v>
      </c>
      <c r="D37" s="7"/>
      <c r="E37" s="7" t="s">
        <v>281</v>
      </c>
      <c r="F37" s="7"/>
      <c r="G37" s="7"/>
      <c r="H37" s="7" t="s">
        <v>282</v>
      </c>
      <c r="I37" s="7"/>
    </row>
    <row r="39" customFormat="false" ht="21.75" hidden="false" customHeight="true" outlineLevel="0" collapsed="false">
      <c r="B39" s="16" t="s">
        <v>283</v>
      </c>
      <c r="C39" s="16"/>
      <c r="D39" s="16"/>
      <c r="E39" s="16"/>
      <c r="F39" s="16"/>
      <c r="G39" s="16"/>
      <c r="H39" s="16"/>
      <c r="I39" s="16"/>
    </row>
    <row r="40" customFormat="false" ht="21.75" hidden="false" customHeight="true" outlineLevel="0" collapsed="false">
      <c r="B40" s="8" t="s">
        <v>284</v>
      </c>
      <c r="C40" s="8"/>
      <c r="D40" s="8" t="s">
        <v>285</v>
      </c>
      <c r="E40" s="8"/>
      <c r="F40" s="8"/>
      <c r="G40" s="8"/>
      <c r="H40" s="8" t="s">
        <v>286</v>
      </c>
      <c r="I40" s="8"/>
    </row>
    <row r="41" customFormat="false" ht="31.5" hidden="false" customHeight="true" outlineLevel="0" collapsed="false">
      <c r="B41" s="32" t="s">
        <v>287</v>
      </c>
      <c r="C41" s="32"/>
      <c r="D41" s="7" t="s">
        <v>288</v>
      </c>
      <c r="E41" s="7"/>
      <c r="F41" s="7"/>
      <c r="G41" s="7"/>
      <c r="H41" s="7" t="s">
        <v>289</v>
      </c>
      <c r="I41" s="7"/>
    </row>
    <row r="42" customFormat="false" ht="31.5" hidden="false" customHeight="true" outlineLevel="0" collapsed="false">
      <c r="B42" s="32" t="s">
        <v>290</v>
      </c>
      <c r="C42" s="32"/>
      <c r="D42" s="7" t="s">
        <v>291</v>
      </c>
      <c r="E42" s="7"/>
      <c r="F42" s="7"/>
      <c r="G42" s="7"/>
      <c r="H42" s="7" t="s">
        <v>292</v>
      </c>
      <c r="I42" s="7"/>
    </row>
    <row r="43" customFormat="false" ht="31.5" hidden="false" customHeight="true" outlineLevel="0" collapsed="false">
      <c r="B43" s="32" t="s">
        <v>293</v>
      </c>
      <c r="C43" s="32"/>
      <c r="D43" s="7" t="s">
        <v>294</v>
      </c>
      <c r="E43" s="7"/>
      <c r="F43" s="7"/>
      <c r="G43" s="7"/>
      <c r="H43" s="7" t="s">
        <v>295</v>
      </c>
      <c r="I43" s="7"/>
    </row>
    <row r="44" customFormat="false" ht="31.5" hidden="false" customHeight="true" outlineLevel="0" collapsed="false">
      <c r="B44" s="32" t="s">
        <v>296</v>
      </c>
      <c r="C44" s="32"/>
      <c r="D44" s="7" t="s">
        <v>297</v>
      </c>
      <c r="E44" s="7"/>
      <c r="F44" s="7"/>
      <c r="G44" s="7"/>
      <c r="H44" s="7" t="s">
        <v>298</v>
      </c>
      <c r="I44" s="7"/>
    </row>
    <row r="46" customFormat="false" ht="21.75" hidden="false" customHeight="true" outlineLevel="0" collapsed="false">
      <c r="B46" s="16" t="s">
        <v>299</v>
      </c>
      <c r="C46" s="16"/>
      <c r="D46" s="16"/>
      <c r="E46" s="16"/>
      <c r="F46" s="16"/>
      <c r="G46" s="16"/>
      <c r="H46" s="16"/>
      <c r="I46" s="16"/>
    </row>
    <row r="47" customFormat="false" ht="21.75" hidden="false" customHeight="true" outlineLevel="0" collapsed="false">
      <c r="B47" s="8" t="s">
        <v>300</v>
      </c>
      <c r="C47" s="8"/>
      <c r="D47" s="8" t="s">
        <v>301</v>
      </c>
      <c r="E47" s="8"/>
      <c r="F47" s="8"/>
      <c r="G47" s="8"/>
      <c r="H47" s="8" t="s">
        <v>302</v>
      </c>
      <c r="I47" s="8"/>
    </row>
    <row r="48" customFormat="false" ht="31.5" hidden="false" customHeight="true" outlineLevel="0" collapsed="false">
      <c r="B48" s="32" t="s">
        <v>303</v>
      </c>
      <c r="C48" s="32"/>
      <c r="D48" s="7" t="s">
        <v>304</v>
      </c>
      <c r="E48" s="7"/>
      <c r="F48" s="7"/>
      <c r="G48" s="7"/>
      <c r="H48" s="7" t="s">
        <v>305</v>
      </c>
      <c r="I48" s="7"/>
    </row>
    <row r="49" customFormat="false" ht="31.5" hidden="false" customHeight="true" outlineLevel="0" collapsed="false">
      <c r="B49" s="32" t="s">
        <v>306</v>
      </c>
      <c r="C49" s="32"/>
      <c r="D49" s="7" t="s">
        <v>307</v>
      </c>
      <c r="E49" s="7"/>
      <c r="F49" s="7"/>
      <c r="G49" s="7"/>
      <c r="H49" s="7" t="s">
        <v>308</v>
      </c>
      <c r="I49" s="7"/>
    </row>
    <row r="50" customFormat="false" ht="31.5" hidden="false" customHeight="true" outlineLevel="0" collapsed="false">
      <c r="B50" s="32" t="s">
        <v>309</v>
      </c>
      <c r="C50" s="32"/>
      <c r="D50" s="7" t="s">
        <v>310</v>
      </c>
      <c r="E50" s="7"/>
      <c r="F50" s="7"/>
      <c r="G50" s="7"/>
      <c r="H50" s="7" t="s">
        <v>311</v>
      </c>
      <c r="I50" s="7"/>
    </row>
    <row r="51" customFormat="false" ht="31.5" hidden="false" customHeight="true" outlineLevel="0" collapsed="false">
      <c r="B51" s="32" t="s">
        <v>312</v>
      </c>
      <c r="C51" s="32"/>
      <c r="D51" s="7" t="s">
        <v>313</v>
      </c>
      <c r="E51" s="7"/>
      <c r="F51" s="7"/>
      <c r="G51" s="7"/>
      <c r="H51" s="7" t="s">
        <v>314</v>
      </c>
      <c r="I51" s="7"/>
    </row>
    <row r="52" customFormat="false" ht="31.5" hidden="false" customHeight="true" outlineLevel="0" collapsed="false">
      <c r="B52" s="32" t="s">
        <v>315</v>
      </c>
      <c r="C52" s="32"/>
      <c r="D52" s="7" t="s">
        <v>316</v>
      </c>
      <c r="E52" s="7"/>
      <c r="F52" s="7"/>
      <c r="G52" s="7"/>
      <c r="H52" s="7" t="s">
        <v>317</v>
      </c>
      <c r="I52" s="7"/>
    </row>
    <row r="53" customFormat="false" ht="31.5" hidden="false" customHeight="true" outlineLevel="0" collapsed="false">
      <c r="B53" s="32" t="s">
        <v>318</v>
      </c>
      <c r="C53" s="32"/>
      <c r="D53" s="7" t="s">
        <v>319</v>
      </c>
      <c r="E53" s="7"/>
      <c r="F53" s="7"/>
      <c r="G53" s="7"/>
      <c r="H53" s="7" t="s">
        <v>320</v>
      </c>
      <c r="I53" s="7"/>
    </row>
    <row r="54" customFormat="false" ht="31.5" hidden="false" customHeight="true" outlineLevel="0" collapsed="false">
      <c r="B54" s="32" t="s">
        <v>321</v>
      </c>
      <c r="C54" s="32"/>
      <c r="D54" s="7" t="s">
        <v>322</v>
      </c>
      <c r="E54" s="7"/>
      <c r="F54" s="7"/>
      <c r="G54" s="7"/>
      <c r="H54" s="7" t="s">
        <v>323</v>
      </c>
      <c r="I54" s="7"/>
    </row>
    <row r="55" customFormat="false" ht="31.5" hidden="false" customHeight="true" outlineLevel="0" collapsed="false">
      <c r="B55" s="32" t="s">
        <v>324</v>
      </c>
      <c r="C55" s="32"/>
      <c r="D55" s="7" t="s">
        <v>325</v>
      </c>
      <c r="E55" s="7"/>
      <c r="F55" s="7"/>
      <c r="G55" s="7"/>
      <c r="H55" s="7" t="s">
        <v>326</v>
      </c>
      <c r="I55" s="7"/>
    </row>
    <row r="56" customFormat="false" ht="15" hidden="false" customHeight="true" outlineLevel="0" collapsed="false">
      <c r="B56" s="11" t="s">
        <v>327</v>
      </c>
      <c r="C56" s="11"/>
      <c r="D56" s="11"/>
      <c r="E56" s="11"/>
      <c r="F56" s="11"/>
      <c r="G56" s="11"/>
      <c r="H56" s="11"/>
      <c r="I56" s="11"/>
    </row>
  </sheetData>
  <mergeCells count="74">
    <mergeCell ref="B1:I1"/>
    <mergeCell ref="B2:I2"/>
    <mergeCell ref="B4:I4"/>
    <mergeCell ref="B27:I27"/>
    <mergeCell ref="B29:I29"/>
    <mergeCell ref="C30:D30"/>
    <mergeCell ref="E30:G30"/>
    <mergeCell ref="H30:I30"/>
    <mergeCell ref="C31:D31"/>
    <mergeCell ref="E31:G31"/>
    <mergeCell ref="H31:I31"/>
    <mergeCell ref="C32:D32"/>
    <mergeCell ref="E32:G32"/>
    <mergeCell ref="H32:I32"/>
    <mergeCell ref="C33:D33"/>
    <mergeCell ref="E33:G33"/>
    <mergeCell ref="H33:I33"/>
    <mergeCell ref="C34:D34"/>
    <mergeCell ref="E34:G34"/>
    <mergeCell ref="H34:I34"/>
    <mergeCell ref="C35:D35"/>
    <mergeCell ref="E35:G35"/>
    <mergeCell ref="H35:I35"/>
    <mergeCell ref="C36:D36"/>
    <mergeCell ref="E36:G36"/>
    <mergeCell ref="H36:I36"/>
    <mergeCell ref="C37:D37"/>
    <mergeCell ref="E37:G37"/>
    <mergeCell ref="H37:I37"/>
    <mergeCell ref="B39:I39"/>
    <mergeCell ref="B40:C40"/>
    <mergeCell ref="D40:G40"/>
    <mergeCell ref="H40:I40"/>
    <mergeCell ref="B41:C41"/>
    <mergeCell ref="D41:G41"/>
    <mergeCell ref="H41:I41"/>
    <mergeCell ref="B42:C42"/>
    <mergeCell ref="D42:G42"/>
    <mergeCell ref="H42:I42"/>
    <mergeCell ref="B43:C43"/>
    <mergeCell ref="D43:G43"/>
    <mergeCell ref="H43:I43"/>
    <mergeCell ref="B44:C44"/>
    <mergeCell ref="D44:G44"/>
    <mergeCell ref="H44:I44"/>
    <mergeCell ref="B46:I46"/>
    <mergeCell ref="B47:C47"/>
    <mergeCell ref="D47:G47"/>
    <mergeCell ref="H47:I47"/>
    <mergeCell ref="B48:C48"/>
    <mergeCell ref="D48:G48"/>
    <mergeCell ref="H48:I48"/>
    <mergeCell ref="B49:C49"/>
    <mergeCell ref="D49:G49"/>
    <mergeCell ref="H49:I49"/>
    <mergeCell ref="B50:C50"/>
    <mergeCell ref="D50:G50"/>
    <mergeCell ref="H50:I50"/>
    <mergeCell ref="B51:C51"/>
    <mergeCell ref="D51:G51"/>
    <mergeCell ref="H51:I51"/>
    <mergeCell ref="B52:C52"/>
    <mergeCell ref="D52:G52"/>
    <mergeCell ref="H52:I52"/>
    <mergeCell ref="B53:C53"/>
    <mergeCell ref="D53:G53"/>
    <mergeCell ref="H53:I53"/>
    <mergeCell ref="B54:C54"/>
    <mergeCell ref="D54:G54"/>
    <mergeCell ref="H54:I54"/>
    <mergeCell ref="B55:C55"/>
    <mergeCell ref="D55:G55"/>
    <mergeCell ref="H55:I55"/>
    <mergeCell ref="B56:I56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A9A"/>
    <pageSetUpPr fitToPage="true"/>
  </sheetPr>
  <dimension ref="B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4" min="4" style="0" width="70"/>
    <col collapsed="false" customWidth="true" hidden="false" outlineLevel="0" max="5" min="5" style="0" width="14"/>
    <col collapsed="false" customWidth="true" hidden="false" outlineLevel="0" max="6" min="6" style="0" width="40"/>
    <col collapsed="false" customWidth="true" hidden="false" outlineLevel="0" max="7" min="7" style="0" width="2"/>
  </cols>
  <sheetData>
    <row r="1" customFormat="false" ht="31.5" hidden="false" customHeight="true" outlineLevel="0" collapsed="false">
      <c r="B1" s="1" t="s">
        <v>328</v>
      </c>
      <c r="C1" s="1"/>
      <c r="D1" s="1"/>
      <c r="E1" s="1"/>
      <c r="F1" s="1"/>
    </row>
    <row r="2" customFormat="false" ht="19.5" hidden="false" customHeight="true" outlineLevel="0" collapsed="false">
      <c r="B2" s="2" t="s">
        <v>329</v>
      </c>
      <c r="C2" s="2"/>
      <c r="D2" s="2"/>
      <c r="E2" s="2"/>
      <c r="F2" s="2"/>
    </row>
    <row r="4" customFormat="false" ht="21.75" hidden="false" customHeight="true" outlineLevel="0" collapsed="false">
      <c r="B4" s="17" t="s">
        <v>88</v>
      </c>
      <c r="C4" s="17" t="s">
        <v>330</v>
      </c>
      <c r="D4" s="17" t="s">
        <v>331</v>
      </c>
      <c r="E4" s="17" t="s">
        <v>98</v>
      </c>
      <c r="F4" s="17" t="s">
        <v>100</v>
      </c>
    </row>
    <row r="5" customFormat="false" ht="31.5" hidden="false" customHeight="true" outlineLevel="0" collapsed="false">
      <c r="B5" s="21" t="n">
        <v>1</v>
      </c>
      <c r="C5" s="6" t="s">
        <v>332</v>
      </c>
      <c r="D5" s="7" t="s">
        <v>333</v>
      </c>
      <c r="E5" s="12"/>
      <c r="F5" s="5"/>
    </row>
    <row r="6" customFormat="false" ht="31.5" hidden="false" customHeight="true" outlineLevel="0" collapsed="false">
      <c r="B6" s="21" t="n">
        <v>2</v>
      </c>
      <c r="C6" s="6" t="s">
        <v>332</v>
      </c>
      <c r="D6" s="7" t="s">
        <v>334</v>
      </c>
      <c r="E6" s="12"/>
      <c r="F6" s="5"/>
    </row>
    <row r="7" customFormat="false" ht="31.5" hidden="false" customHeight="true" outlineLevel="0" collapsed="false">
      <c r="B7" s="21" t="n">
        <v>3</v>
      </c>
      <c r="C7" s="6" t="s">
        <v>332</v>
      </c>
      <c r="D7" s="7" t="s">
        <v>335</v>
      </c>
      <c r="E7" s="12"/>
      <c r="F7" s="5"/>
    </row>
    <row r="8" customFormat="false" ht="31.5" hidden="false" customHeight="true" outlineLevel="0" collapsed="false">
      <c r="B8" s="21" t="n">
        <v>4</v>
      </c>
      <c r="C8" s="6" t="s">
        <v>336</v>
      </c>
      <c r="D8" s="7" t="s">
        <v>337</v>
      </c>
      <c r="E8" s="12"/>
      <c r="F8" s="5"/>
    </row>
    <row r="9" customFormat="false" ht="31.5" hidden="false" customHeight="true" outlineLevel="0" collapsed="false">
      <c r="B9" s="21" t="n">
        <v>5</v>
      </c>
      <c r="C9" s="6" t="s">
        <v>336</v>
      </c>
      <c r="D9" s="7" t="s">
        <v>338</v>
      </c>
      <c r="E9" s="12"/>
      <c r="F9" s="5"/>
    </row>
    <row r="10" customFormat="false" ht="31.5" hidden="false" customHeight="true" outlineLevel="0" collapsed="false">
      <c r="B10" s="21" t="n">
        <v>6</v>
      </c>
      <c r="C10" s="6" t="s">
        <v>336</v>
      </c>
      <c r="D10" s="7" t="s">
        <v>339</v>
      </c>
      <c r="E10" s="12"/>
      <c r="F10" s="5"/>
    </row>
    <row r="11" customFormat="false" ht="31.5" hidden="false" customHeight="true" outlineLevel="0" collapsed="false">
      <c r="B11" s="21" t="n">
        <v>7</v>
      </c>
      <c r="C11" s="6" t="s">
        <v>340</v>
      </c>
      <c r="D11" s="7" t="s">
        <v>341</v>
      </c>
      <c r="E11" s="12"/>
      <c r="F11" s="5"/>
    </row>
    <row r="12" customFormat="false" ht="31.5" hidden="false" customHeight="true" outlineLevel="0" collapsed="false">
      <c r="B12" s="21" t="n">
        <v>8</v>
      </c>
      <c r="C12" s="6" t="s">
        <v>340</v>
      </c>
      <c r="D12" s="7" t="s">
        <v>342</v>
      </c>
      <c r="E12" s="12"/>
      <c r="F12" s="5"/>
    </row>
    <row r="13" customFormat="false" ht="31.5" hidden="false" customHeight="true" outlineLevel="0" collapsed="false">
      <c r="B13" s="21" t="n">
        <v>9</v>
      </c>
      <c r="C13" s="6" t="s">
        <v>343</v>
      </c>
      <c r="D13" s="7" t="s">
        <v>344</v>
      </c>
      <c r="E13" s="12"/>
      <c r="F13" s="5"/>
    </row>
    <row r="14" customFormat="false" ht="31.5" hidden="false" customHeight="true" outlineLevel="0" collapsed="false">
      <c r="B14" s="21" t="n">
        <v>10</v>
      </c>
      <c r="C14" s="6" t="s">
        <v>343</v>
      </c>
      <c r="D14" s="7" t="s">
        <v>345</v>
      </c>
      <c r="E14" s="12"/>
      <c r="F14" s="5"/>
    </row>
    <row r="15" customFormat="false" ht="31.5" hidden="false" customHeight="true" outlineLevel="0" collapsed="false">
      <c r="B15" s="21" t="n">
        <v>11</v>
      </c>
      <c r="C15" s="6" t="s">
        <v>343</v>
      </c>
      <c r="D15" s="7" t="s">
        <v>346</v>
      </c>
      <c r="E15" s="12"/>
      <c r="F15" s="5"/>
    </row>
    <row r="16" customFormat="false" ht="31.5" hidden="false" customHeight="true" outlineLevel="0" collapsed="false">
      <c r="B16" s="21" t="n">
        <v>12</v>
      </c>
      <c r="C16" s="6" t="s">
        <v>343</v>
      </c>
      <c r="D16" s="7" t="s">
        <v>347</v>
      </c>
      <c r="E16" s="12"/>
      <c r="F16" s="5"/>
    </row>
    <row r="18" customFormat="false" ht="19.5" hidden="false" customHeight="true" outlineLevel="0" collapsed="false">
      <c r="B18" s="25" t="s">
        <v>196</v>
      </c>
      <c r="C18" s="25"/>
      <c r="D18" s="25"/>
      <c r="E18" s="8" t="n">
        <f aca="false">COUNTA(E5:E16)</f>
        <v>0</v>
      </c>
    </row>
    <row r="19" customFormat="false" ht="19.5" hidden="false" customHeight="true" outlineLevel="0" collapsed="false">
      <c r="B19" s="25" t="s">
        <v>348</v>
      </c>
      <c r="C19" s="25"/>
      <c r="D19" s="25"/>
      <c r="E19" s="33" t="str">
        <f aca="false">IF(COUNTA(E5:E16)=0,"",(COUNTIF(E5:E16,"Sim")+COUNTIF(E5:E16,"Parcial")/2)/COUNTA(E5:E16))</f>
        <v/>
      </c>
    </row>
    <row r="20" customFormat="false" ht="19.5" hidden="false" customHeight="true" outlineLevel="0" collapsed="false">
      <c r="B20" s="25" t="s">
        <v>98</v>
      </c>
      <c r="C20" s="25"/>
      <c r="D20" s="25"/>
      <c r="E20" s="23" t="str">
        <f aca="false">IF(COUNTA(E5:E16)&lt;12,"Incompleto",IF(COUNTIF(E5:E16,"Não")=0,"OK","Há itens a resolver"))</f>
        <v>Incompleto</v>
      </c>
    </row>
  </sheetData>
  <mergeCells count="5">
    <mergeCell ref="B1:F1"/>
    <mergeCell ref="B2:F2"/>
    <mergeCell ref="B18:D18"/>
    <mergeCell ref="B19:D19"/>
    <mergeCell ref="B20:D20"/>
  </mergeCells>
  <conditionalFormatting sqref="E5:E16">
    <cfRule type="cellIs" priority="2" operator="equal" aboveAverage="0" equalAverage="0" bottom="0" percent="0" rank="0" text="" dxfId="0">
      <formula>"Sim"</formula>
    </cfRule>
    <cfRule type="cellIs" priority="3" operator="equal" aboveAverage="0" equalAverage="0" bottom="0" percent="0" rank="0" text="" dxfId="1">
      <formula>"Parcial"</formula>
    </cfRule>
    <cfRule type="cellIs" priority="4" operator="equal" aboveAverage="0" equalAverage="0" bottom="0" percent="0" rank="0" text="" dxfId="2">
      <formula>"Não"</formula>
    </cfRule>
  </conditionalFormatting>
  <conditionalFormatting sqref="E20">
    <cfRule type="cellIs" priority="5" operator="equal" aboveAverage="0" equalAverage="0" bottom="0" percent="0" rank="0" text="" dxfId="0">
      <formula>"OK"</formula>
    </cfRule>
    <cfRule type="cellIs" priority="6" operator="notEqual" aboveAverage="0" equalAverage="0" bottom="0" percent="0" rank="0" text="" dxfId="1">
      <formula>"OK"</formula>
    </cfRule>
  </conditionalFormatting>
  <dataValidations count="1">
    <dataValidation allowBlank="true" error="Escolha uma das opções da lista." errorStyle="stop" errorTitle="Valor inválido" operator="between" prompt="Sim, Parcial ou Não." promptTitle="Opções" showDropDown="false" showErrorMessage="true" showInputMessage="true" sqref="E5:E16" type="list">
      <formula1>"Sim,Parcial,Não"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O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6" topLeftCell="D17" activePane="bottomRight" state="frozen"/>
      <selection pane="topLeft" activeCell="A1" activeCellId="0" sqref="A1"/>
      <selection pane="topRight" activeCell="D1" activeCellId="0" sqref="D1"/>
      <selection pane="bottomLeft" activeCell="A17" activeCellId="0" sqref="A1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1"/>
    <col collapsed="false" customWidth="true" hidden="false" outlineLevel="0" max="7" min="7" style="0" width="30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16"/>
    <col collapsed="false" customWidth="true" hidden="false" outlineLevel="0" max="14" min="14" style="0" width="54"/>
    <col collapsed="false" customWidth="true" hidden="false" outlineLevel="0" max="15" min="15" style="0" width="28"/>
    <col collapsed="false" customWidth="true" hidden="false" outlineLevel="0" max="16" min="16" style="0" width="2"/>
  </cols>
  <sheetData>
    <row r="1" customFormat="false" ht="31.5" hidden="false" customHeight="true" outlineLevel="0" collapsed="false">
      <c r="B1" s="1" t="s">
        <v>57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9.5" hidden="false" customHeight="true" outlineLevel="0" collapsed="false">
      <c r="B2" s="2" t="s">
        <v>349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21.75" hidden="false" customHeight="true" outlineLevel="0" collapsed="false">
      <c r="B4" s="4" t="s">
        <v>59</v>
      </c>
      <c r="C4" s="4"/>
      <c r="D4" s="34" t="s">
        <v>350</v>
      </c>
      <c r="E4" s="34"/>
      <c r="F4" s="34"/>
      <c r="G4" s="9" t="s">
        <v>60</v>
      </c>
      <c r="H4" s="10" t="s">
        <v>61</v>
      </c>
      <c r="I4" s="10" t="s">
        <v>62</v>
      </c>
      <c r="J4" s="10" t="s">
        <v>63</v>
      </c>
      <c r="K4" s="10" t="s">
        <v>64</v>
      </c>
      <c r="L4" s="11" t="s">
        <v>65</v>
      </c>
      <c r="M4" s="11"/>
      <c r="N4" s="11"/>
      <c r="O4" s="11"/>
    </row>
    <row r="5" customFormat="false" ht="21.75" hidden="false" customHeight="true" outlineLevel="0" collapsed="false">
      <c r="B5" s="4" t="s">
        <v>66</v>
      </c>
      <c r="C5" s="4"/>
      <c r="D5" s="34" t="s">
        <v>351</v>
      </c>
      <c r="E5" s="34"/>
      <c r="F5" s="34"/>
      <c r="G5" s="4" t="s">
        <v>67</v>
      </c>
      <c r="H5" s="35" t="n">
        <v>10</v>
      </c>
      <c r="I5" s="35" t="n">
        <v>10</v>
      </c>
      <c r="J5" s="35" t="n">
        <v>5</v>
      </c>
      <c r="K5" s="35" t="n">
        <v>3</v>
      </c>
      <c r="L5" s="11" t="s">
        <v>68</v>
      </c>
      <c r="M5" s="11"/>
      <c r="N5" s="11"/>
      <c r="O5" s="11"/>
    </row>
    <row r="6" customFormat="false" ht="21.75" hidden="false" customHeight="true" outlineLevel="0" collapsed="false">
      <c r="B6" s="4" t="s">
        <v>69</v>
      </c>
      <c r="C6" s="4"/>
      <c r="D6" s="36" t="n">
        <v>46299</v>
      </c>
      <c r="E6" s="36"/>
      <c r="F6" s="36"/>
      <c r="G6" s="4" t="s">
        <v>70</v>
      </c>
      <c r="H6" s="35" t="n">
        <v>30</v>
      </c>
      <c r="I6" s="35" t="n">
        <v>30</v>
      </c>
      <c r="J6" s="35" t="n">
        <v>30</v>
      </c>
      <c r="K6" s="35" t="n">
        <v>30</v>
      </c>
      <c r="L6" s="11" t="s">
        <v>71</v>
      </c>
      <c r="M6" s="11"/>
      <c r="N6" s="11"/>
      <c r="O6" s="11"/>
    </row>
    <row r="7" customFormat="false" ht="21.75" hidden="false" customHeight="true" outlineLevel="0" collapsed="false">
      <c r="B7" s="4" t="s">
        <v>72</v>
      </c>
      <c r="C7" s="4"/>
      <c r="D7" s="34" t="s">
        <v>352</v>
      </c>
      <c r="E7" s="34"/>
      <c r="F7" s="34"/>
      <c r="G7" s="4" t="s">
        <v>73</v>
      </c>
      <c r="H7" s="35" t="n">
        <v>100</v>
      </c>
      <c r="I7" s="35" t="n">
        <v>70</v>
      </c>
      <c r="J7" s="35" t="n">
        <v>50</v>
      </c>
      <c r="K7" s="35" t="n">
        <v>30</v>
      </c>
      <c r="L7" s="11" t="s">
        <v>74</v>
      </c>
      <c r="M7" s="11"/>
      <c r="N7" s="11"/>
      <c r="O7" s="11"/>
    </row>
    <row r="8" customFormat="false" ht="21.75" hidden="false" customHeight="true" outlineLevel="0" collapsed="false">
      <c r="B8" s="4" t="s">
        <v>42</v>
      </c>
      <c r="C8" s="4"/>
      <c r="D8" s="37" t="s">
        <v>75</v>
      </c>
      <c r="E8" s="37"/>
      <c r="F8" s="37"/>
      <c r="G8" s="4" t="s">
        <v>76</v>
      </c>
      <c r="H8" s="35" t="n">
        <v>70</v>
      </c>
      <c r="I8" s="35" t="n">
        <v>70</v>
      </c>
      <c r="J8" s="35" t="n">
        <v>40</v>
      </c>
      <c r="K8" s="35" t="n">
        <v>40</v>
      </c>
      <c r="L8" s="11" t="s">
        <v>77</v>
      </c>
      <c r="M8" s="11"/>
      <c r="N8" s="11"/>
      <c r="O8" s="11"/>
    </row>
    <row r="9" customFormat="false" ht="21.75" hidden="false" customHeight="true" outlineLevel="0" collapsed="false">
      <c r="B9" s="4" t="s">
        <v>78</v>
      </c>
      <c r="C9" s="4"/>
      <c r="D9" s="38" t="n">
        <v>0.8</v>
      </c>
      <c r="E9" s="38"/>
      <c r="F9" s="38"/>
      <c r="G9" s="4" t="s">
        <v>79</v>
      </c>
      <c r="H9" s="35" t="n">
        <v>300</v>
      </c>
      <c r="I9" s="35" t="n">
        <v>300</v>
      </c>
      <c r="J9" s="35" t="n">
        <v>300</v>
      </c>
      <c r="K9" s="35" t="n">
        <v>300</v>
      </c>
      <c r="L9" s="11" t="s">
        <v>80</v>
      </c>
      <c r="M9" s="11"/>
      <c r="N9" s="11"/>
      <c r="O9" s="11"/>
    </row>
    <row r="10" customFormat="false" ht="21.75" hidden="false" customHeight="true" outlineLevel="0" collapsed="false">
      <c r="B10" s="11" t="s">
        <v>81</v>
      </c>
      <c r="C10" s="11"/>
      <c r="D10" s="11"/>
      <c r="E10" s="11"/>
      <c r="F10" s="11"/>
      <c r="G10" s="4" t="s">
        <v>82</v>
      </c>
      <c r="H10" s="35" t="n">
        <v>100</v>
      </c>
      <c r="I10" s="35" t="n">
        <v>100</v>
      </c>
      <c r="J10" s="35" t="n">
        <v>100</v>
      </c>
      <c r="K10" s="35" t="n">
        <v>100</v>
      </c>
      <c r="L10" s="11" t="s">
        <v>83</v>
      </c>
      <c r="M10" s="11"/>
      <c r="N10" s="11"/>
      <c r="O10" s="11"/>
    </row>
    <row r="11" customFormat="false" ht="21.75" hidden="false" customHeight="true" outlineLevel="0" collapsed="false">
      <c r="B11" s="11" t="s">
        <v>84</v>
      </c>
      <c r="C11" s="11"/>
      <c r="D11" s="11"/>
      <c r="E11" s="11"/>
      <c r="F11" s="11"/>
      <c r="G11" s="4" t="s">
        <v>85</v>
      </c>
      <c r="H11" s="35" t="n">
        <v>3</v>
      </c>
      <c r="I11" s="35" t="n">
        <v>3</v>
      </c>
      <c r="J11" s="35" t="n">
        <v>3</v>
      </c>
      <c r="K11" s="35" t="n">
        <v>3</v>
      </c>
      <c r="L11" s="11" t="s">
        <v>86</v>
      </c>
      <c r="M11" s="11"/>
      <c r="N11" s="11"/>
      <c r="O11" s="11"/>
    </row>
    <row r="13" customFormat="false" ht="21.75" hidden="false" customHeight="true" outlineLevel="0" collapsed="false">
      <c r="B13" s="16" t="s">
        <v>87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</row>
    <row r="14" customFormat="false" ht="30" hidden="false" customHeight="true" outlineLevel="0" collapsed="false">
      <c r="B14" s="17" t="s">
        <v>88</v>
      </c>
      <c r="C14" s="17" t="s">
        <v>89</v>
      </c>
      <c r="D14" s="18" t="s">
        <v>90</v>
      </c>
      <c r="E14" s="10" t="s">
        <v>91</v>
      </c>
      <c r="F14" s="10" t="s">
        <v>92</v>
      </c>
      <c r="G14" s="17" t="s">
        <v>93</v>
      </c>
      <c r="H14" s="18" t="s">
        <v>44</v>
      </c>
      <c r="I14" s="19" t="s">
        <v>94</v>
      </c>
      <c r="J14" s="19" t="s">
        <v>95</v>
      </c>
      <c r="K14" s="19" t="s">
        <v>96</v>
      </c>
      <c r="L14" s="19" t="s">
        <v>97</v>
      </c>
      <c r="M14" s="19" t="s">
        <v>98</v>
      </c>
      <c r="N14" s="19" t="s">
        <v>99</v>
      </c>
      <c r="O14" s="17" t="s">
        <v>100</v>
      </c>
    </row>
    <row r="15" customFormat="false" ht="21.75" hidden="false" customHeight="true" outlineLevel="0" collapsed="false">
      <c r="B15" s="20"/>
      <c r="C15" s="20" t="s">
        <v>101</v>
      </c>
      <c r="D15" s="20" t="s">
        <v>102</v>
      </c>
      <c r="E15" s="20" t="s">
        <v>103</v>
      </c>
      <c r="F15" s="20" t="s">
        <v>104</v>
      </c>
      <c r="G15" s="20" t="s">
        <v>105</v>
      </c>
      <c r="H15" s="20" t="s">
        <v>106</v>
      </c>
      <c r="I15" s="20" t="s">
        <v>107</v>
      </c>
      <c r="J15" s="20" t="s">
        <v>104</v>
      </c>
      <c r="K15" s="20" t="s">
        <v>108</v>
      </c>
      <c r="L15" s="20" t="s">
        <v>109</v>
      </c>
      <c r="M15" s="20"/>
      <c r="N15" s="20"/>
      <c r="O15" s="20"/>
    </row>
    <row r="16" customFormat="false" ht="24" hidden="false" customHeight="true" outlineLevel="0" collapsed="false">
      <c r="B16" s="11" t="s">
        <v>353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customFormat="false" ht="21.75" hidden="false" customHeight="true" outlineLevel="0" collapsed="false">
      <c r="B17" s="21" t="n">
        <v>1</v>
      </c>
      <c r="C17" s="34" t="s">
        <v>354</v>
      </c>
      <c r="D17" s="35" t="s">
        <v>75</v>
      </c>
      <c r="E17" s="35" t="s">
        <v>73</v>
      </c>
      <c r="F17" s="35" t="n">
        <v>40</v>
      </c>
      <c r="G17" s="34" t="s">
        <v>112</v>
      </c>
      <c r="H17" s="35" t="s">
        <v>113</v>
      </c>
      <c r="I17" s="22" t="str">
        <f aca="false">IF(D17="","",IFERROR(VLOOKUP(D17,Referência!$B$6:$I$26,5,0),""))</f>
        <v>3G</v>
      </c>
      <c r="J17" s="22" t="n">
        <f aca="false">IF(OR(D17="",E17=""),"",IFERROR(1/(1/INDEX($H$5:$K$11,MATCH(E17,$G$5:$G$11,0),VLOOKUP(D17,Referência!$B$6:$I$26,6,0))),""))</f>
        <v>70</v>
      </c>
      <c r="K17" s="23" t="str">
        <f aca="false">IF(OR(D17="",$D$8=""),"",IF(D17=$D$8,"Igual",IF(H17="Sim","Convertido","Diferente")))</f>
        <v>Igual</v>
      </c>
      <c r="L17" s="23" t="str">
        <f aca="false">IF(OR(F17="",J17=""),"",IF(F17&gt;J17,"Acima",IF(F17&gt;J17*IF($D$9="",1,$D$9),"No limite","OK")))</f>
        <v>OK</v>
      </c>
      <c r="M17" s="23" t="str">
        <f aca="false">IF(AND(K17="",L17=""),"",IF(AND(K17="Diferente",L17="Acima"),"Formato e cabo",IF(K17="Diferente","Formato",IF(L17="Acima","Comprimento",IF(L17="No limite","No limite",IF(OR(K17="",L17=""),"Incompleto","OK"))))))</f>
        <v>OK</v>
      </c>
      <c r="N17" s="24" t="str">
        <f aca="false">IF(M17="","",IF(M17="Formato e cabo","Ajuste a origem para "&amp;$D$8&amp;" e troque o tipo de ligação do trecho",IF(M17="Formato","Ajuste a saída da origem para "&amp;$D$8&amp;", ou use um scaler antes do destino",IF(M17="Comprimento",IF(E17="HDMI passivo","Use SDI com conversor, HDBaseT ou cabo HDMI óptico",IF(E17="USB","Aproxime o computador ou use extensão USB ativa","Encurte o trecho, use cabo melhor ou passe para fibra")),IF(M17="No limite","Teste com o cabo no caminho real e tenha um reserva",IF(M17="Incompleto","Informe o formato, a ligação e o comprimento","Manter"))))))</f>
        <v>Manter</v>
      </c>
      <c r="O17" s="34"/>
    </row>
    <row r="18" customFormat="false" ht="21.75" hidden="false" customHeight="true" outlineLevel="0" collapsed="false">
      <c r="B18" s="21" t="n">
        <v>2</v>
      </c>
      <c r="C18" s="34" t="s">
        <v>355</v>
      </c>
      <c r="D18" s="35" t="s">
        <v>75</v>
      </c>
      <c r="E18" s="35" t="s">
        <v>67</v>
      </c>
      <c r="F18" s="35" t="n">
        <v>15</v>
      </c>
      <c r="G18" s="34" t="s">
        <v>356</v>
      </c>
      <c r="H18" s="35" t="s">
        <v>113</v>
      </c>
      <c r="I18" s="22" t="str">
        <f aca="false">IF(D18="","",IFERROR(VLOOKUP(D18,Referência!$B$6:$I$26,5,0),""))</f>
        <v>3G</v>
      </c>
      <c r="J18" s="22" t="n">
        <f aca="false">IF(OR(D18="",E18=""),"",IFERROR(1/(1/INDEX($H$5:$K$11,MATCH(E18,$G$5:$G$11,0),VLOOKUP(D18,Referência!$B$6:$I$26,6,0))),""))</f>
        <v>10</v>
      </c>
      <c r="K18" s="23" t="str">
        <f aca="false">IF(OR(D18="",$D$8=""),"",IF(D18=$D$8,"Igual",IF(H18="Sim","Convertido","Diferente")))</f>
        <v>Igual</v>
      </c>
      <c r="L18" s="23" t="str">
        <f aca="false">IF(OR(F18="",J18=""),"",IF(F18&gt;J18,"Acima",IF(F18&gt;J18*IF($D$9="",1,$D$9),"No limite","OK")))</f>
        <v>Acima</v>
      </c>
      <c r="M18" s="23" t="str">
        <f aca="false">IF(AND(K18="",L18=""),"",IF(AND(K18="Diferente",L18="Acima"),"Formato e cabo",IF(K18="Diferente","Formato",IF(L18="Acima","Comprimento",IF(L18="No limite","No limite",IF(OR(K18="",L18=""),"Incompleto","OK"))))))</f>
        <v>Comprimento</v>
      </c>
      <c r="N18" s="24" t="str">
        <f aca="false">IF(M18="","",IF(M18="Formato e cabo","Ajuste a origem para "&amp;$D$8&amp;" e troque o tipo de ligação do trecho",IF(M18="Formato","Ajuste a saída da origem para "&amp;$D$8&amp;", ou use um scaler antes do destino",IF(M18="Comprimento",IF(E18="HDMI passivo","Use SDI com conversor, HDBaseT ou cabo HDMI óptico",IF(E18="USB","Aproxime o computador ou use extensão USB ativa","Encurte o trecho, use cabo melhor ou passe para fibra")),IF(M18="No limite","Teste com o cabo no caminho real e tenha um reserva",IF(M18="Incompleto","Informe o formato, a ligação e o comprimento","Manter"))))))</f>
        <v>Use SDI com conversor, HDBaseT ou cabo HDMI óptico</v>
      </c>
      <c r="O18" s="34"/>
    </row>
    <row r="19" customFormat="false" ht="21.75" hidden="false" customHeight="true" outlineLevel="0" collapsed="false">
      <c r="B19" s="21" t="n">
        <v>3</v>
      </c>
      <c r="C19" s="34" t="s">
        <v>357</v>
      </c>
      <c r="D19" s="35" t="s">
        <v>226</v>
      </c>
      <c r="E19" s="35" t="s">
        <v>67</v>
      </c>
      <c r="F19" s="35" t="n">
        <v>3</v>
      </c>
      <c r="G19" s="34" t="s">
        <v>358</v>
      </c>
      <c r="H19" s="35" t="s">
        <v>113</v>
      </c>
      <c r="I19" s="22" t="str">
        <f aca="false">IF(D19="","",IFERROR(VLOOKUP(D19,Referência!$B$6:$I$26,5,0),""))</f>
        <v>HD</v>
      </c>
      <c r="J19" s="22" t="n">
        <f aca="false">IF(OR(D19="",E19=""),"",IFERROR(1/(1/INDEX($H$5:$K$11,MATCH(E19,$G$5:$G$11,0),VLOOKUP(D19,Referência!$B$6:$I$26,6,0))),""))</f>
        <v>10</v>
      </c>
      <c r="K19" s="23" t="str">
        <f aca="false">IF(OR(D19="",$D$8=""),"",IF(D19=$D$8,"Igual",IF(H19="Sim","Convertido","Diferente")))</f>
        <v>Diferente</v>
      </c>
      <c r="L19" s="23" t="str">
        <f aca="false">IF(OR(F19="",J19=""),"",IF(F19&gt;J19,"Acima",IF(F19&gt;J19*IF($D$9="",1,$D$9),"No limite","OK")))</f>
        <v>OK</v>
      </c>
      <c r="M19" s="23" t="str">
        <f aca="false">IF(AND(K19="",L19=""),"",IF(AND(K19="Diferente",L19="Acima"),"Formato e cabo",IF(K19="Diferente","Formato",IF(L19="Acima","Comprimento",IF(L19="No limite","No limite",IF(OR(K19="",L19=""),"Incompleto","OK"))))))</f>
        <v>Formato</v>
      </c>
      <c r="N19" s="24" t="str">
        <f aca="false">IF(M19="","",IF(M19="Formato e cabo","Ajuste a origem para "&amp;$D$8&amp;" e troque o tipo de ligação do trecho",IF(M19="Formato","Ajuste a saída da origem para "&amp;$D$8&amp;", ou use um scaler antes do destino",IF(M19="Comprimento",IF(E19="HDMI passivo","Use SDI com conversor, HDBaseT ou cabo HDMI óptico",IF(E19="USB","Aproxime o computador ou use extensão USB ativa","Encurte o trecho, use cabo melhor ou passe para fibra")),IF(M19="No limite","Teste com o cabo no caminho real e tenha um reserva",IF(M19="Incompleto","Informe o formato, a ligação e o comprimento","Manter"))))))</f>
        <v>Ajuste a saída da origem para 1080p59.94, ou use um scaler antes do destino</v>
      </c>
      <c r="O19" s="34"/>
    </row>
    <row r="20" customFormat="false" ht="21.75" hidden="false" customHeight="true" outlineLevel="0" collapsed="false">
      <c r="B20" s="21" t="n">
        <v>4</v>
      </c>
      <c r="C20" s="34" t="s">
        <v>359</v>
      </c>
      <c r="D20" s="35" t="s">
        <v>242</v>
      </c>
      <c r="E20" s="35" t="s">
        <v>67</v>
      </c>
      <c r="F20" s="35" t="n">
        <v>2</v>
      </c>
      <c r="G20" s="34" t="s">
        <v>360</v>
      </c>
      <c r="H20" s="35" t="s">
        <v>113</v>
      </c>
      <c r="I20" s="22" t="str">
        <f aca="false">IF(D20="","",IFERROR(VLOOKUP(D20,Referência!$B$6:$I$26,5,0),""))</f>
        <v>3G</v>
      </c>
      <c r="J20" s="22" t="n">
        <f aca="false">IF(OR(D20="",E20=""),"",IFERROR(1/(1/INDEX($H$5:$K$11,MATCH(E20,$G$5:$G$11,0),VLOOKUP(D20,Referência!$B$6:$I$26,6,0))),""))</f>
        <v>10</v>
      </c>
      <c r="K20" s="23" t="str">
        <f aca="false">IF(OR(D20="",$D$8=""),"",IF(D20=$D$8,"Igual",IF(H20="Sim","Convertido","Diferente")))</f>
        <v>Diferente</v>
      </c>
      <c r="L20" s="23" t="str">
        <f aca="false">IF(OR(F20="",J20=""),"",IF(F20&gt;J20,"Acima",IF(F20&gt;J20*IF($D$9="",1,$D$9),"No limite","OK")))</f>
        <v>OK</v>
      </c>
      <c r="M20" s="23" t="str">
        <f aca="false">IF(AND(K20="",L20=""),"",IF(AND(K20="Diferente",L20="Acima"),"Formato e cabo",IF(K20="Diferente","Formato",IF(L20="Acima","Comprimento",IF(L20="No limite","No limite",IF(OR(K20="",L20=""),"Incompleto","OK"))))))</f>
        <v>Formato</v>
      </c>
      <c r="N20" s="24" t="str">
        <f aca="false">IF(M20="","",IF(M20="Formato e cabo","Ajuste a origem para "&amp;$D$8&amp;" e troque o tipo de ligação do trecho",IF(M20="Formato","Ajuste a saída da origem para "&amp;$D$8&amp;", ou use um scaler antes do destino",IF(M20="Comprimento",IF(E20="HDMI passivo","Use SDI com conversor, HDBaseT ou cabo HDMI óptico",IF(E20="USB","Aproxime o computador ou use extensão USB ativa","Encurte o trecho, use cabo melhor ou passe para fibra")),IF(M20="No limite","Teste com o cabo no caminho real e tenha um reserva",IF(M20="Incompleto","Informe o formato, a ligação e o comprimento","Manter"))))))</f>
        <v>Ajuste a saída da origem para 1080p59.94, ou use um scaler antes do destino</v>
      </c>
      <c r="O20" s="34"/>
    </row>
    <row r="21" customFormat="false" ht="21.75" hidden="false" customHeight="true" outlineLevel="0" collapsed="false">
      <c r="B21" s="21" t="n">
        <v>5</v>
      </c>
      <c r="C21" s="34" t="s">
        <v>361</v>
      </c>
      <c r="D21" s="35" t="s">
        <v>253</v>
      </c>
      <c r="E21" s="35" t="s">
        <v>67</v>
      </c>
      <c r="F21" s="35" t="n">
        <v>5</v>
      </c>
      <c r="G21" s="34" t="s">
        <v>290</v>
      </c>
      <c r="H21" s="35" t="s">
        <v>362</v>
      </c>
      <c r="I21" s="22" t="str">
        <f aca="false">IF(D21="","",IFERROR(VLOOKUP(D21,Referência!$B$6:$I$26,5,0),""))</f>
        <v>3G</v>
      </c>
      <c r="J21" s="22" t="n">
        <f aca="false">IF(OR(D21="",E21=""),"",IFERROR(1/(1/INDEX($H$5:$K$11,MATCH(E21,$G$5:$G$11,0),VLOOKUP(D21,Referência!$B$6:$I$26,6,0))),""))</f>
        <v>10</v>
      </c>
      <c r="K21" s="23" t="str">
        <f aca="false">IF(OR(D21="",$D$8=""),"",IF(D21=$D$8,"Igual",IF(H21="Sim","Convertido","Diferente")))</f>
        <v>Convertido</v>
      </c>
      <c r="L21" s="23" t="str">
        <f aca="false">IF(OR(F21="",J21=""),"",IF(F21&gt;J21,"Acima",IF(F21&gt;J21*IF($D$9="",1,$D$9),"No limite","OK")))</f>
        <v>OK</v>
      </c>
      <c r="M21" s="23" t="str">
        <f aca="false">IF(AND(K21="",L21=""),"",IF(AND(K21="Diferente",L21="Acima"),"Formato e cabo",IF(K21="Diferente","Formato",IF(L21="Acima","Comprimento",IF(L21="No limite","No limite",IF(OR(K21="",L21=""),"Incompleto","OK"))))))</f>
        <v>OK</v>
      </c>
      <c r="N21" s="24" t="str">
        <f aca="false">IF(M21="","",IF(M21="Formato e cabo","Ajuste a origem para "&amp;$D$8&amp;" e troque o tipo de ligação do trecho",IF(M21="Formato","Ajuste a saída da origem para "&amp;$D$8&amp;", ou use um scaler antes do destino",IF(M21="Comprimento",IF(E21="HDMI passivo","Use SDI com conversor, HDBaseT ou cabo HDMI óptico",IF(E21="USB","Aproxime o computador ou use extensão USB ativa","Encurte o trecho, use cabo melhor ou passe para fibra")),IF(M21="No limite","Teste com o cabo no caminho real e tenha um reserva",IF(M21="Incompleto","Informe o formato, a ligação e o comprimento","Manter"))))))</f>
        <v>Manter</v>
      </c>
      <c r="O21" s="34"/>
    </row>
    <row r="22" customFormat="false" ht="21.75" hidden="false" customHeight="true" outlineLevel="0" collapsed="false">
      <c r="B22" s="21" t="n">
        <v>6</v>
      </c>
      <c r="C22" s="34" t="s">
        <v>290</v>
      </c>
      <c r="D22" s="35" t="s">
        <v>75</v>
      </c>
      <c r="E22" s="35" t="s">
        <v>67</v>
      </c>
      <c r="F22" s="35" t="n">
        <v>1</v>
      </c>
      <c r="G22" s="34" t="s">
        <v>363</v>
      </c>
      <c r="H22" s="35" t="s">
        <v>113</v>
      </c>
      <c r="I22" s="22" t="str">
        <f aca="false">IF(D22="","",IFERROR(VLOOKUP(D22,Referência!$B$6:$I$26,5,0),""))</f>
        <v>3G</v>
      </c>
      <c r="J22" s="22" t="n">
        <f aca="false">IF(OR(D22="",E22=""),"",IFERROR(1/(1/INDEX($H$5:$K$11,MATCH(E22,$G$5:$G$11,0),VLOOKUP(D22,Referência!$B$6:$I$26,6,0))),""))</f>
        <v>10</v>
      </c>
      <c r="K22" s="23" t="str">
        <f aca="false">IF(OR(D22="",$D$8=""),"",IF(D22=$D$8,"Igual",IF(H22="Sim","Convertido","Diferente")))</f>
        <v>Igual</v>
      </c>
      <c r="L22" s="23" t="str">
        <f aca="false">IF(OR(F22="",J22=""),"",IF(F22&gt;J22,"Acima",IF(F22&gt;J22*IF($D$9="",1,$D$9),"No limite","OK")))</f>
        <v>OK</v>
      </c>
      <c r="M22" s="23" t="str">
        <f aca="false">IF(AND(K22="",L22=""),"",IF(AND(K22="Diferente",L22="Acima"),"Formato e cabo",IF(K22="Diferente","Formato",IF(L22="Acima","Comprimento",IF(L22="No limite","No limite",IF(OR(K22="",L22=""),"Incompleto","OK"))))))</f>
        <v>OK</v>
      </c>
      <c r="N22" s="24" t="str">
        <f aca="false">IF(M22="","",IF(M22="Formato e cabo","Ajuste a origem para "&amp;$D$8&amp;" e troque o tipo de ligação do trecho",IF(M22="Formato","Ajuste a saída da origem para "&amp;$D$8&amp;", ou use um scaler antes do destino",IF(M22="Comprimento",IF(E22="HDMI passivo","Use SDI com conversor, HDBaseT ou cabo HDMI óptico",IF(E22="USB","Aproxime o computador ou use extensão USB ativa","Encurte o trecho, use cabo melhor ou passe para fibra")),IF(M22="No limite","Teste com o cabo no caminho real e tenha um reserva",IF(M22="Incompleto","Informe o formato, a ligação e o comprimento","Manter"))))))</f>
        <v>Manter</v>
      </c>
      <c r="O22" s="34"/>
    </row>
    <row r="23" customFormat="false" ht="21.75" hidden="false" customHeight="true" outlineLevel="0" collapsed="false">
      <c r="B23" s="21" t="n">
        <v>7</v>
      </c>
      <c r="C23" s="34" t="s">
        <v>364</v>
      </c>
      <c r="D23" s="35" t="s">
        <v>75</v>
      </c>
      <c r="E23" s="35" t="s">
        <v>76</v>
      </c>
      <c r="F23" s="35" t="n">
        <v>35</v>
      </c>
      <c r="G23" s="34" t="s">
        <v>365</v>
      </c>
      <c r="H23" s="35" t="s">
        <v>113</v>
      </c>
      <c r="I23" s="22" t="str">
        <f aca="false">IF(D23="","",IFERROR(VLOOKUP(D23,Referência!$B$6:$I$26,5,0),""))</f>
        <v>3G</v>
      </c>
      <c r="J23" s="22" t="n">
        <f aca="false">IF(OR(D23="",E23=""),"",IFERROR(1/(1/INDEX($H$5:$K$11,MATCH(E23,$G$5:$G$11,0),VLOOKUP(D23,Referência!$B$6:$I$26,6,0))),""))</f>
        <v>70</v>
      </c>
      <c r="K23" s="23" t="str">
        <f aca="false">IF(OR(D23="",$D$8=""),"",IF(D23=$D$8,"Igual",IF(H23="Sim","Convertido","Diferente")))</f>
        <v>Igual</v>
      </c>
      <c r="L23" s="23" t="str">
        <f aca="false">IF(OR(F23="",J23=""),"",IF(F23&gt;J23,"Acima",IF(F23&gt;J23*IF($D$9="",1,$D$9),"No limite","OK")))</f>
        <v>OK</v>
      </c>
      <c r="M23" s="23" t="str">
        <f aca="false">IF(AND(K23="",L23=""),"",IF(AND(K23="Diferente",L23="Acima"),"Formato e cabo",IF(K23="Diferente","Formato",IF(L23="Acima","Comprimento",IF(L23="No limite","No limite",IF(OR(K23="",L23=""),"Incompleto","OK"))))))</f>
        <v>OK</v>
      </c>
      <c r="N23" s="24" t="str">
        <f aca="false">IF(M23="","",IF(M23="Formato e cabo","Ajuste a origem para "&amp;$D$8&amp;" e troque o tipo de ligação do trecho",IF(M23="Formato","Ajuste a saída da origem para "&amp;$D$8&amp;", ou use um scaler antes do destino",IF(M23="Comprimento",IF(E23="HDMI passivo","Use SDI com conversor, HDBaseT ou cabo HDMI óptico",IF(E23="USB","Aproxime o computador ou use extensão USB ativa","Encurte o trecho, use cabo melhor ou passe para fibra")),IF(M23="No limite","Teste com o cabo no caminho real e tenha um reserva",IF(M23="Incompleto","Informe o formato, a ligação e o comprimento","Manter"))))))</f>
        <v>Manter</v>
      </c>
      <c r="O23" s="34"/>
    </row>
    <row r="24" customFormat="false" ht="21.75" hidden="false" customHeight="true" outlineLevel="0" collapsed="false">
      <c r="B24" s="21" t="n">
        <v>8</v>
      </c>
      <c r="C24" s="34" t="s">
        <v>366</v>
      </c>
      <c r="D24" s="35" t="s">
        <v>75</v>
      </c>
      <c r="E24" s="35" t="s">
        <v>70</v>
      </c>
      <c r="F24" s="35" t="n">
        <v>20</v>
      </c>
      <c r="G24" s="34" t="s">
        <v>367</v>
      </c>
      <c r="H24" s="35" t="s">
        <v>113</v>
      </c>
      <c r="I24" s="22" t="str">
        <f aca="false">IF(D24="","",IFERROR(VLOOKUP(D24,Referência!$B$6:$I$26,5,0),""))</f>
        <v>3G</v>
      </c>
      <c r="J24" s="22" t="n">
        <f aca="false">IF(OR(D24="",E24=""),"",IFERROR(1/(1/INDEX($H$5:$K$11,MATCH(E24,$G$5:$G$11,0),VLOOKUP(D24,Referência!$B$6:$I$26,6,0))),""))</f>
        <v>30</v>
      </c>
      <c r="K24" s="23" t="str">
        <f aca="false">IF(OR(D24="",$D$8=""),"",IF(D24=$D$8,"Igual",IF(H24="Sim","Convertido","Diferente")))</f>
        <v>Igual</v>
      </c>
      <c r="L24" s="23" t="str">
        <f aca="false">IF(OR(F24="",J24=""),"",IF(F24&gt;J24,"Acima",IF(F24&gt;J24*IF($D$9="",1,$D$9),"No limite","OK")))</f>
        <v>OK</v>
      </c>
      <c r="M24" s="23" t="str">
        <f aca="false">IF(AND(K24="",L24=""),"",IF(AND(K24="Diferente",L24="Acima"),"Formato e cabo",IF(K24="Diferente","Formato",IF(L24="Acima","Comprimento",IF(L24="No limite","No limite",IF(OR(K24="",L24=""),"Incompleto","OK"))))))</f>
        <v>OK</v>
      </c>
      <c r="N24" s="24" t="str">
        <f aca="false">IF(M24="","",IF(M24="Formato e cabo","Ajuste a origem para "&amp;$D$8&amp;" e troque o tipo de ligação do trecho",IF(M24="Formato","Ajuste a saída da origem para "&amp;$D$8&amp;", ou use um scaler antes do destino",IF(M24="Comprimento",IF(E24="HDMI passivo","Use SDI com conversor, HDBaseT ou cabo HDMI óptico",IF(E24="USB","Aproxime o computador ou use extensão USB ativa","Encurte o trecho, use cabo melhor ou passe para fibra")),IF(M24="No limite","Teste com o cabo no caminho real e tenha um reserva",IF(M24="Incompleto","Informe o formato, a ligação e o comprimento","Manter"))))))</f>
        <v>Manter</v>
      </c>
      <c r="O24" s="34"/>
    </row>
    <row r="25" customFormat="false" ht="21.75" hidden="false" customHeight="true" outlineLevel="0" collapsed="false">
      <c r="B25" s="21" t="n">
        <v>9</v>
      </c>
      <c r="C25" s="34" t="s">
        <v>368</v>
      </c>
      <c r="D25" s="35" t="s">
        <v>75</v>
      </c>
      <c r="E25" s="35" t="s">
        <v>73</v>
      </c>
      <c r="F25" s="35" t="n">
        <v>2</v>
      </c>
      <c r="G25" s="34" t="s">
        <v>296</v>
      </c>
      <c r="H25" s="35" t="s">
        <v>113</v>
      </c>
      <c r="I25" s="22" t="str">
        <f aca="false">IF(D25="","",IFERROR(VLOOKUP(D25,Referência!$B$6:$I$26,5,0),""))</f>
        <v>3G</v>
      </c>
      <c r="J25" s="22" t="n">
        <f aca="false">IF(OR(D25="",E25=""),"",IFERROR(1/(1/INDEX($H$5:$K$11,MATCH(E25,$G$5:$G$11,0),VLOOKUP(D25,Referência!$B$6:$I$26,6,0))),""))</f>
        <v>70</v>
      </c>
      <c r="K25" s="23" t="str">
        <f aca="false">IF(OR(D25="",$D$8=""),"",IF(D25=$D$8,"Igual",IF(H25="Sim","Convertido","Diferente")))</f>
        <v>Igual</v>
      </c>
      <c r="L25" s="23" t="str">
        <f aca="false">IF(OR(F25="",J25=""),"",IF(F25&gt;J25,"Acima",IF(F25&gt;J25*IF($D$9="",1,$D$9),"No limite","OK")))</f>
        <v>OK</v>
      </c>
      <c r="M25" s="23" t="str">
        <f aca="false">IF(AND(K25="",L25=""),"",IF(AND(K25="Diferente",L25="Acima"),"Formato e cabo",IF(K25="Diferente","Formato",IF(L25="Acima","Comprimento",IF(L25="No limite","No limite",IF(OR(K25="",L25=""),"Incompleto","OK"))))))</f>
        <v>OK</v>
      </c>
      <c r="N25" s="24" t="str">
        <f aca="false">IF(M25="","",IF(M25="Formato e cabo","Ajuste a origem para "&amp;$D$8&amp;" e troque o tipo de ligação do trecho",IF(M25="Formato","Ajuste a saída da origem para "&amp;$D$8&amp;", ou use um scaler antes do destino",IF(M25="Comprimento",IF(E25="HDMI passivo","Use SDI com conversor, HDBaseT ou cabo HDMI óptico",IF(E25="USB","Aproxime o computador ou use extensão USB ativa","Encurte o trecho, use cabo melhor ou passe para fibra")),IF(M25="No limite","Teste com o cabo no caminho real e tenha um reserva",IF(M25="Incompleto","Informe o formato, a ligação e o comprimento","Manter"))))))</f>
        <v>Manter</v>
      </c>
      <c r="O25" s="34"/>
    </row>
    <row r="26" customFormat="false" ht="21.75" hidden="false" customHeight="true" outlineLevel="0" collapsed="false">
      <c r="B26" s="21" t="n">
        <v>10</v>
      </c>
      <c r="C26" s="34" t="s">
        <v>296</v>
      </c>
      <c r="D26" s="35" t="s">
        <v>75</v>
      </c>
      <c r="E26" s="35" t="s">
        <v>85</v>
      </c>
      <c r="F26" s="35" t="n">
        <v>3</v>
      </c>
      <c r="G26" s="34" t="s">
        <v>369</v>
      </c>
      <c r="H26" s="35" t="s">
        <v>113</v>
      </c>
      <c r="I26" s="22" t="str">
        <f aca="false">IF(D26="","",IFERROR(VLOOKUP(D26,Referência!$B$6:$I$26,5,0),""))</f>
        <v>3G</v>
      </c>
      <c r="J26" s="22" t="n">
        <f aca="false">IF(OR(D26="",E26=""),"",IFERROR(1/(1/INDEX($H$5:$K$11,MATCH(E26,$G$5:$G$11,0),VLOOKUP(D26,Referência!$B$6:$I$26,6,0))),""))</f>
        <v>3</v>
      </c>
      <c r="K26" s="23" t="str">
        <f aca="false">IF(OR(D26="",$D$8=""),"",IF(D26=$D$8,"Igual",IF(H26="Sim","Convertido","Diferente")))</f>
        <v>Igual</v>
      </c>
      <c r="L26" s="23" t="str">
        <f aca="false">IF(OR(F26="",J26=""),"",IF(F26&gt;J26,"Acima",IF(F26&gt;J26*IF($D$9="",1,$D$9),"No limite","OK")))</f>
        <v>No limite</v>
      </c>
      <c r="M26" s="23" t="str">
        <f aca="false">IF(AND(K26="",L26=""),"",IF(AND(K26="Diferente",L26="Acima"),"Formato e cabo",IF(K26="Diferente","Formato",IF(L26="Acima","Comprimento",IF(L26="No limite","No limite",IF(OR(K26="",L26=""),"Incompleto","OK"))))))</f>
        <v>No limite</v>
      </c>
      <c r="N26" s="24" t="str">
        <f aca="false">IF(M26="","",IF(M26="Formato e cabo","Ajuste a origem para "&amp;$D$8&amp;" e troque o tipo de ligação do trecho",IF(M26="Formato","Ajuste a saída da origem para "&amp;$D$8&amp;", ou use um scaler antes do destino",IF(M26="Comprimento",IF(E26="HDMI passivo","Use SDI com conversor, HDBaseT ou cabo HDMI óptico",IF(E26="USB","Aproxime o computador ou use extensão USB ativa","Encurte o trecho, use cabo melhor ou passe para fibra")),IF(M26="No limite","Teste com o cabo no caminho real e tenha um reserva",IF(M26="Incompleto","Informe o formato, a ligação e o comprimento","Manter"))))))</f>
        <v>Teste com o cabo no caminho real e tenha um reserva</v>
      </c>
      <c r="O26" s="34"/>
    </row>
    <row r="27" customFormat="false" ht="21.75" hidden="false" customHeight="true" outlineLevel="0" collapsed="false">
      <c r="B27" s="21" t="n">
        <v>11</v>
      </c>
      <c r="C27" s="34"/>
      <c r="D27" s="35"/>
      <c r="E27" s="35"/>
      <c r="F27" s="35"/>
      <c r="G27" s="34"/>
      <c r="H27" s="35"/>
      <c r="I27" s="22" t="str">
        <f aca="false">IF(D27="","",IFERROR(VLOOKUP(D27,Referência!$B$6:$I$26,5,0),""))</f>
        <v/>
      </c>
      <c r="J27" s="22" t="str">
        <f aca="false">IF(OR(D27="",E27=""),"",IFERROR(1/(1/INDEX($H$5:$K$11,MATCH(E27,$G$5:$G$11,0),VLOOKUP(D27,Referência!$B$6:$I$26,6,0))),""))</f>
        <v/>
      </c>
      <c r="K27" s="23" t="str">
        <f aca="false">IF(OR(D27="",$D$8=""),"",IF(D27=$D$8,"Igual",IF(H27="Sim","Convertido","Diferente")))</f>
        <v/>
      </c>
      <c r="L27" s="23" t="str">
        <f aca="false">IF(OR(F27="",J27=""),"",IF(F27&gt;J27,"Acima",IF(F27&gt;J27*IF($D$9="",1,$D$9),"No limite","OK")))</f>
        <v/>
      </c>
      <c r="M27" s="23" t="str">
        <f aca="false">IF(AND(K27="",L27=""),"",IF(AND(K27="Diferente",L27="Acima"),"Formato e cabo",IF(K27="Diferente","Formato",IF(L27="Acima","Comprimento",IF(L27="No limite","No limite",IF(OR(K27="",L27=""),"Incompleto","OK"))))))</f>
        <v/>
      </c>
      <c r="N27" s="24" t="str">
        <f aca="false">IF(M27="","",IF(M27="Formato e cabo","Ajuste a origem para "&amp;$D$8&amp;" e troque o tipo de ligação do trecho",IF(M27="Formato","Ajuste a saída da origem para "&amp;$D$8&amp;", ou use um scaler antes do destino",IF(M27="Comprimento",IF(E27="HDMI passivo","Use SDI com conversor, HDBaseT ou cabo HDMI óptico",IF(E27="USB","Aproxime o computador ou use extensão USB ativa","Encurte o trecho, use cabo melhor ou passe para fibra")),IF(M27="No limite","Teste com o cabo no caminho real e tenha um reserva",IF(M27="Incompleto","Informe o formato, a ligação e o comprimento","Manter"))))))</f>
        <v/>
      </c>
      <c r="O27" s="34"/>
    </row>
    <row r="28" customFormat="false" ht="21.75" hidden="false" customHeight="true" outlineLevel="0" collapsed="false">
      <c r="B28" s="21" t="n">
        <v>12</v>
      </c>
      <c r="C28" s="34"/>
      <c r="D28" s="35"/>
      <c r="E28" s="35"/>
      <c r="F28" s="35"/>
      <c r="G28" s="34"/>
      <c r="H28" s="35"/>
      <c r="I28" s="22" t="str">
        <f aca="false">IF(D28="","",IFERROR(VLOOKUP(D28,Referência!$B$6:$I$26,5,0),""))</f>
        <v/>
      </c>
      <c r="J28" s="22" t="str">
        <f aca="false">IF(OR(D28="",E28=""),"",IFERROR(1/(1/INDEX($H$5:$K$11,MATCH(E28,$G$5:$G$11,0),VLOOKUP(D28,Referência!$B$6:$I$26,6,0))),""))</f>
        <v/>
      </c>
      <c r="K28" s="23" t="str">
        <f aca="false">IF(OR(D28="",$D$8=""),"",IF(D28=$D$8,"Igual",IF(H28="Sim","Convertido","Diferente")))</f>
        <v/>
      </c>
      <c r="L28" s="23" t="str">
        <f aca="false">IF(OR(F28="",J28=""),"",IF(F28&gt;J28,"Acima",IF(F28&gt;J28*IF($D$9="",1,$D$9),"No limite","OK")))</f>
        <v/>
      </c>
      <c r="M28" s="23" t="str">
        <f aca="false">IF(AND(K28="",L28=""),"",IF(AND(K28="Diferente",L28="Acima"),"Formato e cabo",IF(K28="Diferente","Formato",IF(L28="Acima","Comprimento",IF(L28="No limite","No limite",IF(OR(K28="",L28=""),"Incompleto","OK"))))))</f>
        <v/>
      </c>
      <c r="N28" s="24" t="str">
        <f aca="false">IF(M28="","",IF(M28="Formato e cabo","Ajuste a origem para "&amp;$D$8&amp;" e troque o tipo de ligação do trecho",IF(M28="Formato","Ajuste a saída da origem para "&amp;$D$8&amp;", ou use um scaler antes do destino",IF(M28="Comprimento",IF(E28="HDMI passivo","Use SDI com conversor, HDBaseT ou cabo HDMI óptico",IF(E28="USB","Aproxime o computador ou use extensão USB ativa","Encurte o trecho, use cabo melhor ou passe para fibra")),IF(M28="No limite","Teste com o cabo no caminho real e tenha um reserva",IF(M28="Incompleto","Informe o formato, a ligação e o comprimento","Manter"))))))</f>
        <v/>
      </c>
      <c r="O28" s="34"/>
    </row>
    <row r="29" customFormat="false" ht="21.75" hidden="false" customHeight="true" outlineLevel="0" collapsed="false">
      <c r="B29" s="21" t="n">
        <v>13</v>
      </c>
      <c r="C29" s="34"/>
      <c r="D29" s="35"/>
      <c r="E29" s="35"/>
      <c r="F29" s="35"/>
      <c r="G29" s="34"/>
      <c r="H29" s="35"/>
      <c r="I29" s="22" t="str">
        <f aca="false">IF(D29="","",IFERROR(VLOOKUP(D29,Referência!$B$6:$I$26,5,0),""))</f>
        <v/>
      </c>
      <c r="J29" s="22" t="str">
        <f aca="false">IF(OR(D29="",E29=""),"",IFERROR(1/(1/INDEX($H$5:$K$11,MATCH(E29,$G$5:$G$11,0),VLOOKUP(D29,Referência!$B$6:$I$26,6,0))),""))</f>
        <v/>
      </c>
      <c r="K29" s="23" t="str">
        <f aca="false">IF(OR(D29="",$D$8=""),"",IF(D29=$D$8,"Igual",IF(H29="Sim","Convertido","Diferente")))</f>
        <v/>
      </c>
      <c r="L29" s="23" t="str">
        <f aca="false">IF(OR(F29="",J29=""),"",IF(F29&gt;J29,"Acima",IF(F29&gt;J29*IF($D$9="",1,$D$9),"No limite","OK")))</f>
        <v/>
      </c>
      <c r="M29" s="23" t="str">
        <f aca="false">IF(AND(K29="",L29=""),"",IF(AND(K29="Diferente",L29="Acima"),"Formato e cabo",IF(K29="Diferente","Formato",IF(L29="Acima","Comprimento",IF(L29="No limite","No limite",IF(OR(K29="",L29=""),"Incompleto","OK"))))))</f>
        <v/>
      </c>
      <c r="N29" s="24" t="str">
        <f aca="false">IF(M29="","",IF(M29="Formato e cabo","Ajuste a origem para "&amp;$D$8&amp;" e troque o tipo de ligação do trecho",IF(M29="Formato","Ajuste a saída da origem para "&amp;$D$8&amp;", ou use um scaler antes do destino",IF(M29="Comprimento",IF(E29="HDMI passivo","Use SDI com conversor, HDBaseT ou cabo HDMI óptico",IF(E29="USB","Aproxime o computador ou use extensão USB ativa","Encurte o trecho, use cabo melhor ou passe para fibra")),IF(M29="No limite","Teste com o cabo no caminho real e tenha um reserva",IF(M29="Incompleto","Informe o formato, a ligação e o comprimento","Manter"))))))</f>
        <v/>
      </c>
      <c r="O29" s="34"/>
    </row>
    <row r="30" customFormat="false" ht="21.75" hidden="false" customHeight="true" outlineLevel="0" collapsed="false">
      <c r="B30" s="21" t="n">
        <v>14</v>
      </c>
      <c r="C30" s="34"/>
      <c r="D30" s="35"/>
      <c r="E30" s="35"/>
      <c r="F30" s="35"/>
      <c r="G30" s="34"/>
      <c r="H30" s="35"/>
      <c r="I30" s="22" t="str">
        <f aca="false">IF(D30="","",IFERROR(VLOOKUP(D30,Referência!$B$6:$I$26,5,0),""))</f>
        <v/>
      </c>
      <c r="J30" s="22" t="str">
        <f aca="false">IF(OR(D30="",E30=""),"",IFERROR(1/(1/INDEX($H$5:$K$11,MATCH(E30,$G$5:$G$11,0),VLOOKUP(D30,Referência!$B$6:$I$26,6,0))),""))</f>
        <v/>
      </c>
      <c r="K30" s="23" t="str">
        <f aca="false">IF(OR(D30="",$D$8=""),"",IF(D30=$D$8,"Igual",IF(H30="Sim","Convertido","Diferente")))</f>
        <v/>
      </c>
      <c r="L30" s="23" t="str">
        <f aca="false">IF(OR(F30="",J30=""),"",IF(F30&gt;J30,"Acima",IF(F30&gt;J30*IF($D$9="",1,$D$9),"No limite","OK")))</f>
        <v/>
      </c>
      <c r="M30" s="23" t="str">
        <f aca="false">IF(AND(K30="",L30=""),"",IF(AND(K30="Diferente",L30="Acima"),"Formato e cabo",IF(K30="Diferente","Formato",IF(L30="Acima","Comprimento",IF(L30="No limite","No limite",IF(OR(K30="",L30=""),"Incompleto","OK"))))))</f>
        <v/>
      </c>
      <c r="N30" s="24" t="str">
        <f aca="false">IF(M30="","",IF(M30="Formato e cabo","Ajuste a origem para "&amp;$D$8&amp;" e troque o tipo de ligação do trecho",IF(M30="Formato","Ajuste a saída da origem para "&amp;$D$8&amp;", ou use um scaler antes do destino",IF(M30="Comprimento",IF(E30="HDMI passivo","Use SDI com conversor, HDBaseT ou cabo HDMI óptico",IF(E30="USB","Aproxime o computador ou use extensão USB ativa","Encurte o trecho, use cabo melhor ou passe para fibra")),IF(M30="No limite","Teste com o cabo no caminho real e tenha um reserva",IF(M30="Incompleto","Informe o formato, a ligação e o comprimento","Manter"))))))</f>
        <v/>
      </c>
      <c r="O30" s="34"/>
    </row>
    <row r="31" customFormat="false" ht="21.75" hidden="false" customHeight="true" outlineLevel="0" collapsed="false">
      <c r="B31" s="21" t="n">
        <v>15</v>
      </c>
      <c r="C31" s="34"/>
      <c r="D31" s="35"/>
      <c r="E31" s="35"/>
      <c r="F31" s="35"/>
      <c r="G31" s="34"/>
      <c r="H31" s="35"/>
      <c r="I31" s="22" t="str">
        <f aca="false">IF(D31="","",IFERROR(VLOOKUP(D31,Referência!$B$6:$I$26,5,0),""))</f>
        <v/>
      </c>
      <c r="J31" s="22" t="str">
        <f aca="false">IF(OR(D31="",E31=""),"",IFERROR(1/(1/INDEX($H$5:$K$11,MATCH(E31,$G$5:$G$11,0),VLOOKUP(D31,Referência!$B$6:$I$26,6,0))),""))</f>
        <v/>
      </c>
      <c r="K31" s="23" t="str">
        <f aca="false">IF(OR(D31="",$D$8=""),"",IF(D31=$D$8,"Igual",IF(H31="Sim","Convertido","Diferente")))</f>
        <v/>
      </c>
      <c r="L31" s="23" t="str">
        <f aca="false">IF(OR(F31="",J31=""),"",IF(F31&gt;J31,"Acima",IF(F31&gt;J31*IF($D$9="",1,$D$9),"No limite","OK")))</f>
        <v/>
      </c>
      <c r="M31" s="23" t="str">
        <f aca="false">IF(AND(K31="",L31=""),"",IF(AND(K31="Diferente",L31="Acima"),"Formato e cabo",IF(K31="Diferente","Formato",IF(L31="Acima","Comprimento",IF(L31="No limite","No limite",IF(OR(K31="",L31=""),"Incompleto","OK"))))))</f>
        <v/>
      </c>
      <c r="N31" s="24" t="str">
        <f aca="false">IF(M31="","",IF(M31="Formato e cabo","Ajuste a origem para "&amp;$D$8&amp;" e troque o tipo de ligação do trecho",IF(M31="Formato","Ajuste a saída da origem para "&amp;$D$8&amp;", ou use um scaler antes do destino",IF(M31="Comprimento",IF(E31="HDMI passivo","Use SDI com conversor, HDBaseT ou cabo HDMI óptico",IF(E31="USB","Aproxime o computador ou use extensão USB ativa","Encurte o trecho, use cabo melhor ou passe para fibra")),IF(M31="No limite","Teste com o cabo no caminho real e tenha um reserva",IF(M31="Incompleto","Informe o formato, a ligação e o comprimento","Manter"))))))</f>
        <v/>
      </c>
      <c r="O31" s="34"/>
    </row>
    <row r="32" customFormat="false" ht="21.75" hidden="false" customHeight="true" outlineLevel="0" collapsed="false">
      <c r="B32" s="21" t="n">
        <v>16</v>
      </c>
      <c r="C32" s="34"/>
      <c r="D32" s="35"/>
      <c r="E32" s="35"/>
      <c r="F32" s="35"/>
      <c r="G32" s="34"/>
      <c r="H32" s="35"/>
      <c r="I32" s="22" t="str">
        <f aca="false">IF(D32="","",IFERROR(VLOOKUP(D32,Referência!$B$6:$I$26,5,0),""))</f>
        <v/>
      </c>
      <c r="J32" s="22" t="str">
        <f aca="false">IF(OR(D32="",E32=""),"",IFERROR(1/(1/INDEX($H$5:$K$11,MATCH(E32,$G$5:$G$11,0),VLOOKUP(D32,Referência!$B$6:$I$26,6,0))),""))</f>
        <v/>
      </c>
      <c r="K32" s="23" t="str">
        <f aca="false">IF(OR(D32="",$D$8=""),"",IF(D32=$D$8,"Igual",IF(H32="Sim","Convertido","Diferente")))</f>
        <v/>
      </c>
      <c r="L32" s="23" t="str">
        <f aca="false">IF(OR(F32="",J32=""),"",IF(F32&gt;J32,"Acima",IF(F32&gt;J32*IF($D$9="",1,$D$9),"No limite","OK")))</f>
        <v/>
      </c>
      <c r="M32" s="23" t="str">
        <f aca="false">IF(AND(K32="",L32=""),"",IF(AND(K32="Diferente",L32="Acima"),"Formato e cabo",IF(K32="Diferente","Formato",IF(L32="Acima","Comprimento",IF(L32="No limite","No limite",IF(OR(K32="",L32=""),"Incompleto","OK"))))))</f>
        <v/>
      </c>
      <c r="N32" s="24" t="str">
        <f aca="false">IF(M32="","",IF(M32="Formato e cabo","Ajuste a origem para "&amp;$D$8&amp;" e troque o tipo de ligação do trecho",IF(M32="Formato","Ajuste a saída da origem para "&amp;$D$8&amp;", ou use um scaler antes do destino",IF(M32="Comprimento",IF(E32="HDMI passivo","Use SDI com conversor, HDBaseT ou cabo HDMI óptico",IF(E32="USB","Aproxime o computador ou use extensão USB ativa","Encurte o trecho, use cabo melhor ou passe para fibra")),IF(M32="No limite","Teste com o cabo no caminho real e tenha um reserva",IF(M32="Incompleto","Informe o formato, a ligação e o comprimento","Manter"))))))</f>
        <v/>
      </c>
      <c r="O32" s="34"/>
    </row>
    <row r="33" customFormat="false" ht="21.75" hidden="false" customHeight="true" outlineLevel="0" collapsed="false">
      <c r="B33" s="21" t="n">
        <v>17</v>
      </c>
      <c r="C33" s="34"/>
      <c r="D33" s="35"/>
      <c r="E33" s="35"/>
      <c r="F33" s="35"/>
      <c r="G33" s="34"/>
      <c r="H33" s="35"/>
      <c r="I33" s="22" t="str">
        <f aca="false">IF(D33="","",IFERROR(VLOOKUP(D33,Referência!$B$6:$I$26,5,0),""))</f>
        <v/>
      </c>
      <c r="J33" s="22" t="str">
        <f aca="false">IF(OR(D33="",E33=""),"",IFERROR(1/(1/INDEX($H$5:$K$11,MATCH(E33,$G$5:$G$11,0),VLOOKUP(D33,Referência!$B$6:$I$26,6,0))),""))</f>
        <v/>
      </c>
      <c r="K33" s="23" t="str">
        <f aca="false">IF(OR(D33="",$D$8=""),"",IF(D33=$D$8,"Igual",IF(H33="Sim","Convertido","Diferente")))</f>
        <v/>
      </c>
      <c r="L33" s="23" t="str">
        <f aca="false">IF(OR(F33="",J33=""),"",IF(F33&gt;J33,"Acima",IF(F33&gt;J33*IF($D$9="",1,$D$9),"No limite","OK")))</f>
        <v/>
      </c>
      <c r="M33" s="23" t="str">
        <f aca="false">IF(AND(K33="",L33=""),"",IF(AND(K33="Diferente",L33="Acima"),"Formato e cabo",IF(K33="Diferente","Formato",IF(L33="Acima","Comprimento",IF(L33="No limite","No limite",IF(OR(K33="",L33=""),"Incompleto","OK"))))))</f>
        <v/>
      </c>
      <c r="N33" s="24" t="str">
        <f aca="false">IF(M33="","",IF(M33="Formato e cabo","Ajuste a origem para "&amp;$D$8&amp;" e troque o tipo de ligação do trecho",IF(M33="Formato","Ajuste a saída da origem para "&amp;$D$8&amp;", ou use um scaler antes do destino",IF(M33="Comprimento",IF(E33="HDMI passivo","Use SDI com conversor, HDBaseT ou cabo HDMI óptico",IF(E33="USB","Aproxime o computador ou use extensão USB ativa","Encurte o trecho, use cabo melhor ou passe para fibra")),IF(M33="No limite","Teste com o cabo no caminho real e tenha um reserva",IF(M33="Incompleto","Informe o formato, a ligação e o comprimento","Manter"))))))</f>
        <v/>
      </c>
      <c r="O33" s="34"/>
    </row>
    <row r="34" customFormat="false" ht="21.75" hidden="false" customHeight="true" outlineLevel="0" collapsed="false">
      <c r="B34" s="21" t="n">
        <v>18</v>
      </c>
      <c r="C34" s="34"/>
      <c r="D34" s="35"/>
      <c r="E34" s="35"/>
      <c r="F34" s="35"/>
      <c r="G34" s="34"/>
      <c r="H34" s="35"/>
      <c r="I34" s="22" t="str">
        <f aca="false">IF(D34="","",IFERROR(VLOOKUP(D34,Referência!$B$6:$I$26,5,0),""))</f>
        <v/>
      </c>
      <c r="J34" s="22" t="str">
        <f aca="false">IF(OR(D34="",E34=""),"",IFERROR(1/(1/INDEX($H$5:$K$11,MATCH(E34,$G$5:$G$11,0),VLOOKUP(D34,Referência!$B$6:$I$26,6,0))),""))</f>
        <v/>
      </c>
      <c r="K34" s="23" t="str">
        <f aca="false">IF(OR(D34="",$D$8=""),"",IF(D34=$D$8,"Igual",IF(H34="Sim","Convertido","Diferente")))</f>
        <v/>
      </c>
      <c r="L34" s="23" t="str">
        <f aca="false">IF(OR(F34="",J34=""),"",IF(F34&gt;J34,"Acima",IF(F34&gt;J34*IF($D$9="",1,$D$9),"No limite","OK")))</f>
        <v/>
      </c>
      <c r="M34" s="23" t="str">
        <f aca="false">IF(AND(K34="",L34=""),"",IF(AND(K34="Diferente",L34="Acima"),"Formato e cabo",IF(K34="Diferente","Formato",IF(L34="Acima","Comprimento",IF(L34="No limite","No limite",IF(OR(K34="",L34=""),"Incompleto","OK"))))))</f>
        <v/>
      </c>
      <c r="N34" s="24" t="str">
        <f aca="false">IF(M34="","",IF(M34="Formato e cabo","Ajuste a origem para "&amp;$D$8&amp;" e troque o tipo de ligação do trecho",IF(M34="Formato","Ajuste a saída da origem para "&amp;$D$8&amp;", ou use um scaler antes do destino",IF(M34="Comprimento",IF(E34="HDMI passivo","Use SDI com conversor, HDBaseT ou cabo HDMI óptico",IF(E34="USB","Aproxime o computador ou use extensão USB ativa","Encurte o trecho, use cabo melhor ou passe para fibra")),IF(M34="No limite","Teste com o cabo no caminho real e tenha um reserva",IF(M34="Incompleto","Informe o formato, a ligação e o comprimento","Manter"))))))</f>
        <v/>
      </c>
      <c r="O34" s="34"/>
    </row>
    <row r="35" customFormat="false" ht="21.75" hidden="false" customHeight="true" outlineLevel="0" collapsed="false">
      <c r="B35" s="21" t="n">
        <v>19</v>
      </c>
      <c r="C35" s="34"/>
      <c r="D35" s="35"/>
      <c r="E35" s="35"/>
      <c r="F35" s="35"/>
      <c r="G35" s="34"/>
      <c r="H35" s="35"/>
      <c r="I35" s="22" t="str">
        <f aca="false">IF(D35="","",IFERROR(VLOOKUP(D35,Referência!$B$6:$I$26,5,0),""))</f>
        <v/>
      </c>
      <c r="J35" s="22" t="str">
        <f aca="false">IF(OR(D35="",E35=""),"",IFERROR(1/(1/INDEX($H$5:$K$11,MATCH(E35,$G$5:$G$11,0),VLOOKUP(D35,Referência!$B$6:$I$26,6,0))),""))</f>
        <v/>
      </c>
      <c r="K35" s="23" t="str">
        <f aca="false">IF(OR(D35="",$D$8=""),"",IF(D35=$D$8,"Igual",IF(H35="Sim","Convertido","Diferente")))</f>
        <v/>
      </c>
      <c r="L35" s="23" t="str">
        <f aca="false">IF(OR(F35="",J35=""),"",IF(F35&gt;J35,"Acima",IF(F35&gt;J35*IF($D$9="",1,$D$9),"No limite","OK")))</f>
        <v/>
      </c>
      <c r="M35" s="23" t="str">
        <f aca="false">IF(AND(K35="",L35=""),"",IF(AND(K35="Diferente",L35="Acima"),"Formato e cabo",IF(K35="Diferente","Formato",IF(L35="Acima","Comprimento",IF(L35="No limite","No limite",IF(OR(K35="",L35=""),"Incompleto","OK"))))))</f>
        <v/>
      </c>
      <c r="N35" s="24" t="str">
        <f aca="false">IF(M35="","",IF(M35="Formato e cabo","Ajuste a origem para "&amp;$D$8&amp;" e troque o tipo de ligação do trecho",IF(M35="Formato","Ajuste a saída da origem para "&amp;$D$8&amp;", ou use um scaler antes do destino",IF(M35="Comprimento",IF(E35="HDMI passivo","Use SDI com conversor, HDBaseT ou cabo HDMI óptico",IF(E35="USB","Aproxime o computador ou use extensão USB ativa","Encurte o trecho, use cabo melhor ou passe para fibra")),IF(M35="No limite","Teste com o cabo no caminho real e tenha um reserva",IF(M35="Incompleto","Informe o formato, a ligação e o comprimento","Manter"))))))</f>
        <v/>
      </c>
      <c r="O35" s="34"/>
    </row>
    <row r="36" customFormat="false" ht="21.75" hidden="false" customHeight="true" outlineLevel="0" collapsed="false">
      <c r="B36" s="21" t="n">
        <v>20</v>
      </c>
      <c r="C36" s="34"/>
      <c r="D36" s="35"/>
      <c r="E36" s="35"/>
      <c r="F36" s="35"/>
      <c r="G36" s="34"/>
      <c r="H36" s="35"/>
      <c r="I36" s="22" t="str">
        <f aca="false">IF(D36="","",IFERROR(VLOOKUP(D36,Referência!$B$6:$I$26,5,0),""))</f>
        <v/>
      </c>
      <c r="J36" s="22" t="str">
        <f aca="false">IF(OR(D36="",E36=""),"",IFERROR(1/(1/INDEX($H$5:$K$11,MATCH(E36,$G$5:$G$11,0),VLOOKUP(D36,Referência!$B$6:$I$26,6,0))),""))</f>
        <v/>
      </c>
      <c r="K36" s="23" t="str">
        <f aca="false">IF(OR(D36="",$D$8=""),"",IF(D36=$D$8,"Igual",IF(H36="Sim","Convertido","Diferente")))</f>
        <v/>
      </c>
      <c r="L36" s="23" t="str">
        <f aca="false">IF(OR(F36="",J36=""),"",IF(F36&gt;J36,"Acima",IF(F36&gt;J36*IF($D$9="",1,$D$9),"No limite","OK")))</f>
        <v/>
      </c>
      <c r="M36" s="23" t="str">
        <f aca="false">IF(AND(K36="",L36=""),"",IF(AND(K36="Diferente",L36="Acima"),"Formato e cabo",IF(K36="Diferente","Formato",IF(L36="Acima","Comprimento",IF(L36="No limite","No limite",IF(OR(K36="",L36=""),"Incompleto","OK"))))))</f>
        <v/>
      </c>
      <c r="N36" s="24" t="str">
        <f aca="false">IF(M36="","",IF(M36="Formato e cabo","Ajuste a origem para "&amp;$D$8&amp;" e troque o tipo de ligação do trecho",IF(M36="Formato","Ajuste a saída da origem para "&amp;$D$8&amp;", ou use um scaler antes do destino",IF(M36="Comprimento",IF(E36="HDMI passivo","Use SDI com conversor, HDBaseT ou cabo HDMI óptico",IF(E36="USB","Aproxime o computador ou use extensão USB ativa","Encurte o trecho, use cabo melhor ou passe para fibra")),IF(M36="No limite","Teste com o cabo no caminho real e tenha um reserva",IF(M36="Incompleto","Informe o formato, a ligação e o comprimento","Manter"))))))</f>
        <v/>
      </c>
      <c r="O36" s="34"/>
    </row>
    <row r="38" customFormat="false" ht="21.75" hidden="false" customHeight="true" outlineLevel="0" collapsed="false">
      <c r="B38" s="16" t="s">
        <v>117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</row>
    <row r="39" customFormat="false" ht="19.5" hidden="false" customHeight="true" outlineLevel="0" collapsed="false">
      <c r="B39" s="25" t="s">
        <v>118</v>
      </c>
      <c r="C39" s="25"/>
      <c r="D39" s="25"/>
      <c r="E39" s="25"/>
      <c r="F39" s="8" t="n">
        <f aca="false">COUNTA(C17:C36)</f>
        <v>10</v>
      </c>
    </row>
    <row r="40" customFormat="false" ht="19.5" hidden="false" customHeight="true" outlineLevel="0" collapsed="false">
      <c r="B40" s="25" t="s">
        <v>119</v>
      </c>
      <c r="C40" s="25"/>
      <c r="D40" s="25"/>
      <c r="E40" s="25"/>
      <c r="F40" s="8" t="n">
        <f aca="false">COUNTIF(M17:M36,"OK")</f>
        <v>6</v>
      </c>
    </row>
    <row r="41" customFormat="false" ht="19.5" hidden="false" customHeight="true" outlineLevel="0" collapsed="false">
      <c r="B41" s="25" t="s">
        <v>120</v>
      </c>
      <c r="C41" s="25"/>
      <c r="D41" s="25"/>
      <c r="E41" s="25"/>
      <c r="F41" s="8" t="n">
        <f aca="false">COUNTIF(M17:M36,"Formato")+COUNTIF(M17:M36,"Formato e cabo")</f>
        <v>2</v>
      </c>
    </row>
    <row r="42" customFormat="false" ht="19.5" hidden="false" customHeight="true" outlineLevel="0" collapsed="false">
      <c r="B42" s="25" t="s">
        <v>121</v>
      </c>
      <c r="C42" s="25"/>
      <c r="D42" s="25"/>
      <c r="E42" s="25"/>
      <c r="F42" s="8" t="n">
        <f aca="false">COUNTIF(M17:M36,"Comprimento")+COUNTIF(M17:M36,"Formato e cabo")</f>
        <v>1</v>
      </c>
    </row>
    <row r="43" customFormat="false" ht="19.5" hidden="false" customHeight="true" outlineLevel="0" collapsed="false">
      <c r="B43" s="25" t="s">
        <v>122</v>
      </c>
      <c r="C43" s="25"/>
      <c r="D43" s="25"/>
      <c r="E43" s="25"/>
      <c r="F43" s="8" t="n">
        <f aca="false">COUNTIF(M17:M36,"No limite")</f>
        <v>1</v>
      </c>
    </row>
    <row r="44" customFormat="false" ht="19.5" hidden="false" customHeight="true" outlineLevel="0" collapsed="false">
      <c r="B44" s="25" t="s">
        <v>123</v>
      </c>
      <c r="C44" s="25"/>
      <c r="D44" s="25"/>
      <c r="E44" s="25"/>
      <c r="F44" s="8" t="n">
        <f aca="false">COUNTIF(K17:K36,"Convertido")</f>
        <v>1</v>
      </c>
    </row>
    <row r="45" customFormat="false" ht="19.5" hidden="false" customHeight="true" outlineLevel="0" collapsed="false">
      <c r="B45" s="25" t="s">
        <v>124</v>
      </c>
      <c r="C45" s="25"/>
      <c r="D45" s="25"/>
      <c r="E45" s="25"/>
      <c r="F45" s="8" t="n">
        <f aca="false">IF(COUNT(F17:F36)=0,"",SUM(F17:F36))</f>
        <v>126</v>
      </c>
    </row>
    <row r="46" customFormat="false" ht="21.75" hidden="false" customHeight="true" outlineLevel="0" collapsed="false">
      <c r="B46" s="25" t="s">
        <v>125</v>
      </c>
      <c r="C46" s="25"/>
      <c r="D46" s="25"/>
      <c r="E46" s="25"/>
      <c r="F46" s="26" t="str">
        <f aca="false">IF($D$8="","Informe o padrão do sistema",IF(F39=0,"Liste os trechos",IF(F41&gt;0,"Há origem em formato diferente do padrão: corrija antes do ensaio",IF(F42&gt;0,"Há trecho acima do comprimento recomendado: mude o tipo de ligação",IF(COUNTIF(M17:M36,"Incompleto")&gt;0,"Há trecho incompleto",IF(F43&gt;0,"Há trecho no limite: teste no caminho real e leve reserva","OK"))))))</f>
        <v>Há origem em formato diferente do padrão: corrija antes do ensaio</v>
      </c>
      <c r="G46" s="26"/>
      <c r="H46" s="26"/>
      <c r="I46" s="26"/>
      <c r="J46" s="26"/>
      <c r="K46" s="26"/>
      <c r="L46" s="26"/>
      <c r="M46" s="26"/>
      <c r="N46" s="26"/>
    </row>
    <row r="47" customFormat="false" ht="15" hidden="false" customHeight="true" outlineLevel="0" collapsed="false">
      <c r="B47" s="11" t="s">
        <v>126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</row>
    <row r="49" customFormat="false" ht="21.75" hidden="false" customHeight="true" outlineLevel="0" collapsed="false">
      <c r="B49" s="16" t="s">
        <v>370</v>
      </c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</row>
    <row r="50" customFormat="false" ht="21.75" hidden="false" customHeight="true" outlineLevel="0" collapsed="false">
      <c r="B50" s="8" t="s">
        <v>371</v>
      </c>
      <c r="C50" s="8"/>
      <c r="D50" s="8" t="s">
        <v>372</v>
      </c>
      <c r="E50" s="8"/>
      <c r="F50" s="8"/>
      <c r="G50" s="8"/>
      <c r="H50" s="8"/>
      <c r="I50" s="8"/>
      <c r="J50" s="8"/>
      <c r="K50" s="8"/>
      <c r="L50" s="8"/>
      <c r="M50" s="8" t="s">
        <v>373</v>
      </c>
      <c r="N50" s="8"/>
      <c r="O50" s="8"/>
    </row>
    <row r="51" customFormat="false" ht="21.75" hidden="false" customHeight="true" outlineLevel="0" collapsed="false">
      <c r="B51" s="21" t="s">
        <v>18</v>
      </c>
      <c r="C51" s="21"/>
      <c r="D51" s="7" t="s">
        <v>374</v>
      </c>
      <c r="E51" s="7"/>
      <c r="F51" s="7"/>
      <c r="G51" s="7"/>
      <c r="H51" s="7"/>
      <c r="I51" s="7"/>
      <c r="J51" s="7"/>
      <c r="K51" s="7"/>
      <c r="L51" s="7"/>
      <c r="M51" s="7" t="s">
        <v>375</v>
      </c>
      <c r="N51" s="7"/>
      <c r="O51" s="7"/>
    </row>
    <row r="52" customFormat="false" ht="21.75" hidden="false" customHeight="true" outlineLevel="0" collapsed="false">
      <c r="B52" s="21" t="s">
        <v>20</v>
      </c>
      <c r="C52" s="21"/>
      <c r="D52" s="7" t="s">
        <v>376</v>
      </c>
      <c r="E52" s="7"/>
      <c r="F52" s="7"/>
      <c r="G52" s="7"/>
      <c r="H52" s="7"/>
      <c r="I52" s="7"/>
      <c r="J52" s="7"/>
      <c r="K52" s="7"/>
      <c r="L52" s="7"/>
      <c r="M52" s="7" t="s">
        <v>377</v>
      </c>
      <c r="N52" s="7"/>
      <c r="O52" s="7"/>
    </row>
    <row r="53" customFormat="false" ht="21.75" hidden="false" customHeight="true" outlineLevel="0" collapsed="false">
      <c r="B53" s="21" t="s">
        <v>22</v>
      </c>
      <c r="C53" s="21"/>
      <c r="D53" s="7" t="s">
        <v>378</v>
      </c>
      <c r="E53" s="7"/>
      <c r="F53" s="7"/>
      <c r="G53" s="7"/>
      <c r="H53" s="7"/>
      <c r="I53" s="7"/>
      <c r="J53" s="7"/>
      <c r="K53" s="7"/>
      <c r="L53" s="7"/>
      <c r="M53" s="7" t="s">
        <v>377</v>
      </c>
      <c r="N53" s="7"/>
      <c r="O53" s="7"/>
    </row>
    <row r="54" customFormat="false" ht="21.75" hidden="false" customHeight="true" outlineLevel="0" collapsed="false">
      <c r="B54" s="21" t="s">
        <v>24</v>
      </c>
      <c r="C54" s="21"/>
      <c r="D54" s="7" t="s">
        <v>379</v>
      </c>
      <c r="E54" s="7"/>
      <c r="F54" s="7"/>
      <c r="G54" s="7"/>
      <c r="H54" s="7"/>
      <c r="I54" s="7"/>
      <c r="J54" s="7"/>
      <c r="K54" s="7"/>
      <c r="L54" s="7"/>
      <c r="M54" s="7" t="s">
        <v>380</v>
      </c>
      <c r="N54" s="7"/>
      <c r="O54" s="7"/>
    </row>
    <row r="55" customFormat="false" ht="21.75" hidden="false" customHeight="true" outlineLevel="0" collapsed="false">
      <c r="B55" s="21" t="s">
        <v>381</v>
      </c>
      <c r="C55" s="21"/>
      <c r="D55" s="7" t="s">
        <v>382</v>
      </c>
      <c r="E55" s="7"/>
      <c r="F55" s="7"/>
      <c r="G55" s="7"/>
      <c r="H55" s="7"/>
      <c r="I55" s="7"/>
      <c r="J55" s="7"/>
      <c r="K55" s="7"/>
      <c r="L55" s="7"/>
      <c r="M55" s="7" t="s">
        <v>383</v>
      </c>
      <c r="N55" s="7"/>
      <c r="O55" s="7"/>
    </row>
  </sheetData>
  <mergeCells count="56">
    <mergeCell ref="B1:O1"/>
    <mergeCell ref="B2:O2"/>
    <mergeCell ref="B4:C4"/>
    <mergeCell ref="D4:F4"/>
    <mergeCell ref="L4:O4"/>
    <mergeCell ref="B5:C5"/>
    <mergeCell ref="D5:F5"/>
    <mergeCell ref="L5:O5"/>
    <mergeCell ref="B6:C6"/>
    <mergeCell ref="D6:F6"/>
    <mergeCell ref="L6:O6"/>
    <mergeCell ref="B7:C7"/>
    <mergeCell ref="D7:F7"/>
    <mergeCell ref="L7:O7"/>
    <mergeCell ref="B8:C8"/>
    <mergeCell ref="D8:F8"/>
    <mergeCell ref="L8:O8"/>
    <mergeCell ref="B9:C9"/>
    <mergeCell ref="D9:F9"/>
    <mergeCell ref="L9:O9"/>
    <mergeCell ref="B10:F10"/>
    <mergeCell ref="L10:O10"/>
    <mergeCell ref="B11:F11"/>
    <mergeCell ref="L11:O11"/>
    <mergeCell ref="B13:O13"/>
    <mergeCell ref="B16:O16"/>
    <mergeCell ref="B38:O38"/>
    <mergeCell ref="B39:E39"/>
    <mergeCell ref="B40:E40"/>
    <mergeCell ref="B41:E41"/>
    <mergeCell ref="B42:E42"/>
    <mergeCell ref="B43:E43"/>
    <mergeCell ref="B44:E44"/>
    <mergeCell ref="B45:E45"/>
    <mergeCell ref="B46:E46"/>
    <mergeCell ref="F46:N46"/>
    <mergeCell ref="B47:O47"/>
    <mergeCell ref="B49:O49"/>
    <mergeCell ref="B50:C50"/>
    <mergeCell ref="D50:L50"/>
    <mergeCell ref="M50:O50"/>
    <mergeCell ref="B51:C51"/>
    <mergeCell ref="D51:L51"/>
    <mergeCell ref="M51:O51"/>
    <mergeCell ref="B52:C52"/>
    <mergeCell ref="D52:L52"/>
    <mergeCell ref="M52:O52"/>
    <mergeCell ref="B53:C53"/>
    <mergeCell ref="D53:L53"/>
    <mergeCell ref="M53:O53"/>
    <mergeCell ref="B54:C54"/>
    <mergeCell ref="D54:L54"/>
    <mergeCell ref="M54:O54"/>
    <mergeCell ref="B55:C55"/>
    <mergeCell ref="D55:L55"/>
    <mergeCell ref="M55:O55"/>
  </mergeCells>
  <conditionalFormatting sqref="K17:K36">
    <cfRule type="cellIs" priority="2" operator="equal" aboveAverage="0" equalAverage="0" bottom="0" percent="0" rank="0" text="" dxfId="0">
      <formula>"Igual"</formula>
    </cfRule>
    <cfRule type="cellIs" priority="3" operator="equal" aboveAverage="0" equalAverage="0" bottom="0" percent="0" rank="0" text="" dxfId="1">
      <formula>"Convertido"</formula>
    </cfRule>
    <cfRule type="cellIs" priority="4" operator="equal" aboveAverage="0" equalAverage="0" bottom="0" percent="0" rank="0" text="" dxfId="2">
      <formula>"Diferente"</formula>
    </cfRule>
  </conditionalFormatting>
  <conditionalFormatting sqref="L17:L36">
    <cfRule type="cellIs" priority="5" operator="equal" aboveAverage="0" equalAverage="0" bottom="0" percent="0" rank="0" text="" dxfId="0">
      <formula>"OK"</formula>
    </cfRule>
    <cfRule type="cellIs" priority="6" operator="equal" aboveAverage="0" equalAverage="0" bottom="0" percent="0" rank="0" text="" dxfId="1">
      <formula>"No limite"</formula>
    </cfRule>
    <cfRule type="cellIs" priority="7" operator="equal" aboveAverage="0" equalAverage="0" bottom="0" percent="0" rank="0" text="" dxfId="2">
      <formula>"Acima"</formula>
    </cfRule>
  </conditionalFormatting>
  <conditionalFormatting sqref="M17:M36">
    <cfRule type="cellIs" priority="8" operator="equal" aboveAverage="0" equalAverage="0" bottom="0" percent="0" rank="0" text="" dxfId="0">
      <formula>"OK"</formula>
    </cfRule>
    <cfRule type="cellIs" priority="9" operator="equal" aboveAverage="0" equalAverage="0" bottom="0" percent="0" rank="0" text="" dxfId="1">
      <formula>"No limite"</formula>
    </cfRule>
    <cfRule type="cellIs" priority="10" operator="equal" aboveAverage="0" equalAverage="0" bottom="0" percent="0" rank="0" text="" dxfId="1">
      <formula>"Incompleto"</formula>
    </cfRule>
    <cfRule type="cellIs" priority="11" operator="equal" aboveAverage="0" equalAverage="0" bottom="0" percent="0" rank="0" text="" dxfId="2">
      <formula>"Formato"</formula>
    </cfRule>
    <cfRule type="cellIs" priority="12" operator="equal" aboveAverage="0" equalAverage="0" bottom="0" percent="0" rank="0" text="" dxfId="2">
      <formula>"Comprimento"</formula>
    </cfRule>
    <cfRule type="cellIs" priority="13" operator="equal" aboveAverage="0" equalAverage="0" bottom="0" percent="0" rank="0" text="" dxfId="2">
      <formula>"Formato e cabo"</formula>
    </cfRule>
  </conditionalFormatting>
  <conditionalFormatting sqref="F46:N46">
    <cfRule type="cellIs" priority="14" operator="equal" aboveAverage="0" equalAverage="0" bottom="0" percent="0" rank="0" text="" dxfId="0">
      <formula>"OK"</formula>
    </cfRule>
    <cfRule type="cellIs" priority="15" operator="notEqual" aboveAverage="0" equalAverage="0" bottom="0" percent="0" rank="0" text="" dxfId="1">
      <formula>"OK"</formula>
    </cfRule>
  </conditionalFormatting>
  <dataValidations count="8">
    <dataValidation allowBlank="true" error="Digite uma data no formato dia/mês/ano." errorStyle="stop" errorTitle="Data inválida" operator="greaterThanOrEqual" showDropDown="false" showErrorMessage="true" showInputMessage="false" sqref="D6" type="date">
      <formula1>36526</formula1>
      <formula2>0</formula2>
    </dataValidation>
    <dataValidation allowBlank="true" error="Escolha uma das opções da lista." errorStyle="stop" errorTitle="Valor inválido" operator="between" prompt="O formato em que todas as origens devem estar, como aparece nos menus." promptTitle="Opções" showDropDown="false" showErrorMessage="true" showInputMessage="true" sqref="D8" type="list">
      <formula1>"720p50,720p59.94,720p60,1080i50,1080i59.94,1080i60,1080p23.98,1080p24,1080p25,1080p29.97,1080p30,1080p50,1080p59.94,1080p60,2160p25,2160p29.97,2160p30,2160p50,2160p59.94,2160p60,Outro"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D9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H5:K11" type="decimal">
      <formula1>-1000000000</formula1>
      <formula2>1000000000</formula2>
    </dataValidation>
    <dataValidation allowBlank="true" error="Escolha uma das opções da lista." errorStyle="stop" errorTitle="Valor inválido" operator="between" prompt="O formato que a origem envia, como aparece no menu dela." promptTitle="Opções" showDropDown="false" showErrorMessage="true" showInputMessage="true" sqref="D17:D36" type="list">
      <formula1>"720p50,720p59.94,720p60,1080i50,1080i59.94,1080i60,1080p23.98,1080p24,1080p25,1080p29.97,1080p30,1080p50,1080p59.94,1080p60,2160p25,2160p29.97,2160p30,2160p50,2160p59.94,2160p60,Outro"</formula1>
      <formula2>0</formula2>
    </dataValidation>
    <dataValidation allowBlank="true" error="Escolha uma das opções da lista." errorStyle="stop" errorTitle="Valor inválido" operator="between" prompt="O tipo de cabo ou de extensor do trecho." promptTitle="Opções" showDropDown="false" showErrorMessage="true" showInputMessage="true" sqref="E17:E36" type="list">
      <formula1>"HDMI passivo,HDMI ativo ou óptico,SDI,HDBaseT,Fibra,Rede (NDI),USB"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F17:F36" type="decimal">
      <formula1>-1000000000</formula1>
      <formula2>1000000000</formula2>
    </dataValidation>
    <dataValidation allowBlank="true" error="Escolha uma das opções da lista." errorStyle="stop" errorTitle="Valor inválido" operator="between" prompt="O destino tem conversor de formato na entrada?" promptTitle="Opções" showDropDown="false" showErrorMessage="true" showInputMessage="true" sqref="H17:H36" type="list">
      <formula1>"Sim,Não"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2026-10-01T12:59:29Z</dcterms:created>
  <dc:creator>Estudos: Técnico em áudio e vídeo</dc:creator>
  <dc:description/>
  <dc:language>pt-BR</dc:language>
  <cp:lastModifiedBy/>
  <dcterms:modified xsi:type="dcterms:W3CDTF">2026-10-01T12:59:30Z</dcterms:modified>
  <cp:revision>0</cp:revision>
  <dc:subject/>
  <dc:title>Sinais e cabos de vídeo — modelo de mapa de sinais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