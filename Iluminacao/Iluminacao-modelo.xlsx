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Plano de luz" sheetId="2" state="visible" r:id="rId4"/>
    <sheet name="Carga elétrica" sheetId="3" state="visible" r:id="rId5"/>
    <sheet name="DMX" sheetId="4" state="visible" r:id="rId6"/>
    <sheet name="Referência" sheetId="5" state="visible" r:id="rId7"/>
    <sheet name="Checklist" sheetId="6" state="visible" r:id="rId8"/>
    <sheet name="Exemplo - Plano" sheetId="7" state="visible" r:id="rId9"/>
  </sheets>
  <definedNames>
    <definedName function="false" hidden="false" localSheetId="2" name="_xlnm.Print_Area" vbProcedure="false">'Carga elétrica'!$B$1:$M$57</definedName>
    <definedName function="false" hidden="false" localSheetId="5" name="_xlnm.Print_Area" vbProcedure="false">Checklist!$B$1:$F$20</definedName>
    <definedName function="false" hidden="false" localSheetId="3" name="_xlnm.Print_Area" vbProcedure="false">DMX!$B$1:$L$58</definedName>
    <definedName function="false" hidden="false" localSheetId="6" name="_xlnm.Print_Area" vbProcedure="false">'Exemplo - Plano'!$B$1:$R$62</definedName>
    <definedName function="false" hidden="false" localSheetId="0" name="_xlnm.Print_Area" vbProcedure="false">Instruções!$B$1:$C$38</definedName>
    <definedName function="false" hidden="false" localSheetId="1" name="_xlnm.Print_Area" vbProcedure="false">'Plano de luz'!$B$1:$R$54</definedName>
    <definedName function="false" hidden="false" localSheetId="4" name="_xlnm.Print_Area" vbProcedure="false">Referência!$B$1:$E$84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36" authorId="0">
      <text>
        <r>
          <rPr>
            <sz val="10"/>
            <rFont val="Arial"/>
            <family val="2"/>
          </rPr>
          <t xml:space="preserve">Leitura com todas as luzes do alvo acesas: principal mais preenchimento.</t>
        </r>
      </text>
    </comment>
    <comment ref="E36" authorId="0">
      <text>
        <r>
          <rPr>
            <sz val="10"/>
            <rFont val="Arial"/>
            <family val="2"/>
          </rPr>
          <t xml:space="preserve">Leitura com a principal apagada ou tampada: só o preenchimento.</t>
        </r>
      </text>
    </comment>
    <comment ref="F36" authorId="0">
      <text>
        <r>
          <rPr>
            <sz val="10"/>
            <rFont val="Arial"/>
            <family val="2"/>
          </rPr>
          <t xml:space="preserve">Leitura no fundo, atrás da pessoa, com o sensor voltado para a câmera.</t>
        </r>
      </text>
    </comment>
    <comment ref="G11" authorId="0">
      <text>
        <r>
          <rPr>
            <sz val="10"/>
            <rFont val="Arial"/>
            <family val="2"/>
          </rPr>
          <t xml:space="preserve">Distância horizontal, no chão, entre o ponto embaixo do refletor e a pessoa, em metros.</t>
        </r>
      </text>
    </comment>
    <comment ref="H11" authorId="0">
      <text>
        <r>
          <rPr>
            <sz val="10"/>
            <rFont val="Arial"/>
            <family val="2"/>
          </rPr>
          <t xml:space="preserve">Altura do refletor acima do rosto (e não do chão), em metros.
Rosto de pessoa em pé: cerca de 1,6 m do chão do palco.</t>
        </r>
      </text>
    </comment>
    <comment ref="I36" authorId="0">
      <text>
        <r>
          <rPr>
            <sz val="10"/>
            <rFont val="Arial"/>
            <family val="2"/>
          </rPr>
          <t xml:space="preserve">Quantos stops o fundo está abaixo do rosto. Ponto de partida: de 1 a 2.</t>
        </r>
      </text>
    </comment>
    <comment ref="L11" authorId="0">
      <text>
        <r>
          <rPr>
            <sz val="10"/>
            <rFont val="Arial"/>
            <family val="2"/>
          </rPr>
          <t xml:space="preserve">Ângulo acima da linha dos olhos, calculado pela altura e pela distância.</t>
        </r>
      </text>
    </comment>
    <comment ref="M11" authorId="0">
      <text>
        <r>
          <rPr>
            <sz val="10"/>
            <rFont val="Arial"/>
            <family val="2"/>
          </rPr>
          <t xml:space="preserve">Principal: OK de 30° a 45°. Preenchimento: de 25° a 45°. Contraluz: de 45° a 60°.
Perto da faixa: Atenção. Fundo, plateia e efeito não são avaliados.</t>
        </r>
      </text>
    </comment>
    <comment ref="N11" authorId="0">
      <text>
        <r>
          <rPr>
            <sz val="10"/>
            <rFont val="Arial"/>
            <family val="2"/>
          </rPr>
          <t xml:space="preserve">Distâncias horizontais que levam este refletor para a faixa OK da função dele, na altura anotada.</t>
        </r>
      </text>
    </comment>
    <comment ref="P11" authorId="0">
      <text>
        <r>
          <rPr>
            <sz val="10"/>
            <rFont val="Arial"/>
            <family val="2"/>
          </rPr>
          <t xml:space="preserve">Só para principal e preenchimento: cor igual à referência (dentro da tolerância) e IRC acima do mínimo.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9" authorId="0">
      <text>
        <r>
          <rPr>
            <sz val="10"/>
            <rFont val="Arial"/>
            <family val="2"/>
          </rPr>
          <t xml:space="preserve">Tensão medida ou informada da tomada: 127 V ou 220 V.
Na mesma potência, a corrente em 127 V é quase o dobro da corrente em 220 V.</t>
        </r>
      </text>
    </comment>
    <comment ref="F9" authorId="0">
      <text>
        <r>
          <rPr>
            <sz val="10"/>
            <rFont val="Arial"/>
            <family val="2"/>
          </rPr>
          <t xml:space="preserve">Valor em ampères escrito no disjuntor do quadro que protege esta tomada.</t>
        </r>
      </text>
    </comment>
    <comment ref="J9" authorId="0">
      <text>
        <r>
          <rPr>
            <sz val="10"/>
            <rFont val="Arial"/>
            <family val="2"/>
          </rPr>
          <t xml:space="preserve">Tensão × disjuntor × limite de uso. É a potência que o circuito aguenta por horas, com folga.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H9" authorId="0">
      <text>
        <r>
          <rPr>
            <sz val="10"/>
            <rFont val="Arial"/>
            <family val="2"/>
          </rPr>
          <t xml:space="preserve">Primeiro canal que o aparelho escuta, ajustado no menu ou nas chaves DIP.</t>
        </r>
      </text>
    </comment>
    <comment ref="K9" authorId="0">
      <text>
        <r>
          <rPr>
            <sz val="10"/>
            <rFont val="Arial"/>
            <family val="2"/>
          </rPr>
          <t xml:space="preserve">Conflito: os canais deste aparelho se sobrepõem aos de outro no mesmo universo.
Se for de propósito (dois aparelhos iguais, no mesmo modo, respondendo juntos), anote na observação.</t>
        </r>
      </text>
    </comment>
  </commentList>
</comments>
</file>

<file path=xl/sharedStrings.xml><?xml version="1.0" encoding="utf-8"?>
<sst xmlns="http://schemas.openxmlformats.org/spreadsheetml/2006/main" count="659" uniqueCount="489">
  <si>
    <t xml:space="preserve">Iluminação — como usar esta planilha</t>
  </si>
  <si>
    <t xml:space="preserve">Plano de luz com ângulos e contraste, carga elétrica por circuito e endereçamento DMX, para montar a luz do evento.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</si>
  <si>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</si>
  <si>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</si>
  <si>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</si>
  <si>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</si>
  <si>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</si>
  <si>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</si>
  <si>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</si>
  <si>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</si>
  <si>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Função do refletor e circuito do aparelho aceitam só as opções da lista.</t>
  </si>
  <si>
    <t xml:space="preserve">Números</t>
  </si>
  <si>
    <t xml:space="preserve">Digite só o número: 3,2 para metros, 5600 para kelvins, 800 para lux. Sem unidade.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</si>
  <si>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</si>
  <si>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</si>
  <si>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</si>
  <si>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</si>
  <si>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Aba Carga elétrica: cadastre os circuitos do local e liste os aparelhos. Corrija a distribuição antes de ligar.</t>
  </si>
  <si>
    <t xml:space="preserve">2</t>
  </si>
  <si>
    <t xml:space="preserve">Aba Plano de luz: confira os cinco valores de referência no alto (cor, tolerância, IRC, luz mínima e razão máxima).</t>
  </si>
  <si>
    <t xml:space="preserve">3</t>
  </si>
  <si>
    <t xml:space="preserve">Aba Plano de luz: liste os refletores, com a função, a distância horizontal e a altura acima do rosto.</t>
  </si>
  <si>
    <t xml:space="preserve">4</t>
  </si>
  <si>
    <t xml:space="preserve">Veja o ângulo e a situação de cada um. Mova os refletores que estão fora da faixa e troque os números.</t>
  </si>
  <si>
    <t xml:space="preserve">5</t>
  </si>
  <si>
    <t xml:space="preserve">Com a luz apontada, meça o lado claro, o lado escuro e o fundo de cada alvo e anote na medição no rosto.</t>
  </si>
  <si>
    <t xml:space="preserve">6</t>
  </si>
  <si>
    <t xml:space="preserve">Aba DMX: anote o modo, os canais e o endereço de cada aparelho e confira que não há conflito.</t>
  </si>
  <si>
    <t xml:space="preserve">7</t>
  </si>
  <si>
    <t xml:space="preserve">Aba Checklist: confira os doze itens antes do ajuste final das câmeras.</t>
  </si>
  <si>
    <t xml:space="preserve">Abas da planilha</t>
  </si>
  <si>
    <t xml:space="preserve">Plano de luz</t>
  </si>
  <si>
    <t xml:space="preserve">Até 20 refletores, com ângulo vertical, situação, faixa de distância, cor e IRC; medição no rosto de até 6 alvos.</t>
  </si>
  <si>
    <t xml:space="preserve">Carga elétrica</t>
  </si>
  <si>
    <t xml:space="preserve">Até 8 circuitos e 24 aparelhos: carga, corrente, uso do disjuntor e alerta de sobrecarga.</t>
  </si>
  <si>
    <t xml:space="preserve">DMX</t>
  </si>
  <si>
    <t xml:space="preserve">Até 24 aparelhos: último canal, próximo endereço livre, conflito; conversão de endereço em chaves DIP.</t>
  </si>
  <si>
    <t xml:space="preserve">Referência</t>
  </si>
  <si>
    <t xml:space="preserve">Três pontos, temperatura de cor, IRC, luz no rosto, razão de contraste, ângulos, facho, corrente e DMX.</t>
  </si>
  <si>
    <t xml:space="preserve">Checklist</t>
  </si>
  <si>
    <t xml:space="preserve">Os doze itens do treinamento, com percentual atendido.</t>
  </si>
  <si>
    <t xml:space="preserve">Exemplo - Plano</t>
  </si>
  <si>
    <t xml:space="preserve">O plano de luz do exemplo 1 do treinamento, antes da correção, com a medição antes e depois.</t>
  </si>
  <si>
    <t xml:space="preserve">Regras e premissas do modelo</t>
  </si>
  <si>
    <t xml:space="preserve">Ângulo</t>
  </si>
  <si>
    <t xml:space="preserve">Calculado pela altura acima do rosto e pela distância horizontal até a pessoa, arredondado para o grau inteiro.</t>
  </si>
  <si>
    <t xml:space="preserve">Faixas de ângulo</t>
  </si>
  <si>
    <t xml:space="preserve">Principal: OK de 30° a 45°. Preenchimento: de 25° a 45°. Contraluz: de 45° a 60°. Perto da faixa: Atenção. São pontos de partida: o que decide é a imagem no monitor.</t>
  </si>
  <si>
    <t xml:space="preserve">Cor e IRC</t>
  </si>
  <si>
    <t xml:space="preserve">Avaliados só nas luzes de rosto (principal e preenchimento). Contraluz, fundo, plateia e efeito podem ter outra cor.</t>
  </si>
  <si>
    <t xml:space="preserve">Razão de contraste</t>
  </si>
  <si>
    <t xml:space="preserve">Lado claro (tudo aceso) dividido pelo lado escuro (sem a principal). Abaixo de 1,5: chapado. Acima do máximo: contraste alto.</t>
  </si>
  <si>
    <t xml:space="preserve">Fundo</t>
  </si>
  <si>
    <t xml:space="preserve">Fundo menos de 1 stop abaixo do rosto recebe aviso de fundo claro.</t>
  </si>
  <si>
    <t xml:space="preserve">Corrente = potência ÷ tensão. Atenção acima do limite de uso (80%, como prática); sobrecarga acima de 100% do disjuntor.</t>
  </si>
  <si>
    <t xml:space="preserve">Exemplos</t>
  </si>
  <si>
    <t xml:space="preserve">Os dados da aba de exemplo são ilustrativos, criados para este material.</t>
  </si>
  <si>
    <t xml:space="preserve">Plano de luz — refletores, ângulos e contraste</t>
  </si>
  <si>
    <t xml:space="preserve">Preencha as células em amarelo-claro. As células cinza são calculadas. Medidas em metros, a partir do rosto da pessoa.</t>
  </si>
  <si>
    <t xml:space="preserve">Evento</t>
  </si>
  <si>
    <t xml:space="preserve">Temperatura de referência (K)</t>
  </si>
  <si>
    <t xml:space="preserve">A cor de todas as luzes de rosto: 3.200 K em sala com halógenas, 5.600 K com janela ou telão de LED.</t>
  </si>
  <si>
    <t xml:space="preserve">tan(k−0,5°)</t>
  </si>
  <si>
    <t xml:space="preserve">Local</t>
  </si>
  <si>
    <t xml:space="preserve">Tolerância de cor (K)</t>
  </si>
  <si>
    <t xml:space="preserve">Diferença que ainda conta como a mesma cor. Ponto de partida: 200 a 300 K.</t>
  </si>
  <si>
    <t xml:space="preserve">Data</t>
  </si>
  <si>
    <t xml:space="preserve">IRC mínimo no rosto</t>
  </si>
  <si>
    <t xml:space="preserve">Luz de rosto com IRC abaixo disso recebe aviso. Ponto de partida: 90.</t>
  </si>
  <si>
    <t xml:space="preserve">Operador</t>
  </si>
  <si>
    <t xml:space="preserve">Luz mínima no rosto (lux)</t>
  </si>
  <si>
    <t xml:space="preserve">Ponto de partida: 500 lux. Câmera de sensor grande trabalha com menos.</t>
  </si>
  <si>
    <t xml:space="preserve">Câmeras</t>
  </si>
  <si>
    <t xml:space="preserve">Razão máxima (claro ÷ escuro)</t>
  </si>
  <si>
    <t xml:space="preserve">Ponto de partida para fala e culto: até 3, com alvo perto de 2.</t>
  </si>
  <si>
    <t xml:space="preserve">Refletores</t>
  </si>
  <si>
    <t xml:space="preserve">nº</t>
  </si>
  <si>
    <t xml:space="preserve">Refletor</t>
  </si>
  <si>
    <t xml:space="preserve">Posição</t>
  </si>
  <si>
    <t xml:space="preserve">Alvo</t>
  </si>
  <si>
    <t xml:space="preserve">Função</t>
  </si>
  <si>
    <t xml:space="preserve">Distância</t>
  </si>
  <si>
    <t xml:space="preserve">Altura</t>
  </si>
  <si>
    <t xml:space="preserve">Intensidade</t>
  </si>
  <si>
    <t xml:space="preserve">Cor</t>
  </si>
  <si>
    <t xml:space="preserve">IRC</t>
  </si>
  <si>
    <t xml:space="preserve">Situação do ângulo</t>
  </si>
  <si>
    <t xml:space="preserve">Distância mín.</t>
  </si>
  <si>
    <t xml:space="preserve">Distância máx.</t>
  </si>
  <si>
    <t xml:space="preserve">O que fazer</t>
  </si>
  <si>
    <t xml:space="preserve">Observação</t>
  </si>
  <si>
    <t xml:space="preserve">tipo e número</t>
  </si>
  <si>
    <t xml:space="preserve">onde está preso</t>
  </si>
  <si>
    <t xml:space="preserve">quem ou o quê</t>
  </si>
  <si>
    <t xml:space="preserve">lista</t>
  </si>
  <si>
    <t xml:space="preserve">m, na horizontal</t>
  </si>
  <si>
    <t xml:space="preserve">m, acima do rosto</t>
  </si>
  <si>
    <t xml:space="preserve">% no dimmer</t>
  </si>
  <si>
    <t xml:space="preserve">K</t>
  </si>
  <si>
    <t xml:space="preserve">da ficha</t>
  </si>
  <si>
    <t xml:space="preserve">graus</t>
  </si>
  <si>
    <t xml:space="preserve">m, para a faixa</t>
  </si>
  <si>
    <t xml:space="preserve">luz de rosto</t>
  </si>
  <si>
    <t xml:space="preserve">Ex.</t>
  </si>
  <si>
    <t xml:space="preserve">Fresnel LED 1</t>
  </si>
  <si>
    <t xml:space="preserve">Vara de frente</t>
  </si>
  <si>
    <t xml:space="preserve">Púlpito</t>
  </si>
  <si>
    <t xml:space="preserve">Principal</t>
  </si>
  <si>
    <t xml:space="preserve">OK</t>
  </si>
  <si>
    <t xml:space="preserve">Manter</t>
  </si>
  <si>
    <t xml:space="preserve">Medição no rosto, por alvo (sensor no lugar do rosto, voltado para a câmera)</t>
  </si>
  <si>
    <t xml:space="preserve">Lado claro</t>
  </si>
  <si>
    <t xml:space="preserve">Lado escuro</t>
  </si>
  <si>
    <t xml:space="preserve">Razão</t>
  </si>
  <si>
    <t xml:space="preserve">Diferença</t>
  </si>
  <si>
    <t xml:space="preserve">Fundo abaixo</t>
  </si>
  <si>
    <t xml:space="preserve">Situação</t>
  </si>
  <si>
    <t xml:space="preserve">lux, tudo aceso</t>
  </si>
  <si>
    <t xml:space="preserve">lux, sem a principal</t>
  </si>
  <si>
    <t xml:space="preserve">lux</t>
  </si>
  <si>
    <t xml:space="preserve">claro ÷ escuro</t>
  </si>
  <si>
    <t xml:space="preserve">stops</t>
  </si>
  <si>
    <t xml:space="preserve">Resumo automático</t>
  </si>
  <si>
    <t xml:space="preserve">Refletores registrados</t>
  </si>
  <si>
    <t xml:space="preserve">Luzes de rosto (principal e preenchimento)</t>
  </si>
  <si>
    <t xml:space="preserve">Contraluzes</t>
  </si>
  <si>
    <t xml:space="preserve">Ângulos na faixa (OK)</t>
  </si>
  <si>
    <t xml:space="preserve">Ângulos a conferir ou corrigir</t>
  </si>
  <si>
    <t xml:space="preserve">Luzes de rosto com cor ou IRC fora</t>
  </si>
  <si>
    <t xml:space="preserve">Alvos medidos</t>
  </si>
  <si>
    <t xml:space="preserve">Alvos fora da referência</t>
  </si>
  <si>
    <t xml:space="preserve">Aviso</t>
  </si>
  <si>
    <t xml:space="preserve">Carga elétrica — quanto cabe em cada circuito</t>
  </si>
  <si>
    <t xml:space="preserve">Cadastre os circuitos (tensão e disjuntor) e depois os aparelhos. Corrente = potência ÷ tensão.</t>
  </si>
  <si>
    <t xml:space="preserve">Evento ou local</t>
  </si>
  <si>
    <t xml:space="preserve">Limite de uso contínuo</t>
  </si>
  <si>
    <t xml:space="preserve">Fração do disjuntor para carga ligada por horas. Prática comum: 80%.</t>
  </si>
  <si>
    <t xml:space="preserve">Quem define circuitos e mexe no quadro é um eletricista habilitado. Na dúvida sobre uma tomada, pergunte ao responsável pelo prédio.</t>
  </si>
  <si>
    <t xml:space="preserve">Responsável</t>
  </si>
  <si>
    <t xml:space="preserve">Circuitos</t>
  </si>
  <si>
    <t xml:space="preserve">#</t>
  </si>
  <si>
    <t xml:space="preserve">Circuito</t>
  </si>
  <si>
    <t xml:space="preserve">Onde fica</t>
  </si>
  <si>
    <t xml:space="preserve">Tensão</t>
  </si>
  <si>
    <t xml:space="preserve">Disjuntor</t>
  </si>
  <si>
    <t xml:space="preserve">Carga</t>
  </si>
  <si>
    <t xml:space="preserve">Corrente</t>
  </si>
  <si>
    <t xml:space="preserve">Uso</t>
  </si>
  <si>
    <t xml:space="preserve">Cabe até</t>
  </si>
  <si>
    <t xml:space="preserve">Sobra</t>
  </si>
  <si>
    <t xml:space="preserve">nome curto (A, B, palco 1)</t>
  </si>
  <si>
    <t xml:space="preserve">tomada, quadro, disjuntor nº</t>
  </si>
  <si>
    <t xml:space="preserve">V (127 ou 220)</t>
  </si>
  <si>
    <t xml:space="preserve">A</t>
  </si>
  <si>
    <t xml:space="preserve">W, soma dos aparelhos</t>
  </si>
  <si>
    <t xml:space="preserve">% do disjuntor</t>
  </si>
  <si>
    <t xml:space="preserve">W, no limite de uso</t>
  </si>
  <si>
    <t xml:space="preserve">W</t>
  </si>
  <si>
    <t xml:space="preserve">Tomada do palco, lado esquerdo</t>
  </si>
  <si>
    <t xml:space="preserve">79%</t>
  </si>
  <si>
    <t xml:space="preserve">Aparelhos</t>
  </si>
  <si>
    <t xml:space="preserve">Aparelho</t>
  </si>
  <si>
    <t xml:space="preserve">Quantidade</t>
  </si>
  <si>
    <t xml:space="preserve">Potência</t>
  </si>
  <si>
    <t xml:space="preserve">Potência total</t>
  </si>
  <si>
    <t xml:space="preserve">tipo e modelo</t>
  </si>
  <si>
    <t xml:space="preserve">nome da lista</t>
  </si>
  <si>
    <t xml:space="preserve">unidades</t>
  </si>
  <si>
    <t xml:space="preserve">W, por aparelho</t>
  </si>
  <si>
    <t xml:space="preserve">Use a potência ou a corrente máxima da etiqueta, e não a “equivalência” da propaganda.</t>
  </si>
  <si>
    <t xml:space="preserve">Fresnel halógeno de 1.000 W</t>
  </si>
  <si>
    <t xml:space="preserve">Carga total ligada (W)</t>
  </si>
  <si>
    <t xml:space="preserve">Corrente total em 127 V, se fosse um circuito só (A)</t>
  </si>
  <si>
    <t xml:space="preserve">Circuitos em sobrecarga</t>
  </si>
  <si>
    <t xml:space="preserve">Circuitos acima do limite de uso</t>
  </si>
  <si>
    <t xml:space="preserve">Aparelhos sem circuito válido</t>
  </si>
  <si>
    <t xml:space="preserve">O limite de 80% é prática comum para carga contínua, e não norma. Tomada, extensão, régua e canal de dimmer têm cada um o seu limite, que pode ser menor que o do disjuntor.</t>
  </si>
  <si>
    <t xml:space="preserve">DMX — endereçamento dos aparelhos</t>
  </si>
  <si>
    <t xml:space="preserve">Para cada aparelho: universo, modo, número de canais e endereço inicial. A planilha confere a sobreposição.</t>
  </si>
  <si>
    <t xml:space="preserve">Um universo tem 512 canais. Cada aparelho ocupa do endereço inicial até endereço + canais − 1. O número de canais de cada modo está no manual do aparelho.</t>
  </si>
  <si>
    <t xml:space="preserve">Mesa ou interface</t>
  </si>
  <si>
    <t xml:space="preserve">Aparelhos na linha DMX</t>
  </si>
  <si>
    <t xml:space="preserve">Universo</t>
  </si>
  <si>
    <t xml:space="preserve">Modo</t>
  </si>
  <si>
    <t xml:space="preserve">Canais</t>
  </si>
  <si>
    <t xml:space="preserve">Endereço inicial</t>
  </si>
  <si>
    <t xml:space="preserve">Último canal</t>
  </si>
  <si>
    <t xml:space="preserve">Próximo livre</t>
  </si>
  <si>
    <t xml:space="preserve">onde está</t>
  </si>
  <si>
    <t xml:space="preserve">1, 2…</t>
  </si>
  <si>
    <t xml:space="preserve">como no menu</t>
  </si>
  <si>
    <t xml:space="preserve">nº do modo</t>
  </si>
  <si>
    <t xml:space="preserve">1 a 512</t>
  </si>
  <si>
    <t xml:space="preserve">PAR LED 1</t>
  </si>
  <si>
    <t xml:space="preserve">Vara de contraluz</t>
  </si>
  <si>
    <t xml:space="preserve">7 canais (7CH)</t>
  </si>
  <si>
    <t xml:space="preserve">Aparelhos registrados</t>
  </si>
  <si>
    <t xml:space="preserve">Aparelhos no universo 1</t>
  </si>
  <si>
    <t xml:space="preserve">Canais ocupados no universo 1</t>
  </si>
  <si>
    <t xml:space="preserve">Maior canal ocupado</t>
  </si>
  <si>
    <t xml:space="preserve">Aparelhos em conflito</t>
  </si>
  <si>
    <t xml:space="preserve">Aparelhos fora do universo</t>
  </si>
  <si>
    <t xml:space="preserve">Endereço em chaves DIP (para aparelhos sem visor)</t>
  </si>
  <si>
    <t xml:space="preserve">Endereço desejado</t>
  </si>
  <si>
    <t xml:space="preserve">A conta vai da chave de maior valor para a menor: liga a chave quando o resto ainda comporta o valor dela.</t>
  </si>
  <si>
    <t xml:space="preserve">Chave</t>
  </si>
  <si>
    <t xml:space="preserve">Valor</t>
  </si>
  <si>
    <t xml:space="preserve">Resto</t>
  </si>
  <si>
    <t xml:space="preserve">Exemplo: endereço 37 = chaves 6 (32), 3 (4) e 1 (1) ligadas. Em alguns aparelhos a chave 10 escolhe outra função: confira o manual.</t>
  </si>
  <si>
    <t xml:space="preserve">Conferência: soma das chaves ligadas</t>
  </si>
  <si>
    <t xml:space="preserve">Referência — valores típicos</t>
  </si>
  <si>
    <t xml:space="preserve">Valores de referência, para servir de ponto de partida. Confira o manual e a ficha técnica do seu equipamento.</t>
  </si>
  <si>
    <t xml:space="preserve">Os três pontos de luz</t>
  </si>
  <si>
    <t xml:space="preserve">Luz</t>
  </si>
  <si>
    <t xml:space="preserve">De onde vem</t>
  </si>
  <si>
    <t xml:space="preserve">Ângulo vertical</t>
  </si>
  <si>
    <t xml:space="preserve">Força, como ponto de partida</t>
  </si>
  <si>
    <t xml:space="preserve">Principal (key)</t>
  </si>
  <si>
    <t xml:space="preserve">de frente, 30° a 45° para um lado</t>
  </si>
  <si>
    <t xml:space="preserve">30° a 45° acima dos olhos</t>
  </si>
  <si>
    <t xml:space="preserve">A referência. Define a exposição e dá volume ao rosto.</t>
  </si>
  <si>
    <t xml:space="preserve">Preenchimento (fill)</t>
  </si>
  <si>
    <t xml:space="preserve">de frente, do outro lado</t>
  </si>
  <si>
    <t xml:space="preserve">igual ou um pouco abaixo</t>
  </si>
  <si>
    <t xml:space="preserve">Suave. Ajustado pela razão de contraste, perto de 2:1.</t>
  </si>
  <si>
    <t xml:space="preserve">Contraluz (back light)</t>
  </si>
  <si>
    <t xml:space="preserve">de trás, oposta à principal</t>
  </si>
  <si>
    <t xml:space="preserve">45° a 60°</t>
  </si>
  <si>
    <t xml:space="preserve">Da metade ao mesmo valor da principal. Cabelo e roupa escuros pedem mais.</t>
  </si>
  <si>
    <t xml:space="preserve">Temperatura de cor</t>
  </si>
  <si>
    <t xml:space="preserve">Fonte</t>
  </si>
  <si>
    <t xml:space="preserve">Temperatura típica</t>
  </si>
  <si>
    <t xml:space="preserve">Aparência</t>
  </si>
  <si>
    <t xml:space="preserve">Lâmpada doméstica “branco quente”</t>
  </si>
  <si>
    <t xml:space="preserve">2.700 K</t>
  </si>
  <si>
    <t xml:space="preserve">alaranjada</t>
  </si>
  <si>
    <t xml:space="preserve">Comum em luminárias de sala.</t>
  </si>
  <si>
    <t xml:space="preserve">Halógena de palco (“tungstênio”)</t>
  </si>
  <si>
    <t xml:space="preserve">3.200 K</t>
  </si>
  <si>
    <t xml:space="preserve">Referência de sala fechada. Fica mais alaranjada com o dimmer baixo.</t>
  </si>
  <si>
    <t xml:space="preserve">Branco neutro</t>
  </si>
  <si>
    <t xml:space="preserve">4.000 K</t>
  </si>
  <si>
    <t xml:space="preserve">neutra</t>
  </si>
  <si>
    <t xml:space="preserve">Fluorescentes e LEDs de iluminação geral.</t>
  </si>
  <si>
    <t xml:space="preserve">Luz do dia, LED “daylight”</t>
  </si>
  <si>
    <t xml:space="preserve">5.600 K</t>
  </si>
  <si>
    <t xml:space="preserve">branca a azulada</t>
  </si>
  <si>
    <t xml:space="preserve">Referência com janela ou telão de LED.</t>
  </si>
  <si>
    <t xml:space="preserve">Céu nublado, monitores e telões</t>
  </si>
  <si>
    <t xml:space="preserve">6.500 K</t>
  </si>
  <si>
    <t xml:space="preserve">azulada</t>
  </si>
  <si>
    <t xml:space="preserve">Painéis de LED costumam vir daí para cima.</t>
  </si>
  <si>
    <t xml:space="preserve">IRC (CRI) do refletor</t>
  </si>
  <si>
    <t xml:space="preserve">Pele na câmera</t>
  </si>
  <si>
    <t xml:space="preserve">Onde usar</t>
  </si>
  <si>
    <t xml:space="preserve">90 ou mais</t>
  </si>
  <si>
    <t xml:space="preserve">natural</t>
  </si>
  <si>
    <t xml:space="preserve">Se a ficha trouxer R9 e TLCI, prefira os mais altos.</t>
  </si>
  <si>
    <t xml:space="preserve">80 a 89</t>
  </si>
  <si>
    <t xml:space="preserve">um pouco sem vida</t>
  </si>
  <si>
    <t xml:space="preserve">rosto, se não houver outro</t>
  </si>
  <si>
    <t xml:space="preserve">Pode pedir correção na câmera.</t>
  </si>
  <si>
    <t xml:space="preserve">abaixo de 80</t>
  </si>
  <si>
    <t xml:space="preserve">acinzentada ou esverdeada</t>
  </si>
  <si>
    <t xml:space="preserve">contraluz, fundo, efeito</t>
  </si>
  <si>
    <t xml:space="preserve">Branco feito só de LED RGB costuma ficar aqui.</t>
  </si>
  <si>
    <t xml:space="preserve">Luz no rosto (lux)</t>
  </si>
  <si>
    <t xml:space="preserve">Luz típica</t>
  </si>
  <si>
    <t xml:space="preserve">Câmera</t>
  </si>
  <si>
    <t xml:space="preserve">Sala de estar à noite</t>
  </si>
  <si>
    <t xml:space="preserve">50 a 150 lux</t>
  </si>
  <si>
    <t xml:space="preserve">ganho alto</t>
  </si>
  <si>
    <t xml:space="preserve">Imagem com ruído.</t>
  </si>
  <si>
    <t xml:space="preserve">Sala de aula, nave com luz geral</t>
  </si>
  <si>
    <t xml:space="preserve">200 a 500 lux</t>
  </si>
  <si>
    <t xml:space="preserve">íris aberta, algum ganho</t>
  </si>
  <si>
    <t xml:space="preserve">Foco crítico.</t>
  </si>
  <si>
    <t xml:space="preserve">Rosto no palco, para vídeo</t>
  </si>
  <si>
    <t xml:space="preserve">500 a 1.000 lux</t>
  </si>
  <si>
    <t xml:space="preserve">imagem limpa</t>
  </si>
  <si>
    <t xml:space="preserve">Ponto de partida, e não norma.</t>
  </si>
  <si>
    <t xml:space="preserve">Estúdio de televisão</t>
  </si>
  <si>
    <t xml:space="preserve">1.000 a 2.000 lux</t>
  </si>
  <si>
    <t xml:space="preserve">íris mais fechada</t>
  </si>
  <si>
    <t xml:space="preserve">Foco confortável em zoom longo.</t>
  </si>
  <si>
    <t xml:space="preserve">Razão (claro ÷ escuro)</t>
  </si>
  <si>
    <t xml:space="preserve">1:1</t>
  </si>
  <si>
    <t xml:space="preserve">0 stop</t>
  </si>
  <si>
    <t xml:space="preserve">chapado, sem volume</t>
  </si>
  <si>
    <t xml:space="preserve">Evite no rosto principal.</t>
  </si>
  <si>
    <t xml:space="preserve">2:1</t>
  </si>
  <si>
    <t xml:space="preserve">1 stop</t>
  </si>
  <si>
    <t xml:space="preserve">volume natural</t>
  </si>
  <si>
    <t xml:space="preserve">Ponto de partida para fala, culto e transmissão.</t>
  </si>
  <si>
    <t xml:space="preserve">3:1</t>
  </si>
  <si>
    <t xml:space="preserve">1,6 stop</t>
  </si>
  <si>
    <t xml:space="preserve">mais volume</t>
  </si>
  <si>
    <t xml:space="preserve">Limite para várias câmeras.</t>
  </si>
  <si>
    <t xml:space="preserve">4:1</t>
  </si>
  <si>
    <t xml:space="preserve">2 stops</t>
  </si>
  <si>
    <t xml:space="preserve">dramático</t>
  </si>
  <si>
    <t xml:space="preserve">Limite prático ao vivo.</t>
  </si>
  <si>
    <t xml:space="preserve">8:1</t>
  </si>
  <si>
    <t xml:space="preserve">3 stops</t>
  </si>
  <si>
    <t xml:space="preserve">lado escuro sem detalhe</t>
  </si>
  <si>
    <t xml:space="preserve">Evite em evento ao vivo.</t>
  </si>
  <si>
    <t xml:space="preserve">Ângulo pela razão altura ÷ distância</t>
  </si>
  <si>
    <t xml:space="preserve">Altura ÷ distância</t>
  </si>
  <si>
    <t xml:space="preserve">Distância para 3 m de altura</t>
  </si>
  <si>
    <t xml:space="preserve">Uso típico</t>
  </si>
  <si>
    <t xml:space="preserve">20°</t>
  </si>
  <si>
    <t xml:space="preserve">0,36</t>
  </si>
  <si>
    <t xml:space="preserve">8,2 m</t>
  </si>
  <si>
    <t xml:space="preserve">baixa para frente</t>
  </si>
  <si>
    <t xml:space="preserve">25°</t>
  </si>
  <si>
    <t xml:space="preserve">0,47</t>
  </si>
  <si>
    <t xml:space="preserve">6,4 m</t>
  </si>
  <si>
    <t xml:space="preserve">preenchimento</t>
  </si>
  <si>
    <t xml:space="preserve">30°</t>
  </si>
  <si>
    <t xml:space="preserve">0,58</t>
  </si>
  <si>
    <t xml:space="preserve">5,2 m</t>
  </si>
  <si>
    <t xml:space="preserve">principal e preenchimento</t>
  </si>
  <si>
    <t xml:space="preserve">35°</t>
  </si>
  <si>
    <t xml:space="preserve">0,70</t>
  </si>
  <si>
    <t xml:space="preserve">4,3 m</t>
  </si>
  <si>
    <t xml:space="preserve">40°</t>
  </si>
  <si>
    <t xml:space="preserve">0,84</t>
  </si>
  <si>
    <t xml:space="preserve">3,6 m</t>
  </si>
  <si>
    <t xml:space="preserve">45°</t>
  </si>
  <si>
    <t xml:space="preserve">1,00</t>
  </si>
  <si>
    <t xml:space="preserve">3,0 m</t>
  </si>
  <si>
    <t xml:space="preserve">50°</t>
  </si>
  <si>
    <t xml:space="preserve">1,19</t>
  </si>
  <si>
    <t xml:space="preserve">2,5 m</t>
  </si>
  <si>
    <t xml:space="preserve">íngreme para frente; contraluz</t>
  </si>
  <si>
    <t xml:space="preserve">55°</t>
  </si>
  <si>
    <t xml:space="preserve">1,43</t>
  </si>
  <si>
    <t xml:space="preserve">2,1 m</t>
  </si>
  <si>
    <t xml:space="preserve">contraluz</t>
  </si>
  <si>
    <t xml:space="preserve">60°</t>
  </si>
  <si>
    <t xml:space="preserve">1,73</t>
  </si>
  <si>
    <t xml:space="preserve">1,7 m</t>
  </si>
  <si>
    <t xml:space="preserve">Tamanho do facho: diâmetro ≈ distância × multiplicador</t>
  </si>
  <si>
    <t xml:space="preserve">Ângulo do facho</t>
  </si>
  <si>
    <t xml:space="preserve">Multiplicador</t>
  </si>
  <si>
    <t xml:space="preserve">Diâmetro a 6 m</t>
  </si>
  <si>
    <t xml:space="preserve">Diâmetro a 10 m</t>
  </si>
  <si>
    <t xml:space="preserve">10°</t>
  </si>
  <si>
    <t xml:space="preserve">0,17</t>
  </si>
  <si>
    <t xml:space="preserve">1,0 m</t>
  </si>
  <si>
    <t xml:space="preserve">15°</t>
  </si>
  <si>
    <t xml:space="preserve">0,26</t>
  </si>
  <si>
    <t xml:space="preserve">1,6 m</t>
  </si>
  <si>
    <t xml:space="preserve">2,6 m</t>
  </si>
  <si>
    <t xml:space="preserve">19°</t>
  </si>
  <si>
    <t xml:space="preserve">0,33</t>
  </si>
  <si>
    <t xml:space="preserve">2,0 m</t>
  </si>
  <si>
    <t xml:space="preserve">3,3 m</t>
  </si>
  <si>
    <t xml:space="preserve">26°</t>
  </si>
  <si>
    <t xml:space="preserve">0,46</t>
  </si>
  <si>
    <t xml:space="preserve">2,8 m</t>
  </si>
  <si>
    <t xml:space="preserve">4,6 m</t>
  </si>
  <si>
    <t xml:space="preserve">36°</t>
  </si>
  <si>
    <t xml:space="preserve">0,65</t>
  </si>
  <si>
    <t xml:space="preserve">3,9 m</t>
  </si>
  <si>
    <t xml:space="preserve">6,5 m</t>
  </si>
  <si>
    <t xml:space="preserve">0,83</t>
  </si>
  <si>
    <t xml:space="preserve">5,0 m</t>
  </si>
  <si>
    <t xml:space="preserve">8,3 m</t>
  </si>
  <si>
    <t xml:space="preserve">0,93</t>
  </si>
  <si>
    <t xml:space="preserve">5,6 m</t>
  </si>
  <si>
    <t xml:space="preserve">9,3 m</t>
  </si>
  <si>
    <t xml:space="preserve">1,15</t>
  </si>
  <si>
    <t xml:space="preserve">6,9 m</t>
  </si>
  <si>
    <t xml:space="preserve">11,5 m</t>
  </si>
  <si>
    <t xml:space="preserve">Corrente por potência (corrente = potência ÷ tensão)</t>
  </si>
  <si>
    <t xml:space="preserve">Em 127 V</t>
  </si>
  <si>
    <t xml:space="preserve">Em 220 V</t>
  </si>
  <si>
    <t xml:space="preserve">500 W</t>
  </si>
  <si>
    <t xml:space="preserve">3,9 A</t>
  </si>
  <si>
    <t xml:space="preserve">2,3 A</t>
  </si>
  <si>
    <t xml:space="preserve">PAR halógeno de 500 W.</t>
  </si>
  <si>
    <t xml:space="preserve">1.000 W</t>
  </si>
  <si>
    <t xml:space="preserve">7,9 A</t>
  </si>
  <si>
    <t xml:space="preserve">4,5 A</t>
  </si>
  <si>
    <t xml:space="preserve">Fresnel halógeno de 1.000 W.</t>
  </si>
  <si>
    <t xml:space="preserve">2.000 W</t>
  </si>
  <si>
    <t xml:space="preserve">15,7 A</t>
  </si>
  <si>
    <t xml:space="preserve">9,1 A</t>
  </si>
  <si>
    <t xml:space="preserve">Perto do limite de uso de um circuito de 20 A em 127 V.</t>
  </si>
  <si>
    <t xml:space="preserve">3.000 W</t>
  </si>
  <si>
    <t xml:space="preserve">23,6 A</t>
  </si>
  <si>
    <t xml:space="preserve">13,6 A</t>
  </si>
  <si>
    <t xml:space="preserve">Passa de um disjuntor de 20 A em 127 V.</t>
  </si>
  <si>
    <t xml:space="preserve">Limite de uso contínuo (80% do disjuntor)</t>
  </si>
  <si>
    <t xml:space="preserve">10 A</t>
  </si>
  <si>
    <t xml:space="preserve">1.016 W</t>
  </si>
  <si>
    <t xml:space="preserve">1.760 W</t>
  </si>
  <si>
    <t xml:space="preserve">O máximo absoluto é tensão × disjuntor; o limite de uso fica em 80% dele.</t>
  </si>
  <si>
    <t xml:space="preserve">16 A</t>
  </si>
  <si>
    <t xml:space="preserve">1.626 W</t>
  </si>
  <si>
    <t xml:space="preserve">2.816 W</t>
  </si>
  <si>
    <t xml:space="preserve">Tomada, extensão e régua podem ter limite menor que o disjuntor.</t>
  </si>
  <si>
    <t xml:space="preserve">20 A</t>
  </si>
  <si>
    <t xml:space="preserve">2.032 W</t>
  </si>
  <si>
    <t xml:space="preserve">3.520 W</t>
  </si>
  <si>
    <t xml:space="preserve">Exemplo 2 do treinamento: 5.000 W em 127 V pedem três circuitos.</t>
  </si>
  <si>
    <t xml:space="preserve">25 A</t>
  </si>
  <si>
    <t xml:space="preserve">2.540 W</t>
  </si>
  <si>
    <t xml:space="preserve">4.400 W</t>
  </si>
  <si>
    <t xml:space="preserve">Confira com o responsável pelo prédio.</t>
  </si>
  <si>
    <t xml:space="preserve">DMX: regras da linha</t>
  </si>
  <si>
    <t xml:space="preserve">Regra</t>
  </si>
  <si>
    <t xml:space="preserve">Valor de referência</t>
  </si>
  <si>
    <t xml:space="preserve">Por quê</t>
  </si>
  <si>
    <t xml:space="preserve">512 canais</t>
  </si>
  <si>
    <t xml:space="preserve">valores de 0 a 255</t>
  </si>
  <si>
    <t xml:space="preserve">Um universo por saída da mesa ou da interface.</t>
  </si>
  <si>
    <t xml:space="preserve">Ligação</t>
  </si>
  <si>
    <t xml:space="preserve">em cascata</t>
  </si>
  <si>
    <t xml:space="preserve">da saída de um para a entrada do outro</t>
  </si>
  <si>
    <t xml:space="preserve">Sem cabo em Y. Para dividir, use divisor (splitter).</t>
  </si>
  <si>
    <t xml:space="preserve">Terminador</t>
  </si>
  <si>
    <t xml:space="preserve">120 Ω no último</t>
  </si>
  <si>
    <t xml:space="preserve">evita reflexão do sinal</t>
  </si>
  <si>
    <t xml:space="preserve">Linha sem terminador pode falhar só no evento.</t>
  </si>
  <si>
    <t xml:space="preserve">Aparelhos por linha</t>
  </si>
  <si>
    <t xml:space="preserve">até 32</t>
  </si>
  <si>
    <t xml:space="preserve">limite do circuito de cada linha</t>
  </si>
  <si>
    <t xml:space="preserve">Acima disso, use divisor.</t>
  </si>
  <si>
    <t xml:space="preserve">Cabo</t>
  </si>
  <si>
    <t xml:space="preserve">cabo próprio de DMX</t>
  </si>
  <si>
    <t xml:space="preserve">impedância para dados</t>
  </si>
  <si>
    <t xml:space="preserve">Cabo de microfone falha em linha longa.</t>
  </si>
  <si>
    <t xml:space="preserve">Perda de sinal</t>
  </si>
  <si>
    <t xml:space="preserve">manter o último valor</t>
  </si>
  <si>
    <t xml:space="preserve">luz de rosto não apaga</t>
  </si>
  <si>
    <t xml:space="preserve">Configure no menu de cada aparelho.</t>
  </si>
  <si>
    <t xml:space="preserve">Faixas típicas, que variam com o modelo do refletor, a câmera e o local. Confira a ficha técnica e o manual.</t>
  </si>
  <si>
    <t xml:space="preserve">Checklist da iluminação</t>
  </si>
  <si>
    <t xml:space="preserve">Confira depois de apontar a luz e antes do ajuste final das câmeras. Escolha a situação de cada item na lista suspensa.</t>
  </si>
  <si>
    <t xml:space="preserve">Grupo</t>
  </si>
  <si>
    <t xml:space="preserve">Item</t>
  </si>
  <si>
    <t xml:space="preserve">Plano</t>
  </si>
  <si>
    <t xml:space="preserve">Cada alvo (púlpito, banda, leitura) tem luz principal, preenchimento e contraluz anotados no plano de luz.</t>
  </si>
  <si>
    <t xml:space="preserve">A luz de frente chega ao rosto entre 30° e 45° acima da linha dos olhos, e os olhos aparecem na câmera.</t>
  </si>
  <si>
    <t xml:space="preserve">Todas as luzes brancas de rosto têm a mesma temperatura de cor, e o balanço de branco foi feito com elas acesas.</t>
  </si>
  <si>
    <t xml:space="preserve">Os refletores usados no rosto têm IRC de 90 ou mais.</t>
  </si>
  <si>
    <t xml:space="preserve">A luz no rosto foi medida, ou conferida na câmera, e não cai em nenhum ponto da área em que a pessoa anda.</t>
  </si>
  <si>
    <t xml:space="preserve">Contraste</t>
  </si>
  <si>
    <t xml:space="preserve">A diferença entre o lado claro e o lado escuro do rosto está perto de 2:1, sem passar de 3:1.</t>
  </si>
  <si>
    <t xml:space="preserve">O fundo está mais escuro que o rosto, e a contraluz separa a pessoa do fundo sem estourar.</t>
  </si>
  <si>
    <t xml:space="preserve">Telão</t>
  </si>
  <si>
    <t xml:space="preserve">Nenhuma luz de frente bate no telão, e o brilho do telão foi ajustado olhando a imagem da câmera.</t>
  </si>
  <si>
    <t xml:space="preserve">A imagem de cada câmera foi conferida sem faixas nem cintilação, com os refletores na intensidade do evento.</t>
  </si>
  <si>
    <t xml:space="preserve">Energia</t>
  </si>
  <si>
    <t xml:space="preserve">A carga de cada circuito está em até 80% do disjuntor, e o som está em circuito separado do da luz.</t>
  </si>
  <si>
    <t xml:space="preserve">Cada aparelho DMX tem modo e endereço anotados, sem sobreposição, e a linha termina com terminador.</t>
  </si>
  <si>
    <t xml:space="preserve">Segurança</t>
  </si>
  <si>
    <t xml:space="preserve">Todo refletor suspenso tem cabo de segurança, os tripés estão travados e com lastro, e nada quente encosta em tecido ou cabo.</t>
  </si>
  <si>
    <t xml:space="preserve">Itens respondidos</t>
  </si>
  <si>
    <t xml:space="preserve">Percentual atendido (Parcial vale metade)</t>
  </si>
  <si>
    <t xml:space="preserve">Exemplo preenchido, para consulta. Use a aba Plano de luz para o seu evento.</t>
  </si>
  <si>
    <t xml:space="preserve">Culto de domingo, 19 h</t>
  </si>
  <si>
    <t xml:space="preserve">Igreja de 200 lugares, sala fechada</t>
  </si>
  <si>
    <t xml:space="preserve">Operador de luz da escala</t>
  </si>
  <si>
    <t xml:space="preserve">Duas câmeras: central e lateral</t>
  </si>
  <si>
    <t xml:space="preserve">Plano antes da correção. A altura é medida a partir do rosto da pessoa (cerca de 1,6 m do chão, em pé). As colunas de L a Q são calculadas.</t>
  </si>
  <si>
    <t xml:space="preserve">PAR LED branco frio 1</t>
  </si>
  <si>
    <t xml:space="preserve">Vara sobre a frente do palco</t>
  </si>
  <si>
    <t xml:space="preserve">PAR LED branco frio 2</t>
  </si>
  <si>
    <t xml:space="preserve">Halógeno de 500 W</t>
  </si>
  <si>
    <t xml:space="preserve">Parede lateral, à direita</t>
  </si>
  <si>
    <t xml:space="preserve">Preenchimento</t>
  </si>
  <si>
    <t xml:space="preserve">Barra de LED colorida</t>
  </si>
  <si>
    <t xml:space="preserve">Piso, ao pé da parede do fundo</t>
  </si>
  <si>
    <t xml:space="preserve">Parede do fundo</t>
  </si>
  <si>
    <t xml:space="preserve">Azul, para dar clima</t>
  </si>
  <si>
    <t xml:space="preserve">Púlpito, antes</t>
  </si>
  <si>
    <t xml:space="preserve">Púlpito, depois</t>
  </si>
  <si>
    <t xml:space="preserve">O que foi ajustado</t>
  </si>
  <si>
    <t xml:space="preserve">O que foi feito</t>
  </si>
  <si>
    <t xml:space="preserve">Fresnel de LED, IRC 95, 5.600 K, em vara nova 4,5 m à frente do púlpito e 3,2 m acima do rosto: 35°.</t>
  </si>
  <si>
    <t xml:space="preserve">Painel de LED, IRC 95, 5.600 K, do outro lado, na mesma vara, com difusor. O halógeno da parede foi desligado.</t>
  </si>
  <si>
    <t xml:space="preserve">Contraluz</t>
  </si>
  <si>
    <t xml:space="preserve">Os dois PAR antigos passaram para trás do púlpito, a 60°: ali o IRC baixo e a cor fria não atrapalham.</t>
  </si>
  <si>
    <t xml:space="preserve">Balanço de branco refeito com a luz final, nas duas câmeras.</t>
  </si>
  <si>
    <t xml:space="preserve">Resultado</t>
  </si>
  <si>
    <t xml:space="preserve">Olhos visíveis, pele natural, razão de 2:1 e o fundo 2 stops abaixo do rosto.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</si>
</sst>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dd/mm/yyyy"/>
    <numFmt numFmtId="167" formatCode="0.0"/>
    <numFmt numFmtId="168" formatCode="General"/>
    <numFmt numFmtId="169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sz val="8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A96A12"/>
        <bgColor rgb="FFB0413E"/>
      </patternFill>
    </fill>
    <fill>
      <patternFill patternType="solid">
        <fgColor rgb="FF1E7B73"/>
        <bgColor rgb="FF008080"/>
      </patternFill>
    </fill>
    <fill>
      <patternFill patternType="solid">
        <fgColor rgb="FF2B5C8A"/>
        <bgColor rgb="FF1E7B73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31.5" hidden="false" customHeight="true" outlineLevel="0" collapsed="false">
      <c r="B13" s="8" t="s">
        <v>16</v>
      </c>
      <c r="C13" s="7" t="s">
        <v>17</v>
      </c>
    </row>
    <row r="14" customFormat="false" ht="31.5" hidden="false" customHeight="true" outlineLevel="0" collapsed="false">
      <c r="B14" s="8" t="s">
        <v>18</v>
      </c>
      <c r="C14" s="7" t="s">
        <v>19</v>
      </c>
    </row>
    <row r="15" customFormat="false" ht="31.5" hidden="false" customHeight="true" outlineLevel="0" collapsed="false">
      <c r="B15" s="8" t="s">
        <v>20</v>
      </c>
      <c r="C15" s="7" t="s">
        <v>21</v>
      </c>
    </row>
    <row r="16" customFormat="false" ht="31.5" hidden="false" customHeight="true" outlineLevel="0" collapsed="false">
      <c r="B16" s="8" t="s">
        <v>22</v>
      </c>
      <c r="C16" s="7" t="s">
        <v>23</v>
      </c>
    </row>
    <row r="17" customFormat="false" ht="31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31.5" hidden="false" customHeight="true" outlineLevel="0" collapsed="false">
      <c r="B24" s="8" t="s">
        <v>35</v>
      </c>
      <c r="C24" s="7" t="s">
        <v>36</v>
      </c>
    </row>
    <row r="25" customFormat="false" ht="31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31.5" hidden="false" customHeight="true" outlineLevel="0" collapsed="false">
      <c r="B35" s="4" t="s">
        <v>33</v>
      </c>
      <c r="C35" s="7" t="s">
        <v>54</v>
      </c>
    </row>
    <row r="36" customFormat="false" ht="19.5" hidden="false" customHeight="true" outlineLevel="0" collapsed="false">
      <c r="B36" s="4" t="s">
        <v>55</v>
      </c>
      <c r="C36" s="7" t="s">
        <v>56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U9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10" min="9" style="0" width="11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5" min="14" style="0" width="9"/>
    <col collapsed="false" customWidth="true" hidden="false" outlineLevel="0" max="16" min="16" style="0" width="13"/>
    <col collapsed="false" customWidth="true" hidden="false" outlineLevel="0" max="17" min="17" style="0" width="42"/>
    <col collapsed="false" customWidth="true" hidden="false" outlineLevel="0" max="18" min="18" style="0" width="24"/>
    <col collapsed="false" customWidth="true" hidden="false" outlineLevel="0" max="19" min="19" style="0" width="2"/>
    <col collapsed="false" customWidth="true" hidden="true" outlineLevel="0" max="21" min="21" style="0" width="13"/>
  </cols>
  <sheetData>
    <row r="1" customFormat="false" ht="31.5" hidden="false" customHeight="true" outlineLevel="0" collapsed="false">
      <c r="B1" s="1" t="s">
        <v>57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58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B4" s="4" t="s">
        <v>59</v>
      </c>
      <c r="C4" s="4"/>
      <c r="D4" s="5"/>
      <c r="E4" s="5"/>
      <c r="F4" s="5"/>
      <c r="G4" s="5"/>
      <c r="H4" s="4" t="s">
        <v>60</v>
      </c>
      <c r="I4" s="4"/>
      <c r="J4" s="4"/>
      <c r="K4" s="9" t="n">
        <v>5600</v>
      </c>
      <c r="L4" s="10" t="s">
        <v>61</v>
      </c>
      <c r="M4" s="10"/>
      <c r="N4" s="10"/>
      <c r="O4" s="10"/>
      <c r="P4" s="10"/>
      <c r="Q4" s="10"/>
      <c r="R4" s="10"/>
      <c r="U4" s="11" t="s">
        <v>62</v>
      </c>
    </row>
    <row r="5" customFormat="false" ht="21.75" hidden="false" customHeight="true" outlineLevel="0" collapsed="false">
      <c r="B5" s="4" t="s">
        <v>63</v>
      </c>
      <c r="C5" s="4"/>
      <c r="D5" s="5"/>
      <c r="E5" s="5"/>
      <c r="F5" s="5"/>
      <c r="G5" s="5"/>
      <c r="H5" s="4" t="s">
        <v>64</v>
      </c>
      <c r="I5" s="4"/>
      <c r="J5" s="4"/>
      <c r="K5" s="9" t="n">
        <v>300</v>
      </c>
      <c r="L5" s="10" t="s">
        <v>65</v>
      </c>
      <c r="M5" s="10"/>
      <c r="N5" s="10"/>
      <c r="O5" s="10"/>
      <c r="P5" s="10"/>
      <c r="Q5" s="10"/>
      <c r="R5" s="10"/>
      <c r="U5" s="11" t="n">
        <v>0.008727</v>
      </c>
    </row>
    <row r="6" customFormat="false" ht="21.75" hidden="false" customHeight="true" outlineLevel="0" collapsed="false">
      <c r="B6" s="4" t="s">
        <v>66</v>
      </c>
      <c r="C6" s="4"/>
      <c r="D6" s="12"/>
      <c r="E6" s="12"/>
      <c r="F6" s="12"/>
      <c r="G6" s="12"/>
      <c r="H6" s="4" t="s">
        <v>67</v>
      </c>
      <c r="I6" s="4"/>
      <c r="J6" s="4"/>
      <c r="K6" s="9" t="n">
        <v>90</v>
      </c>
      <c r="L6" s="10" t="s">
        <v>68</v>
      </c>
      <c r="M6" s="10"/>
      <c r="N6" s="10"/>
      <c r="O6" s="10"/>
      <c r="P6" s="10"/>
      <c r="Q6" s="10"/>
      <c r="R6" s="10"/>
      <c r="U6" s="11" t="n">
        <v>0.026186</v>
      </c>
    </row>
    <row r="7" customFormat="false" ht="21.75" hidden="false" customHeight="true" outlineLevel="0" collapsed="false">
      <c r="B7" s="4" t="s">
        <v>69</v>
      </c>
      <c r="C7" s="4"/>
      <c r="D7" s="5"/>
      <c r="E7" s="5"/>
      <c r="F7" s="5"/>
      <c r="G7" s="5"/>
      <c r="H7" s="4" t="s">
        <v>70</v>
      </c>
      <c r="I7" s="4"/>
      <c r="J7" s="4"/>
      <c r="K7" s="9" t="n">
        <v>500</v>
      </c>
      <c r="L7" s="10" t="s">
        <v>71</v>
      </c>
      <c r="M7" s="10"/>
      <c r="N7" s="10"/>
      <c r="O7" s="10"/>
      <c r="P7" s="10"/>
      <c r="Q7" s="10"/>
      <c r="R7" s="10"/>
      <c r="U7" s="11" t="n">
        <v>0.043661</v>
      </c>
    </row>
    <row r="8" customFormat="false" ht="21.75" hidden="false" customHeight="true" outlineLevel="0" collapsed="false">
      <c r="B8" s="4" t="s">
        <v>72</v>
      </c>
      <c r="C8" s="4"/>
      <c r="D8" s="5"/>
      <c r="E8" s="5"/>
      <c r="F8" s="5"/>
      <c r="G8" s="5"/>
      <c r="H8" s="4" t="s">
        <v>73</v>
      </c>
      <c r="I8" s="4"/>
      <c r="J8" s="4"/>
      <c r="K8" s="13" t="n">
        <v>3</v>
      </c>
      <c r="L8" s="10" t="s">
        <v>74</v>
      </c>
      <c r="M8" s="10"/>
      <c r="N8" s="10"/>
      <c r="O8" s="10"/>
      <c r="P8" s="10"/>
      <c r="Q8" s="10"/>
      <c r="R8" s="10"/>
      <c r="U8" s="11" t="n">
        <v>0.061163</v>
      </c>
    </row>
    <row r="9" customFormat="false" ht="15" hidden="false" customHeight="false" outlineLevel="0" collapsed="false">
      <c r="U9" s="11" t="n">
        <v>0.078702</v>
      </c>
    </row>
    <row r="10" customFormat="false" ht="21.75" hidden="false" customHeight="true" outlineLevel="0" collapsed="false">
      <c r="B10" s="14" t="s">
        <v>75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U10" s="11" t="n">
        <v>0.096289</v>
      </c>
    </row>
    <row r="11" customFormat="false" ht="30" hidden="false" customHeight="true" outlineLevel="0" collapsed="false">
      <c r="B11" s="15" t="s">
        <v>76</v>
      </c>
      <c r="C11" s="15" t="s">
        <v>77</v>
      </c>
      <c r="D11" s="15" t="s">
        <v>78</v>
      </c>
      <c r="E11" s="15" t="s">
        <v>79</v>
      </c>
      <c r="F11" s="15" t="s">
        <v>80</v>
      </c>
      <c r="G11" s="16" t="s">
        <v>81</v>
      </c>
      <c r="H11" s="16" t="s">
        <v>82</v>
      </c>
      <c r="I11" s="16" t="s">
        <v>83</v>
      </c>
      <c r="J11" s="16" t="s">
        <v>84</v>
      </c>
      <c r="K11" s="16" t="s">
        <v>85</v>
      </c>
      <c r="L11" s="17" t="s">
        <v>44</v>
      </c>
      <c r="M11" s="17" t="s">
        <v>86</v>
      </c>
      <c r="N11" s="17" t="s">
        <v>87</v>
      </c>
      <c r="O11" s="17" t="s">
        <v>88</v>
      </c>
      <c r="P11" s="17" t="s">
        <v>48</v>
      </c>
      <c r="Q11" s="17" t="s">
        <v>89</v>
      </c>
      <c r="R11" s="15" t="s">
        <v>90</v>
      </c>
      <c r="U11" s="11" t="n">
        <v>0.113936</v>
      </c>
    </row>
    <row r="12" customFormat="false" ht="27" hidden="false" customHeight="true" outlineLevel="0" collapsed="false">
      <c r="B12" s="18"/>
      <c r="C12" s="18" t="s">
        <v>91</v>
      </c>
      <c r="D12" s="18" t="s">
        <v>92</v>
      </c>
      <c r="E12" s="18" t="s">
        <v>93</v>
      </c>
      <c r="F12" s="18" t="s">
        <v>94</v>
      </c>
      <c r="G12" s="18" t="s">
        <v>95</v>
      </c>
      <c r="H12" s="18" t="s">
        <v>96</v>
      </c>
      <c r="I12" s="18" t="s">
        <v>97</v>
      </c>
      <c r="J12" s="18" t="s">
        <v>98</v>
      </c>
      <c r="K12" s="18" t="s">
        <v>99</v>
      </c>
      <c r="L12" s="18" t="s">
        <v>100</v>
      </c>
      <c r="M12" s="18"/>
      <c r="N12" s="18" t="s">
        <v>101</v>
      </c>
      <c r="O12" s="18" t="s">
        <v>101</v>
      </c>
      <c r="P12" s="18" t="s">
        <v>102</v>
      </c>
      <c r="Q12" s="18"/>
      <c r="R12" s="18"/>
      <c r="U12" s="11" t="n">
        <v>0.131652</v>
      </c>
    </row>
    <row r="13" customFormat="false" ht="24" hidden="false" customHeight="true" outlineLevel="0" collapsed="false">
      <c r="B13" s="18" t="s">
        <v>103</v>
      </c>
      <c r="C13" s="10" t="s">
        <v>104</v>
      </c>
      <c r="D13" s="10" t="s">
        <v>105</v>
      </c>
      <c r="E13" s="10" t="s">
        <v>106</v>
      </c>
      <c r="F13" s="18" t="s">
        <v>107</v>
      </c>
      <c r="G13" s="18" t="n">
        <v>4.5</v>
      </c>
      <c r="H13" s="18" t="n">
        <v>3.2</v>
      </c>
      <c r="I13" s="18" t="n">
        <v>80</v>
      </c>
      <c r="J13" s="18" t="n">
        <v>5600</v>
      </c>
      <c r="K13" s="18" t="n">
        <v>95</v>
      </c>
      <c r="L13" s="18" t="n">
        <v>35</v>
      </c>
      <c r="M13" s="18" t="s">
        <v>108</v>
      </c>
      <c r="N13" s="18" t="n">
        <v>3.2</v>
      </c>
      <c r="O13" s="18" t="n">
        <v>5.5</v>
      </c>
      <c r="P13" s="18" t="s">
        <v>108</v>
      </c>
      <c r="Q13" s="10" t="s">
        <v>109</v>
      </c>
      <c r="R13" s="10"/>
      <c r="U13" s="11" t="n">
        <v>0.149451</v>
      </c>
    </row>
    <row r="14" customFormat="false" ht="27" hidden="false" customHeight="true" outlineLevel="0" collapsed="false">
      <c r="B14" s="19" t="n">
        <v>1</v>
      </c>
      <c r="C14" s="5"/>
      <c r="D14" s="5"/>
      <c r="E14" s="5"/>
      <c r="F14" s="20"/>
      <c r="G14" s="13"/>
      <c r="H14" s="13"/>
      <c r="I14" s="9"/>
      <c r="J14" s="9"/>
      <c r="K14" s="9"/>
      <c r="L14" s="21" t="str">
        <f aca="false">IF(OR(G14="",H14=""),"",IF(G14&lt;=0,90,IFERROR(MATCH(H14/G14,$U$5:$U$93,1),0)))</f>
        <v/>
      </c>
      <c r="M14" s="22" t="str">
        <f aca="false">IF(OR(F14="",L14=""),"",IF(F14="Principal",IF(L14&lt;25,"Baixa",IF(L14&lt;30,"Atenção",IF(L14&lt;=45,"OK",IF(L14&lt;=50,"Atenção","Íngreme")))),IF(F14="Preenchimento",IF(L14&lt;20,"Baixa",IF(L14&lt;25,"Atenção",IF(L14&lt;=45,"OK",IF(L14&lt;=50,"Atenção","Íngreme")))),IF(F14="Contraluz",IF(L14&lt;40,"Baixa",IF(L14&lt;45,"Atenção",IF(L14&lt;=60,"OK",IF(L14&lt;=70,"Atenção","Íngreme")))),"–"))))</f>
        <v/>
      </c>
      <c r="N14" s="23" t="str">
        <f aca="false">IF(H14="","",IF(OR(F14="Principal",F14="Preenchimento",F14="Contraluz"),ROUND(H14*IF(F14="Contraluz",0.577,1),1),""))</f>
        <v/>
      </c>
      <c r="O14" s="23" t="str">
        <f aca="false">IF(H14="","",IF(OR(F14="Principal",F14="Preenchimento",F14="Contraluz"),ROUND(H14*IF(F14="Principal",1.732,IF(F14="Preenchimento",2.145,1)),1),""))</f>
        <v/>
      </c>
      <c r="P14" s="22" t="str">
        <f aca="false">IF(F14="","",IF(OR(F14="Principal",F14="Preenchimento"),IF(AND(J14="",K14=""),"",IF(IF(J14="",FALSE(),ABS(J14-$K$4)&gt;$K$5),IF(IF(K14="",FALSE(),K14&lt;$K$6),"Cor e IRC","Cor diferente"),IF(IF(K14="",FALSE(),K14&lt;$K$6),"IRC baixo","OK"))),"–"))</f>
        <v/>
      </c>
      <c r="Q14" s="24" t="str">
        <f aca="false">IF(AND(M14="",P14=""),"",IF(AND(OR(M14="–",M14=""),OR(P14="–",P14="")),"Não avaliado: não é luz de rosto",IF(IF(M14="Íngreme","Íngreme: afaste o refletor do alvo ou baixe-o",IF(M14="Baixa",IF(F14="Contraluz","Baixa: suba a contraluz, para não entrar na lente","Baixa: suba o refletor ou aproxime-o do alvo"),IF(M14="Atenção","No limite da faixa: confira na câmera","")))&amp;IF(P14="Cor diferente","Iguale a cor à referência",IF(P14="IRC baixo","IRC baixo para rosto: use em contraluz ou fundo",IF(P14="Cor e IRC","Cor e IRC fora: passe para contraluz ou fundo","")))="","Manter",IF(M14="Íngreme","Íngreme: afaste o refletor do alvo ou baixe-o",IF(M14="Baixa",IF(F14="Contraluz","Baixa: suba a contraluz, para não entrar na lente","Baixa: suba o refletor ou aproxime-o do alvo"),IF(M14="Atenção","No limite da faixa: confira na câmera","")))&amp;IF(AND(IF(M14="Íngreme","Íngreme: afaste o refletor do alvo ou baixe-o",IF(M14="Baixa",IF(F14="Contraluz","Baixa: suba a contraluz, para não entrar na lente","Baixa: suba o refletor ou aproxime-o do alvo"),IF(M14="Atenção","No limite da faixa: confira na câmera","")))&lt;&gt;"",IF(P14="Cor diferente","Iguale a cor à referência",IF(P14="IRC baixo","IRC baixo para rosto: use em contraluz ou fundo",IF(P14="Cor e IRC","Cor e IRC fora: passe para contraluz ou fundo","")))&lt;&gt;""),". ","")&amp;IF(P14="Cor diferente","Iguale a cor à referência",IF(P14="IRC baixo","IRC baixo para rosto: use em contraluz ou fundo",IF(P14="Cor e IRC","Cor e IRC fora: passe para contraluz ou fundo",""))))))</f>
        <v/>
      </c>
      <c r="R14" s="5"/>
      <c r="U14" s="11" t="n">
        <v>0.167343</v>
      </c>
    </row>
    <row r="15" customFormat="false" ht="27" hidden="false" customHeight="true" outlineLevel="0" collapsed="false">
      <c r="B15" s="19" t="n">
        <v>2</v>
      </c>
      <c r="C15" s="5"/>
      <c r="D15" s="5"/>
      <c r="E15" s="5"/>
      <c r="F15" s="20"/>
      <c r="G15" s="13"/>
      <c r="H15" s="13"/>
      <c r="I15" s="9"/>
      <c r="J15" s="9"/>
      <c r="K15" s="9"/>
      <c r="L15" s="21" t="str">
        <f aca="false">IF(OR(G15="",H15=""),"",IF(G15&lt;=0,90,IFERROR(MATCH(H15/G15,$U$5:$U$93,1),0)))</f>
        <v/>
      </c>
      <c r="M15" s="22" t="str">
        <f aca="false">IF(OR(F15="",L15=""),"",IF(F15="Principal",IF(L15&lt;25,"Baixa",IF(L15&lt;30,"Atenção",IF(L15&lt;=45,"OK",IF(L15&lt;=50,"Atenção","Íngreme")))),IF(F15="Preenchimento",IF(L15&lt;20,"Baixa",IF(L15&lt;25,"Atenção",IF(L15&lt;=45,"OK",IF(L15&lt;=50,"Atenção","Íngreme")))),IF(F15="Contraluz",IF(L15&lt;40,"Baixa",IF(L15&lt;45,"Atenção",IF(L15&lt;=60,"OK",IF(L15&lt;=70,"Atenção","Íngreme")))),"–"))))</f>
        <v/>
      </c>
      <c r="N15" s="23" t="str">
        <f aca="false">IF(H15="","",IF(OR(F15="Principal",F15="Preenchimento",F15="Contraluz"),ROUND(H15*IF(F15="Contraluz",0.577,1),1),""))</f>
        <v/>
      </c>
      <c r="O15" s="23" t="str">
        <f aca="false">IF(H15="","",IF(OR(F15="Principal",F15="Preenchimento",F15="Contraluz"),ROUND(H15*IF(F15="Principal",1.732,IF(F15="Preenchimento",2.145,1)),1),""))</f>
        <v/>
      </c>
      <c r="P15" s="22" t="str">
        <f aca="false">IF(F15="","",IF(OR(F15="Principal",F15="Preenchimento"),IF(AND(J15="",K15=""),"",IF(IF(J15="",FALSE(),ABS(J15-$K$4)&gt;$K$5),IF(IF(K15="",FALSE(),K15&lt;$K$6),"Cor e IRC","Cor diferente"),IF(IF(K15="",FALSE(),K15&lt;$K$6),"IRC baixo","OK"))),"–"))</f>
        <v/>
      </c>
      <c r="Q15" s="24" t="str">
        <f aca="false">IF(AND(M15="",P15=""),"",IF(AND(OR(M15="–",M15=""),OR(P15="–",P15="")),"Não avaliado: não é luz de rosto",IF(IF(M15="Íngreme","Íngreme: afaste o refletor do alvo ou baixe-o",IF(M15="Baixa",IF(F15="Contraluz","Baixa: suba a contraluz, para não entrar na lente","Baixa: suba o refletor ou aproxime-o do alvo"),IF(M15="Atenção","No limite da faixa: confira na câmera","")))&amp;IF(P15="Cor diferente","Iguale a cor à referência",IF(P15="IRC baixo","IRC baixo para rosto: use em contraluz ou fundo",IF(P15="Cor e IRC","Cor e IRC fora: passe para contraluz ou fundo","")))="","Manter",IF(M15="Íngreme","Íngreme: afaste o refletor do alvo ou baixe-o",IF(M15="Baixa",IF(F15="Contraluz","Baixa: suba a contraluz, para não entrar na lente","Baixa: suba o refletor ou aproxime-o do alvo"),IF(M15="Atenção","No limite da faixa: confira na câmera","")))&amp;IF(AND(IF(M15="Íngreme","Íngreme: afaste o refletor do alvo ou baixe-o",IF(M15="Baixa",IF(F15="Contraluz","Baixa: suba a contraluz, para não entrar na lente","Baixa: suba o refletor ou aproxime-o do alvo"),IF(M15="Atenção","No limite da faixa: confira na câmera","")))&lt;&gt;"",IF(P15="Cor diferente","Iguale a cor à referência",IF(P15="IRC baixo","IRC baixo para rosto: use em contraluz ou fundo",IF(P15="Cor e IRC","Cor e IRC fora: passe para contraluz ou fundo","")))&lt;&gt;""),". ","")&amp;IF(P15="Cor diferente","Iguale a cor à referência",IF(P15="IRC baixo","IRC baixo para rosto: use em contraluz ou fundo",IF(P15="Cor e IRC","Cor e IRC fora: passe para contraluz ou fundo",""))))))</f>
        <v/>
      </c>
      <c r="R15" s="5"/>
      <c r="U15" s="11" t="n">
        <v>0.185339</v>
      </c>
    </row>
    <row r="16" customFormat="false" ht="27" hidden="false" customHeight="true" outlineLevel="0" collapsed="false">
      <c r="B16" s="19" t="n">
        <v>3</v>
      </c>
      <c r="C16" s="5"/>
      <c r="D16" s="5"/>
      <c r="E16" s="5"/>
      <c r="F16" s="20"/>
      <c r="G16" s="13"/>
      <c r="H16" s="13"/>
      <c r="I16" s="9"/>
      <c r="J16" s="9"/>
      <c r="K16" s="9"/>
      <c r="L16" s="21" t="str">
        <f aca="false">IF(OR(G16="",H16=""),"",IF(G16&lt;=0,90,IFERROR(MATCH(H16/G16,$U$5:$U$93,1),0)))</f>
        <v/>
      </c>
      <c r="M16" s="22" t="str">
        <f aca="false">IF(OR(F16="",L16=""),"",IF(F16="Principal",IF(L16&lt;25,"Baixa",IF(L16&lt;30,"Atenção",IF(L16&lt;=45,"OK",IF(L16&lt;=50,"Atenção","Íngreme")))),IF(F16="Preenchimento",IF(L16&lt;20,"Baixa",IF(L16&lt;25,"Atenção",IF(L16&lt;=45,"OK",IF(L16&lt;=50,"Atenção","Íngreme")))),IF(F16="Contraluz",IF(L16&lt;40,"Baixa",IF(L16&lt;45,"Atenção",IF(L16&lt;=60,"OK",IF(L16&lt;=70,"Atenção","Íngreme")))),"–"))))</f>
        <v/>
      </c>
      <c r="N16" s="23" t="str">
        <f aca="false">IF(H16="","",IF(OR(F16="Principal",F16="Preenchimento",F16="Contraluz"),ROUND(H16*IF(F16="Contraluz",0.577,1),1),""))</f>
        <v/>
      </c>
      <c r="O16" s="23" t="str">
        <f aca="false">IF(H16="","",IF(OR(F16="Principal",F16="Preenchimento",F16="Contraluz"),ROUND(H16*IF(F16="Principal",1.732,IF(F16="Preenchimento",2.145,1)),1),""))</f>
        <v/>
      </c>
      <c r="P16" s="22" t="str">
        <f aca="false">IF(F16="","",IF(OR(F16="Principal",F16="Preenchimento"),IF(AND(J16="",K16=""),"",IF(IF(J16="",FALSE(),ABS(J16-$K$4)&gt;$K$5),IF(IF(K16="",FALSE(),K16&lt;$K$6),"Cor e IRC","Cor diferente"),IF(IF(K16="",FALSE(),K16&lt;$K$6),"IRC baixo","OK"))),"–"))</f>
        <v/>
      </c>
      <c r="Q16" s="24" t="str">
        <f aca="false">IF(AND(M16="",P16=""),"",IF(AND(OR(M16="–",M16=""),OR(P16="–",P16="")),"Não avaliado: não é luz de rosto",IF(IF(M16="Íngreme","Íngreme: afaste o refletor do alvo ou baixe-o",IF(M16="Baixa",IF(F16="Contraluz","Baixa: suba a contraluz, para não entrar na lente","Baixa: suba o refletor ou aproxime-o do alvo"),IF(M16="Atenção","No limite da faixa: confira na câmera","")))&amp;IF(P16="Cor diferente","Iguale a cor à referência",IF(P16="IRC baixo","IRC baixo para rosto: use em contraluz ou fundo",IF(P16="Cor e IRC","Cor e IRC fora: passe para contraluz ou fundo","")))="","Manter",IF(M16="Íngreme","Íngreme: afaste o refletor do alvo ou baixe-o",IF(M16="Baixa",IF(F16="Contraluz","Baixa: suba a contraluz, para não entrar na lente","Baixa: suba o refletor ou aproxime-o do alvo"),IF(M16="Atenção","No limite da faixa: confira na câmera","")))&amp;IF(AND(IF(M16="Íngreme","Íngreme: afaste o refletor do alvo ou baixe-o",IF(M16="Baixa",IF(F16="Contraluz","Baixa: suba a contraluz, para não entrar na lente","Baixa: suba o refletor ou aproxime-o do alvo"),IF(M16="Atenção","No limite da faixa: confira na câmera","")))&lt;&gt;"",IF(P16="Cor diferente","Iguale a cor à referência",IF(P16="IRC baixo","IRC baixo para rosto: use em contraluz ou fundo",IF(P16="Cor e IRC","Cor e IRC fora: passe para contraluz ou fundo","")))&lt;&gt;""),". ","")&amp;IF(P16="Cor diferente","Iguale a cor à referência",IF(P16="IRC baixo","IRC baixo para rosto: use em contraluz ou fundo",IF(P16="Cor e IRC","Cor e IRC fora: passe para contraluz ou fundo",""))))))</f>
        <v/>
      </c>
      <c r="R16" s="5"/>
      <c r="U16" s="11" t="n">
        <v>0.203452</v>
      </c>
    </row>
    <row r="17" customFormat="false" ht="27" hidden="false" customHeight="true" outlineLevel="0" collapsed="false">
      <c r="B17" s="19" t="n">
        <v>4</v>
      </c>
      <c r="C17" s="5"/>
      <c r="D17" s="5"/>
      <c r="E17" s="5"/>
      <c r="F17" s="20"/>
      <c r="G17" s="13"/>
      <c r="H17" s="13"/>
      <c r="I17" s="9"/>
      <c r="J17" s="9"/>
      <c r="K17" s="9"/>
      <c r="L17" s="21" t="str">
        <f aca="false">IF(OR(G17="",H17=""),"",IF(G17&lt;=0,90,IFERROR(MATCH(H17/G17,$U$5:$U$93,1),0)))</f>
        <v/>
      </c>
      <c r="M17" s="22" t="str">
        <f aca="false">IF(OR(F17="",L17=""),"",IF(F17="Principal",IF(L17&lt;25,"Baixa",IF(L17&lt;30,"Atenção",IF(L17&lt;=45,"OK",IF(L17&lt;=50,"Atenção","Íngreme")))),IF(F17="Preenchimento",IF(L17&lt;20,"Baixa",IF(L17&lt;25,"Atenção",IF(L17&lt;=45,"OK",IF(L17&lt;=50,"Atenção","Íngreme")))),IF(F17="Contraluz",IF(L17&lt;40,"Baixa",IF(L17&lt;45,"Atenção",IF(L17&lt;=60,"OK",IF(L17&lt;=70,"Atenção","Íngreme")))),"–"))))</f>
        <v/>
      </c>
      <c r="N17" s="23" t="str">
        <f aca="false">IF(H17="","",IF(OR(F17="Principal",F17="Preenchimento",F17="Contraluz"),ROUND(H17*IF(F17="Contraluz",0.577,1),1),""))</f>
        <v/>
      </c>
      <c r="O17" s="23" t="str">
        <f aca="false">IF(H17="","",IF(OR(F17="Principal",F17="Preenchimento",F17="Contraluz"),ROUND(H17*IF(F17="Principal",1.732,IF(F17="Preenchimento",2.145,1)),1),""))</f>
        <v/>
      </c>
      <c r="P17" s="22" t="str">
        <f aca="false">IF(F17="","",IF(OR(F17="Principal",F17="Preenchimento"),IF(AND(J17="",K17=""),"",IF(IF(J17="",FALSE(),ABS(J17-$K$4)&gt;$K$5),IF(IF(K17="",FALSE(),K17&lt;$K$6),"Cor e IRC","Cor diferente"),IF(IF(K17="",FALSE(),K17&lt;$K$6),"IRC baixo","OK"))),"–"))</f>
        <v/>
      </c>
      <c r="Q17" s="24" t="str">
        <f aca="false">IF(AND(M17="",P17=""),"",IF(AND(OR(M17="–",M17=""),OR(P17="–",P17="")),"Não avaliado: não é luz de rosto",IF(IF(M17="Íngreme","Íngreme: afaste o refletor do alvo ou baixe-o",IF(M17="Baixa",IF(F17="Contraluz","Baixa: suba a contraluz, para não entrar na lente","Baixa: suba o refletor ou aproxime-o do alvo"),IF(M17="Atenção","No limite da faixa: confira na câmera","")))&amp;IF(P17="Cor diferente","Iguale a cor à referência",IF(P17="IRC baixo","IRC baixo para rosto: use em contraluz ou fundo",IF(P17="Cor e IRC","Cor e IRC fora: passe para contraluz ou fundo","")))="","Manter",IF(M17="Íngreme","Íngreme: afaste o refletor do alvo ou baixe-o",IF(M17="Baixa",IF(F17="Contraluz","Baixa: suba a contraluz, para não entrar na lente","Baixa: suba o refletor ou aproxime-o do alvo"),IF(M17="Atenção","No limite da faixa: confira na câmera","")))&amp;IF(AND(IF(M17="Íngreme","Íngreme: afaste o refletor do alvo ou baixe-o",IF(M17="Baixa",IF(F17="Contraluz","Baixa: suba a contraluz, para não entrar na lente","Baixa: suba o refletor ou aproxime-o do alvo"),IF(M17="Atenção","No limite da faixa: confira na câmera","")))&lt;&gt;"",IF(P17="Cor diferente","Iguale a cor à referência",IF(P17="IRC baixo","IRC baixo para rosto: use em contraluz ou fundo",IF(P17="Cor e IRC","Cor e IRC fora: passe para contraluz ou fundo","")))&lt;&gt;""),". ","")&amp;IF(P17="Cor diferente","Iguale a cor à referência",IF(P17="IRC baixo","IRC baixo para rosto: use em contraluz ou fundo",IF(P17="Cor e IRC","Cor e IRC fora: passe para contraluz ou fundo",""))))))</f>
        <v/>
      </c>
      <c r="R17" s="5"/>
      <c r="U17" s="11" t="n">
        <v>0.221695</v>
      </c>
    </row>
    <row r="18" customFormat="false" ht="27" hidden="false" customHeight="true" outlineLevel="0" collapsed="false">
      <c r="B18" s="19" t="n">
        <v>5</v>
      </c>
      <c r="C18" s="5"/>
      <c r="D18" s="5"/>
      <c r="E18" s="5"/>
      <c r="F18" s="20"/>
      <c r="G18" s="13"/>
      <c r="H18" s="13"/>
      <c r="I18" s="9"/>
      <c r="J18" s="9"/>
      <c r="K18" s="9"/>
      <c r="L18" s="21" t="str">
        <f aca="false">IF(OR(G18="",H18=""),"",IF(G18&lt;=0,90,IFERROR(MATCH(H18/G18,$U$5:$U$93,1),0)))</f>
        <v/>
      </c>
      <c r="M18" s="22" t="str">
        <f aca="false">IF(OR(F18="",L18=""),"",IF(F18="Principal",IF(L18&lt;25,"Baixa",IF(L18&lt;30,"Atenção",IF(L18&lt;=45,"OK",IF(L18&lt;=50,"Atenção","Íngreme")))),IF(F18="Preenchimento",IF(L18&lt;20,"Baixa",IF(L18&lt;25,"Atenção",IF(L18&lt;=45,"OK",IF(L18&lt;=50,"Atenção","Íngreme")))),IF(F18="Contraluz",IF(L18&lt;40,"Baixa",IF(L18&lt;45,"Atenção",IF(L18&lt;=60,"OK",IF(L18&lt;=70,"Atenção","Íngreme")))),"–"))))</f>
        <v/>
      </c>
      <c r="N18" s="23" t="str">
        <f aca="false">IF(H18="","",IF(OR(F18="Principal",F18="Preenchimento",F18="Contraluz"),ROUND(H18*IF(F18="Contraluz",0.577,1),1),""))</f>
        <v/>
      </c>
      <c r="O18" s="23" t="str">
        <f aca="false">IF(H18="","",IF(OR(F18="Principal",F18="Preenchimento",F18="Contraluz"),ROUND(H18*IF(F18="Principal",1.732,IF(F18="Preenchimento",2.145,1)),1),""))</f>
        <v/>
      </c>
      <c r="P18" s="22" t="str">
        <f aca="false">IF(F18="","",IF(OR(F18="Principal",F18="Preenchimento"),IF(AND(J18="",K18=""),"",IF(IF(J18="",FALSE(),ABS(J18-$K$4)&gt;$K$5),IF(IF(K18="",FALSE(),K18&lt;$K$6),"Cor e IRC","Cor diferente"),IF(IF(K18="",FALSE(),K18&lt;$K$6),"IRC baixo","OK"))),"–"))</f>
        <v/>
      </c>
      <c r="Q18" s="24" t="str">
        <f aca="false">IF(AND(M18="",P18=""),"",IF(AND(OR(M18="–",M18=""),OR(P18="–",P18="")),"Não avaliado: não é luz de rosto",IF(IF(M18="Íngreme","Íngreme: afaste o refletor do alvo ou baixe-o",IF(M18="Baixa",IF(F18="Contraluz","Baixa: suba a contraluz, para não entrar na lente","Baixa: suba o refletor ou aproxime-o do alvo"),IF(M18="Atenção","No limite da faixa: confira na câmera","")))&amp;IF(P18="Cor diferente","Iguale a cor à referência",IF(P18="IRC baixo","IRC baixo para rosto: use em contraluz ou fundo",IF(P18="Cor e IRC","Cor e IRC fora: passe para contraluz ou fundo","")))="","Manter",IF(M18="Íngreme","Íngreme: afaste o refletor do alvo ou baixe-o",IF(M18="Baixa",IF(F18="Contraluz","Baixa: suba a contraluz, para não entrar na lente","Baixa: suba o refletor ou aproxime-o do alvo"),IF(M18="Atenção","No limite da faixa: confira na câmera","")))&amp;IF(AND(IF(M18="Íngreme","Íngreme: afaste o refletor do alvo ou baixe-o",IF(M18="Baixa",IF(F18="Contraluz","Baixa: suba a contraluz, para não entrar na lente","Baixa: suba o refletor ou aproxime-o do alvo"),IF(M18="Atenção","No limite da faixa: confira na câmera","")))&lt;&gt;"",IF(P18="Cor diferente","Iguale a cor à referência",IF(P18="IRC baixo","IRC baixo para rosto: use em contraluz ou fundo",IF(P18="Cor e IRC","Cor e IRC fora: passe para contraluz ou fundo","")))&lt;&gt;""),". ","")&amp;IF(P18="Cor diferente","Iguale a cor à referência",IF(P18="IRC baixo","IRC baixo para rosto: use em contraluz ou fundo",IF(P18="Cor e IRC","Cor e IRC fora: passe para contraluz ou fundo",""))))))</f>
        <v/>
      </c>
      <c r="R18" s="5"/>
      <c r="U18" s="11" t="n">
        <v>0.240079</v>
      </c>
    </row>
    <row r="19" customFormat="false" ht="27" hidden="false" customHeight="true" outlineLevel="0" collapsed="false">
      <c r="B19" s="19" t="n">
        <v>6</v>
      </c>
      <c r="C19" s="5"/>
      <c r="D19" s="5"/>
      <c r="E19" s="5"/>
      <c r="F19" s="20"/>
      <c r="G19" s="13"/>
      <c r="H19" s="13"/>
      <c r="I19" s="9"/>
      <c r="J19" s="9"/>
      <c r="K19" s="9"/>
      <c r="L19" s="21" t="str">
        <f aca="false">IF(OR(G19="",H19=""),"",IF(G19&lt;=0,90,IFERROR(MATCH(H19/G19,$U$5:$U$93,1),0)))</f>
        <v/>
      </c>
      <c r="M19" s="22" t="str">
        <f aca="false">IF(OR(F19="",L19=""),"",IF(F19="Principal",IF(L19&lt;25,"Baixa",IF(L19&lt;30,"Atenção",IF(L19&lt;=45,"OK",IF(L19&lt;=50,"Atenção","Íngreme")))),IF(F19="Preenchimento",IF(L19&lt;20,"Baixa",IF(L19&lt;25,"Atenção",IF(L19&lt;=45,"OK",IF(L19&lt;=50,"Atenção","Íngreme")))),IF(F19="Contraluz",IF(L19&lt;40,"Baixa",IF(L19&lt;45,"Atenção",IF(L19&lt;=60,"OK",IF(L19&lt;=70,"Atenção","Íngreme")))),"–"))))</f>
        <v/>
      </c>
      <c r="N19" s="23" t="str">
        <f aca="false">IF(H19="","",IF(OR(F19="Principal",F19="Preenchimento",F19="Contraluz"),ROUND(H19*IF(F19="Contraluz",0.577,1),1),""))</f>
        <v/>
      </c>
      <c r="O19" s="23" t="str">
        <f aca="false">IF(H19="","",IF(OR(F19="Principal",F19="Preenchimento",F19="Contraluz"),ROUND(H19*IF(F19="Principal",1.732,IF(F19="Preenchimento",2.145,1)),1),""))</f>
        <v/>
      </c>
      <c r="P19" s="22" t="str">
        <f aca="false">IF(F19="","",IF(OR(F19="Principal",F19="Preenchimento"),IF(AND(J19="",K19=""),"",IF(IF(J19="",FALSE(),ABS(J19-$K$4)&gt;$K$5),IF(IF(K19="",FALSE(),K19&lt;$K$6),"Cor e IRC","Cor diferente"),IF(IF(K19="",FALSE(),K19&lt;$K$6),"IRC baixo","OK"))),"–"))</f>
        <v/>
      </c>
      <c r="Q19" s="24" t="str">
        <f aca="false">IF(AND(M19="",P19=""),"",IF(AND(OR(M19="–",M19=""),OR(P19="–",P19="")),"Não avaliado: não é luz de rosto",IF(IF(M19="Íngreme","Íngreme: afaste o refletor do alvo ou baixe-o",IF(M19="Baixa",IF(F19="Contraluz","Baixa: suba a contraluz, para não entrar na lente","Baixa: suba o refletor ou aproxime-o do alvo"),IF(M19="Atenção","No limite da faixa: confira na câmera","")))&amp;IF(P19="Cor diferente","Iguale a cor à referência",IF(P19="IRC baixo","IRC baixo para rosto: use em contraluz ou fundo",IF(P19="Cor e IRC","Cor e IRC fora: passe para contraluz ou fundo","")))="","Manter",IF(M19="Íngreme","Íngreme: afaste o refletor do alvo ou baixe-o",IF(M19="Baixa",IF(F19="Contraluz","Baixa: suba a contraluz, para não entrar na lente","Baixa: suba o refletor ou aproxime-o do alvo"),IF(M19="Atenção","No limite da faixa: confira na câmera","")))&amp;IF(AND(IF(M19="Íngreme","Íngreme: afaste o refletor do alvo ou baixe-o",IF(M19="Baixa",IF(F19="Contraluz","Baixa: suba a contraluz, para não entrar na lente","Baixa: suba o refletor ou aproxime-o do alvo"),IF(M19="Atenção","No limite da faixa: confira na câmera","")))&lt;&gt;"",IF(P19="Cor diferente","Iguale a cor à referência",IF(P19="IRC baixo","IRC baixo para rosto: use em contraluz ou fundo",IF(P19="Cor e IRC","Cor e IRC fora: passe para contraluz ou fundo","")))&lt;&gt;""),". ","")&amp;IF(P19="Cor diferente","Iguale a cor à referência",IF(P19="IRC baixo","IRC baixo para rosto: use em contraluz ou fundo",IF(P19="Cor e IRC","Cor e IRC fora: passe para contraluz ou fundo",""))))))</f>
        <v/>
      </c>
      <c r="R19" s="5"/>
      <c r="U19" s="11" t="n">
        <v>0.258618</v>
      </c>
    </row>
    <row r="20" customFormat="false" ht="27" hidden="false" customHeight="true" outlineLevel="0" collapsed="false">
      <c r="B20" s="19" t="n">
        <v>7</v>
      </c>
      <c r="C20" s="5"/>
      <c r="D20" s="5"/>
      <c r="E20" s="5"/>
      <c r="F20" s="20"/>
      <c r="G20" s="13"/>
      <c r="H20" s="13"/>
      <c r="I20" s="9"/>
      <c r="J20" s="9"/>
      <c r="K20" s="9"/>
      <c r="L20" s="21" t="str">
        <f aca="false">IF(OR(G20="",H20=""),"",IF(G20&lt;=0,90,IFERROR(MATCH(H20/G20,$U$5:$U$93,1),0)))</f>
        <v/>
      </c>
      <c r="M20" s="22" t="str">
        <f aca="false">IF(OR(F20="",L20=""),"",IF(F20="Principal",IF(L20&lt;25,"Baixa",IF(L20&lt;30,"Atenção",IF(L20&lt;=45,"OK",IF(L20&lt;=50,"Atenção","Íngreme")))),IF(F20="Preenchimento",IF(L20&lt;20,"Baixa",IF(L20&lt;25,"Atenção",IF(L20&lt;=45,"OK",IF(L20&lt;=50,"Atenção","Íngreme")))),IF(F20="Contraluz",IF(L20&lt;40,"Baixa",IF(L20&lt;45,"Atenção",IF(L20&lt;=60,"OK",IF(L20&lt;=70,"Atenção","Íngreme")))),"–"))))</f>
        <v/>
      </c>
      <c r="N20" s="23" t="str">
        <f aca="false">IF(H20="","",IF(OR(F20="Principal",F20="Preenchimento",F20="Contraluz"),ROUND(H20*IF(F20="Contraluz",0.577,1),1),""))</f>
        <v/>
      </c>
      <c r="O20" s="23" t="str">
        <f aca="false">IF(H20="","",IF(OR(F20="Principal",F20="Preenchimento",F20="Contraluz"),ROUND(H20*IF(F20="Principal",1.732,IF(F20="Preenchimento",2.145,1)),1),""))</f>
        <v/>
      </c>
      <c r="P20" s="22" t="str">
        <f aca="false">IF(F20="","",IF(OR(F20="Principal",F20="Preenchimento"),IF(AND(J20="",K20=""),"",IF(IF(J20="",FALSE(),ABS(J20-$K$4)&gt;$K$5),IF(IF(K20="",FALSE(),K20&lt;$K$6),"Cor e IRC","Cor diferente"),IF(IF(K20="",FALSE(),K20&lt;$K$6),"IRC baixo","OK"))),"–"))</f>
        <v/>
      </c>
      <c r="Q20" s="24" t="str">
        <f aca="false">IF(AND(M20="",P20=""),"",IF(AND(OR(M20="–",M20=""),OR(P20="–",P20="")),"Não avaliado: não é luz de rosto",IF(IF(M20="Íngreme","Íngreme: afaste o refletor do alvo ou baixe-o",IF(M20="Baixa",IF(F20="Contraluz","Baixa: suba a contraluz, para não entrar na lente","Baixa: suba o refletor ou aproxime-o do alvo"),IF(M20="Atenção","No limite da faixa: confira na câmera","")))&amp;IF(P20="Cor diferente","Iguale a cor à referência",IF(P20="IRC baixo","IRC baixo para rosto: use em contraluz ou fundo",IF(P20="Cor e IRC","Cor e IRC fora: passe para contraluz ou fundo","")))="","Manter",IF(M20="Íngreme","Íngreme: afaste o refletor do alvo ou baixe-o",IF(M20="Baixa",IF(F20="Contraluz","Baixa: suba a contraluz, para não entrar na lente","Baixa: suba o refletor ou aproxime-o do alvo"),IF(M20="Atenção","No limite da faixa: confira na câmera","")))&amp;IF(AND(IF(M20="Íngreme","Íngreme: afaste o refletor do alvo ou baixe-o",IF(M20="Baixa",IF(F20="Contraluz","Baixa: suba a contraluz, para não entrar na lente","Baixa: suba o refletor ou aproxime-o do alvo"),IF(M20="Atenção","No limite da faixa: confira na câmera","")))&lt;&gt;"",IF(P20="Cor diferente","Iguale a cor à referência",IF(P20="IRC baixo","IRC baixo para rosto: use em contraluz ou fundo",IF(P20="Cor e IRC","Cor e IRC fora: passe para contraluz ou fundo","")))&lt;&gt;""),". ","")&amp;IF(P20="Cor diferente","Iguale a cor à referência",IF(P20="IRC baixo","IRC baixo para rosto: use em contraluz ou fundo",IF(P20="Cor e IRC","Cor e IRC fora: passe para contraluz ou fundo",""))))))</f>
        <v/>
      </c>
      <c r="R20" s="5"/>
      <c r="U20" s="11" t="n">
        <v>0.277325</v>
      </c>
    </row>
    <row r="21" customFormat="false" ht="27" hidden="false" customHeight="true" outlineLevel="0" collapsed="false">
      <c r="B21" s="19" t="n">
        <v>8</v>
      </c>
      <c r="C21" s="5"/>
      <c r="D21" s="5"/>
      <c r="E21" s="5"/>
      <c r="F21" s="20"/>
      <c r="G21" s="13"/>
      <c r="H21" s="13"/>
      <c r="I21" s="9"/>
      <c r="J21" s="9"/>
      <c r="K21" s="9"/>
      <c r="L21" s="21" t="str">
        <f aca="false">IF(OR(G21="",H21=""),"",IF(G21&lt;=0,90,IFERROR(MATCH(H21/G21,$U$5:$U$93,1),0)))</f>
        <v/>
      </c>
      <c r="M21" s="22" t="str">
        <f aca="false">IF(OR(F21="",L21=""),"",IF(F21="Principal",IF(L21&lt;25,"Baixa",IF(L21&lt;30,"Atenção",IF(L21&lt;=45,"OK",IF(L21&lt;=50,"Atenção","Íngreme")))),IF(F21="Preenchimento",IF(L21&lt;20,"Baixa",IF(L21&lt;25,"Atenção",IF(L21&lt;=45,"OK",IF(L21&lt;=50,"Atenção","Íngreme")))),IF(F21="Contraluz",IF(L21&lt;40,"Baixa",IF(L21&lt;45,"Atenção",IF(L21&lt;=60,"OK",IF(L21&lt;=70,"Atenção","Íngreme")))),"–"))))</f>
        <v/>
      </c>
      <c r="N21" s="23" t="str">
        <f aca="false">IF(H21="","",IF(OR(F21="Principal",F21="Preenchimento",F21="Contraluz"),ROUND(H21*IF(F21="Contraluz",0.577,1),1),""))</f>
        <v/>
      </c>
      <c r="O21" s="23" t="str">
        <f aca="false">IF(H21="","",IF(OR(F21="Principal",F21="Preenchimento",F21="Contraluz"),ROUND(H21*IF(F21="Principal",1.732,IF(F21="Preenchimento",2.145,1)),1),""))</f>
        <v/>
      </c>
      <c r="P21" s="22" t="str">
        <f aca="false">IF(F21="","",IF(OR(F21="Principal",F21="Preenchimento"),IF(AND(J21="",K21=""),"",IF(IF(J21="",FALSE(),ABS(J21-$K$4)&gt;$K$5),IF(IF(K21="",FALSE(),K21&lt;$K$6),"Cor e IRC","Cor diferente"),IF(IF(K21="",FALSE(),K21&lt;$K$6),"IRC baixo","OK"))),"–"))</f>
        <v/>
      </c>
      <c r="Q21" s="24" t="str">
        <f aca="false">IF(AND(M21="",P21=""),"",IF(AND(OR(M21="–",M21=""),OR(P21="–",P21="")),"Não avaliado: não é luz de rosto",IF(IF(M21="Íngreme","Íngreme: afaste o refletor do alvo ou baixe-o",IF(M21="Baixa",IF(F21="Contraluz","Baixa: suba a contraluz, para não entrar na lente","Baixa: suba o refletor ou aproxime-o do alvo"),IF(M21="Atenção","No limite da faixa: confira na câmera","")))&amp;IF(P21="Cor diferente","Iguale a cor à referência",IF(P21="IRC baixo","IRC baixo para rosto: use em contraluz ou fundo",IF(P21="Cor e IRC","Cor e IRC fora: passe para contraluz ou fundo","")))="","Manter",IF(M21="Íngreme","Íngreme: afaste o refletor do alvo ou baixe-o",IF(M21="Baixa",IF(F21="Contraluz","Baixa: suba a contraluz, para não entrar na lente","Baixa: suba o refletor ou aproxime-o do alvo"),IF(M21="Atenção","No limite da faixa: confira na câmera","")))&amp;IF(AND(IF(M21="Íngreme","Íngreme: afaste o refletor do alvo ou baixe-o",IF(M21="Baixa",IF(F21="Contraluz","Baixa: suba a contraluz, para não entrar na lente","Baixa: suba o refletor ou aproxime-o do alvo"),IF(M21="Atenção","No limite da faixa: confira na câmera","")))&lt;&gt;"",IF(P21="Cor diferente","Iguale a cor à referência",IF(P21="IRC baixo","IRC baixo para rosto: use em contraluz ou fundo",IF(P21="Cor e IRC","Cor e IRC fora: passe para contraluz ou fundo","")))&lt;&gt;""),". ","")&amp;IF(P21="Cor diferente","Iguale a cor à referência",IF(P21="IRC baixo","IRC baixo para rosto: use em contraluz ou fundo",IF(P21="Cor e IRC","Cor e IRC fora: passe para contraluz ou fundo",""))))))</f>
        <v/>
      </c>
      <c r="R21" s="5"/>
      <c r="U21" s="11" t="n">
        <v>0.296213</v>
      </c>
    </row>
    <row r="22" customFormat="false" ht="27" hidden="false" customHeight="true" outlineLevel="0" collapsed="false">
      <c r="B22" s="19" t="n">
        <v>9</v>
      </c>
      <c r="C22" s="5"/>
      <c r="D22" s="5"/>
      <c r="E22" s="5"/>
      <c r="F22" s="20"/>
      <c r="G22" s="13"/>
      <c r="H22" s="13"/>
      <c r="I22" s="9"/>
      <c r="J22" s="9"/>
      <c r="K22" s="9"/>
      <c r="L22" s="21" t="str">
        <f aca="false">IF(OR(G22="",H22=""),"",IF(G22&lt;=0,90,IFERROR(MATCH(H22/G22,$U$5:$U$93,1),0)))</f>
        <v/>
      </c>
      <c r="M22" s="22" t="str">
        <f aca="false">IF(OR(F22="",L22=""),"",IF(F22="Principal",IF(L22&lt;25,"Baixa",IF(L22&lt;30,"Atenção",IF(L22&lt;=45,"OK",IF(L22&lt;=50,"Atenção","Íngreme")))),IF(F22="Preenchimento",IF(L22&lt;20,"Baixa",IF(L22&lt;25,"Atenção",IF(L22&lt;=45,"OK",IF(L22&lt;=50,"Atenção","Íngreme")))),IF(F22="Contraluz",IF(L22&lt;40,"Baixa",IF(L22&lt;45,"Atenção",IF(L22&lt;=60,"OK",IF(L22&lt;=70,"Atenção","Íngreme")))),"–"))))</f>
        <v/>
      </c>
      <c r="N22" s="23" t="str">
        <f aca="false">IF(H22="","",IF(OR(F22="Principal",F22="Preenchimento",F22="Contraluz"),ROUND(H22*IF(F22="Contraluz",0.577,1),1),""))</f>
        <v/>
      </c>
      <c r="O22" s="23" t="str">
        <f aca="false">IF(H22="","",IF(OR(F22="Principal",F22="Preenchimento",F22="Contraluz"),ROUND(H22*IF(F22="Principal",1.732,IF(F22="Preenchimento",2.145,1)),1),""))</f>
        <v/>
      </c>
      <c r="P22" s="22" t="str">
        <f aca="false">IF(F22="","",IF(OR(F22="Principal",F22="Preenchimento"),IF(AND(J22="",K22=""),"",IF(IF(J22="",FALSE(),ABS(J22-$K$4)&gt;$K$5),IF(IF(K22="",FALSE(),K22&lt;$K$6),"Cor e IRC","Cor diferente"),IF(IF(K22="",FALSE(),K22&lt;$K$6),"IRC baixo","OK"))),"–"))</f>
        <v/>
      </c>
      <c r="Q22" s="24" t="str">
        <f aca="false">IF(AND(M22="",P22=""),"",IF(AND(OR(M22="–",M22=""),OR(P22="–",P22="")),"Não avaliado: não é luz de rosto",IF(IF(M22="Íngreme","Íngreme: afaste o refletor do alvo ou baixe-o",IF(M22="Baixa",IF(F22="Contraluz","Baixa: suba a contraluz, para não entrar na lente","Baixa: suba o refletor ou aproxime-o do alvo"),IF(M22="Atenção","No limite da faixa: confira na câmera","")))&amp;IF(P22="Cor diferente","Iguale a cor à referência",IF(P22="IRC baixo","IRC baixo para rosto: use em contraluz ou fundo",IF(P22="Cor e IRC","Cor e IRC fora: passe para contraluz ou fundo","")))="","Manter",IF(M22="Íngreme","Íngreme: afaste o refletor do alvo ou baixe-o",IF(M22="Baixa",IF(F22="Contraluz","Baixa: suba a contraluz, para não entrar na lente","Baixa: suba o refletor ou aproxime-o do alvo"),IF(M22="Atenção","No limite da faixa: confira na câmera","")))&amp;IF(AND(IF(M22="Íngreme","Íngreme: afaste o refletor do alvo ou baixe-o",IF(M22="Baixa",IF(F22="Contraluz","Baixa: suba a contraluz, para não entrar na lente","Baixa: suba o refletor ou aproxime-o do alvo"),IF(M22="Atenção","No limite da faixa: confira na câmera","")))&lt;&gt;"",IF(P22="Cor diferente","Iguale a cor à referência",IF(P22="IRC baixo","IRC baixo para rosto: use em contraluz ou fundo",IF(P22="Cor e IRC","Cor e IRC fora: passe para contraluz ou fundo","")))&lt;&gt;""),". ","")&amp;IF(P22="Cor diferente","Iguale a cor à referência",IF(P22="IRC baixo","IRC baixo para rosto: use em contraluz ou fundo",IF(P22="Cor e IRC","Cor e IRC fora: passe para contraluz ou fundo",""))))))</f>
        <v/>
      </c>
      <c r="R22" s="5"/>
      <c r="U22" s="11" t="n">
        <v>0.315299</v>
      </c>
    </row>
    <row r="23" customFormat="false" ht="27" hidden="false" customHeight="true" outlineLevel="0" collapsed="false">
      <c r="B23" s="19" t="n">
        <v>10</v>
      </c>
      <c r="C23" s="5"/>
      <c r="D23" s="5"/>
      <c r="E23" s="5"/>
      <c r="F23" s="20"/>
      <c r="G23" s="13"/>
      <c r="H23" s="13"/>
      <c r="I23" s="9"/>
      <c r="J23" s="9"/>
      <c r="K23" s="9"/>
      <c r="L23" s="21" t="str">
        <f aca="false">IF(OR(G23="",H23=""),"",IF(G23&lt;=0,90,IFERROR(MATCH(H23/G23,$U$5:$U$93,1),0)))</f>
        <v/>
      </c>
      <c r="M23" s="22" t="str">
        <f aca="false">IF(OR(F23="",L23=""),"",IF(F23="Principal",IF(L23&lt;25,"Baixa",IF(L23&lt;30,"Atenção",IF(L23&lt;=45,"OK",IF(L23&lt;=50,"Atenção","Íngreme")))),IF(F23="Preenchimento",IF(L23&lt;20,"Baixa",IF(L23&lt;25,"Atenção",IF(L23&lt;=45,"OK",IF(L23&lt;=50,"Atenção","Íngreme")))),IF(F23="Contraluz",IF(L23&lt;40,"Baixa",IF(L23&lt;45,"Atenção",IF(L23&lt;=60,"OK",IF(L23&lt;=70,"Atenção","Íngreme")))),"–"))))</f>
        <v/>
      </c>
      <c r="N23" s="23" t="str">
        <f aca="false">IF(H23="","",IF(OR(F23="Principal",F23="Preenchimento",F23="Contraluz"),ROUND(H23*IF(F23="Contraluz",0.577,1),1),""))</f>
        <v/>
      </c>
      <c r="O23" s="23" t="str">
        <f aca="false">IF(H23="","",IF(OR(F23="Principal",F23="Preenchimento",F23="Contraluz"),ROUND(H23*IF(F23="Principal",1.732,IF(F23="Preenchimento",2.145,1)),1),""))</f>
        <v/>
      </c>
      <c r="P23" s="22" t="str">
        <f aca="false">IF(F23="","",IF(OR(F23="Principal",F23="Preenchimento"),IF(AND(J23="",K23=""),"",IF(IF(J23="",FALSE(),ABS(J23-$K$4)&gt;$K$5),IF(IF(K23="",FALSE(),K23&lt;$K$6),"Cor e IRC","Cor diferente"),IF(IF(K23="",FALSE(),K23&lt;$K$6),"IRC baixo","OK"))),"–"))</f>
        <v/>
      </c>
      <c r="Q23" s="24" t="str">
        <f aca="false">IF(AND(M23="",P23=""),"",IF(AND(OR(M23="–",M23=""),OR(P23="–",P23="")),"Não avaliado: não é luz de rosto",IF(IF(M23="Íngreme","Íngreme: afaste o refletor do alvo ou baixe-o",IF(M23="Baixa",IF(F23="Contraluz","Baixa: suba a contraluz, para não entrar na lente","Baixa: suba o refletor ou aproxime-o do alvo"),IF(M23="Atenção","No limite da faixa: confira na câmera","")))&amp;IF(P23="Cor diferente","Iguale a cor à referência",IF(P23="IRC baixo","IRC baixo para rosto: use em contraluz ou fundo",IF(P23="Cor e IRC","Cor e IRC fora: passe para contraluz ou fundo","")))="","Manter",IF(M23="Íngreme","Íngreme: afaste o refletor do alvo ou baixe-o",IF(M23="Baixa",IF(F23="Contraluz","Baixa: suba a contraluz, para não entrar na lente","Baixa: suba o refletor ou aproxime-o do alvo"),IF(M23="Atenção","No limite da faixa: confira na câmera","")))&amp;IF(AND(IF(M23="Íngreme","Íngreme: afaste o refletor do alvo ou baixe-o",IF(M23="Baixa",IF(F23="Contraluz","Baixa: suba a contraluz, para não entrar na lente","Baixa: suba o refletor ou aproxime-o do alvo"),IF(M23="Atenção","No limite da faixa: confira na câmera","")))&lt;&gt;"",IF(P23="Cor diferente","Iguale a cor à referência",IF(P23="IRC baixo","IRC baixo para rosto: use em contraluz ou fundo",IF(P23="Cor e IRC","Cor e IRC fora: passe para contraluz ou fundo","")))&lt;&gt;""),". ","")&amp;IF(P23="Cor diferente","Iguale a cor à referência",IF(P23="IRC baixo","IRC baixo para rosto: use em contraluz ou fundo",IF(P23="Cor e IRC","Cor e IRC fora: passe para contraluz ou fundo",""))))))</f>
        <v/>
      </c>
      <c r="R23" s="5"/>
      <c r="U23" s="11" t="n">
        <v>0.334595</v>
      </c>
    </row>
    <row r="24" customFormat="false" ht="27" hidden="false" customHeight="true" outlineLevel="0" collapsed="false">
      <c r="B24" s="19" t="n">
        <v>11</v>
      </c>
      <c r="C24" s="5"/>
      <c r="D24" s="5"/>
      <c r="E24" s="5"/>
      <c r="F24" s="20"/>
      <c r="G24" s="13"/>
      <c r="H24" s="13"/>
      <c r="I24" s="9"/>
      <c r="J24" s="9"/>
      <c r="K24" s="9"/>
      <c r="L24" s="21" t="str">
        <f aca="false">IF(OR(G24="",H24=""),"",IF(G24&lt;=0,90,IFERROR(MATCH(H24/G24,$U$5:$U$93,1),0)))</f>
        <v/>
      </c>
      <c r="M24" s="22" t="str">
        <f aca="false">IF(OR(F24="",L24=""),"",IF(F24="Principal",IF(L24&lt;25,"Baixa",IF(L24&lt;30,"Atenção",IF(L24&lt;=45,"OK",IF(L24&lt;=50,"Atenção","Íngreme")))),IF(F24="Preenchimento",IF(L24&lt;20,"Baixa",IF(L24&lt;25,"Atenção",IF(L24&lt;=45,"OK",IF(L24&lt;=50,"Atenção","Íngreme")))),IF(F24="Contraluz",IF(L24&lt;40,"Baixa",IF(L24&lt;45,"Atenção",IF(L24&lt;=60,"OK",IF(L24&lt;=70,"Atenção","Íngreme")))),"–"))))</f>
        <v/>
      </c>
      <c r="N24" s="23" t="str">
        <f aca="false">IF(H24="","",IF(OR(F24="Principal",F24="Preenchimento",F24="Contraluz"),ROUND(H24*IF(F24="Contraluz",0.577,1),1),""))</f>
        <v/>
      </c>
      <c r="O24" s="23" t="str">
        <f aca="false">IF(H24="","",IF(OR(F24="Principal",F24="Preenchimento",F24="Contraluz"),ROUND(H24*IF(F24="Principal",1.732,IF(F24="Preenchimento",2.145,1)),1),""))</f>
        <v/>
      </c>
      <c r="P24" s="22" t="str">
        <f aca="false">IF(F24="","",IF(OR(F24="Principal",F24="Preenchimento"),IF(AND(J24="",K24=""),"",IF(IF(J24="",FALSE(),ABS(J24-$K$4)&gt;$K$5),IF(IF(K24="",FALSE(),K24&lt;$K$6),"Cor e IRC","Cor diferente"),IF(IF(K24="",FALSE(),K24&lt;$K$6),"IRC baixo","OK"))),"–"))</f>
        <v/>
      </c>
      <c r="Q24" s="24" t="str">
        <f aca="false">IF(AND(M24="",P24=""),"",IF(AND(OR(M24="–",M24=""),OR(P24="–",P24="")),"Não avaliado: não é luz de rosto",IF(IF(M24="Íngreme","Íngreme: afaste o refletor do alvo ou baixe-o",IF(M24="Baixa",IF(F24="Contraluz","Baixa: suba a contraluz, para não entrar na lente","Baixa: suba o refletor ou aproxime-o do alvo"),IF(M24="Atenção","No limite da faixa: confira na câmera","")))&amp;IF(P24="Cor diferente","Iguale a cor à referência",IF(P24="IRC baixo","IRC baixo para rosto: use em contraluz ou fundo",IF(P24="Cor e IRC","Cor e IRC fora: passe para contraluz ou fundo","")))="","Manter",IF(M24="Íngreme","Íngreme: afaste o refletor do alvo ou baixe-o",IF(M24="Baixa",IF(F24="Contraluz","Baixa: suba a contraluz, para não entrar na lente","Baixa: suba o refletor ou aproxime-o do alvo"),IF(M24="Atenção","No limite da faixa: confira na câmera","")))&amp;IF(AND(IF(M24="Íngreme","Íngreme: afaste o refletor do alvo ou baixe-o",IF(M24="Baixa",IF(F24="Contraluz","Baixa: suba a contraluz, para não entrar na lente","Baixa: suba o refletor ou aproxime-o do alvo"),IF(M24="Atenção","No limite da faixa: confira na câmera","")))&lt;&gt;"",IF(P24="Cor diferente","Iguale a cor à referência",IF(P24="IRC baixo","IRC baixo para rosto: use em contraluz ou fundo",IF(P24="Cor e IRC","Cor e IRC fora: passe para contraluz ou fundo","")))&lt;&gt;""),". ","")&amp;IF(P24="Cor diferente","Iguale a cor à referência",IF(P24="IRC baixo","IRC baixo para rosto: use em contraluz ou fundo",IF(P24="Cor e IRC","Cor e IRC fora: passe para contraluz ou fundo",""))))))</f>
        <v/>
      </c>
      <c r="R24" s="5"/>
      <c r="U24" s="11" t="n">
        <v>0.354119</v>
      </c>
    </row>
    <row r="25" customFormat="false" ht="27" hidden="false" customHeight="true" outlineLevel="0" collapsed="false">
      <c r="B25" s="19" t="n">
        <v>12</v>
      </c>
      <c r="C25" s="5"/>
      <c r="D25" s="5"/>
      <c r="E25" s="5"/>
      <c r="F25" s="20"/>
      <c r="G25" s="13"/>
      <c r="H25" s="13"/>
      <c r="I25" s="9"/>
      <c r="J25" s="9"/>
      <c r="K25" s="9"/>
      <c r="L25" s="21" t="str">
        <f aca="false">IF(OR(G25="",H25=""),"",IF(G25&lt;=0,90,IFERROR(MATCH(H25/G25,$U$5:$U$93,1),0)))</f>
        <v/>
      </c>
      <c r="M25" s="22" t="str">
        <f aca="false">IF(OR(F25="",L25=""),"",IF(F25="Principal",IF(L25&lt;25,"Baixa",IF(L25&lt;30,"Atenção",IF(L25&lt;=45,"OK",IF(L25&lt;=50,"Atenção","Íngreme")))),IF(F25="Preenchimento",IF(L25&lt;20,"Baixa",IF(L25&lt;25,"Atenção",IF(L25&lt;=45,"OK",IF(L25&lt;=50,"Atenção","Íngreme")))),IF(F25="Contraluz",IF(L25&lt;40,"Baixa",IF(L25&lt;45,"Atenção",IF(L25&lt;=60,"OK",IF(L25&lt;=70,"Atenção","Íngreme")))),"–"))))</f>
        <v/>
      </c>
      <c r="N25" s="23" t="str">
        <f aca="false">IF(H25="","",IF(OR(F25="Principal",F25="Preenchimento",F25="Contraluz"),ROUND(H25*IF(F25="Contraluz",0.577,1),1),""))</f>
        <v/>
      </c>
      <c r="O25" s="23" t="str">
        <f aca="false">IF(H25="","",IF(OR(F25="Principal",F25="Preenchimento",F25="Contraluz"),ROUND(H25*IF(F25="Principal",1.732,IF(F25="Preenchimento",2.145,1)),1),""))</f>
        <v/>
      </c>
      <c r="P25" s="22" t="str">
        <f aca="false">IF(F25="","",IF(OR(F25="Principal",F25="Preenchimento"),IF(AND(J25="",K25=""),"",IF(IF(J25="",FALSE(),ABS(J25-$K$4)&gt;$K$5),IF(IF(K25="",FALSE(),K25&lt;$K$6),"Cor e IRC","Cor diferente"),IF(IF(K25="",FALSE(),K25&lt;$K$6),"IRC baixo","OK"))),"–"))</f>
        <v/>
      </c>
      <c r="Q25" s="24" t="str">
        <f aca="false">IF(AND(M25="",P25=""),"",IF(AND(OR(M25="–",M25=""),OR(P25="–",P25="")),"Não avaliado: não é luz de rosto",IF(IF(M25="Íngreme","Íngreme: afaste o refletor do alvo ou baixe-o",IF(M25="Baixa",IF(F25="Contraluz","Baixa: suba a contraluz, para não entrar na lente","Baixa: suba o refletor ou aproxime-o do alvo"),IF(M25="Atenção","No limite da faixa: confira na câmera","")))&amp;IF(P25="Cor diferente","Iguale a cor à referência",IF(P25="IRC baixo","IRC baixo para rosto: use em contraluz ou fundo",IF(P25="Cor e IRC","Cor e IRC fora: passe para contraluz ou fundo","")))="","Manter",IF(M25="Íngreme","Íngreme: afaste o refletor do alvo ou baixe-o",IF(M25="Baixa",IF(F25="Contraluz","Baixa: suba a contraluz, para não entrar na lente","Baixa: suba o refletor ou aproxime-o do alvo"),IF(M25="Atenção","No limite da faixa: confira na câmera","")))&amp;IF(AND(IF(M25="Íngreme","Íngreme: afaste o refletor do alvo ou baixe-o",IF(M25="Baixa",IF(F25="Contraluz","Baixa: suba a contraluz, para não entrar na lente","Baixa: suba o refletor ou aproxime-o do alvo"),IF(M25="Atenção","No limite da faixa: confira na câmera","")))&lt;&gt;"",IF(P25="Cor diferente","Iguale a cor à referência",IF(P25="IRC baixo","IRC baixo para rosto: use em contraluz ou fundo",IF(P25="Cor e IRC","Cor e IRC fora: passe para contraluz ou fundo","")))&lt;&gt;""),". ","")&amp;IF(P25="Cor diferente","Iguale a cor à referência",IF(P25="IRC baixo","IRC baixo para rosto: use em contraluz ou fundo",IF(P25="Cor e IRC","Cor e IRC fora: passe para contraluz ou fundo",""))))))</f>
        <v/>
      </c>
      <c r="R25" s="5"/>
      <c r="U25" s="11" t="n">
        <v>0.373885</v>
      </c>
    </row>
    <row r="26" customFormat="false" ht="27" hidden="false" customHeight="true" outlineLevel="0" collapsed="false">
      <c r="B26" s="19" t="n">
        <v>13</v>
      </c>
      <c r="C26" s="5"/>
      <c r="D26" s="5"/>
      <c r="E26" s="5"/>
      <c r="F26" s="20"/>
      <c r="G26" s="13"/>
      <c r="H26" s="13"/>
      <c r="I26" s="9"/>
      <c r="J26" s="9"/>
      <c r="K26" s="9"/>
      <c r="L26" s="21" t="str">
        <f aca="false">IF(OR(G26="",H26=""),"",IF(G26&lt;=0,90,IFERROR(MATCH(H26/G26,$U$5:$U$93,1),0)))</f>
        <v/>
      </c>
      <c r="M26" s="22" t="str">
        <f aca="false">IF(OR(F26="",L26=""),"",IF(F26="Principal",IF(L26&lt;25,"Baixa",IF(L26&lt;30,"Atenção",IF(L26&lt;=45,"OK",IF(L26&lt;=50,"Atenção","Íngreme")))),IF(F26="Preenchimento",IF(L26&lt;20,"Baixa",IF(L26&lt;25,"Atenção",IF(L26&lt;=45,"OK",IF(L26&lt;=50,"Atenção","Íngreme")))),IF(F26="Contraluz",IF(L26&lt;40,"Baixa",IF(L26&lt;45,"Atenção",IF(L26&lt;=60,"OK",IF(L26&lt;=70,"Atenção","Íngreme")))),"–"))))</f>
        <v/>
      </c>
      <c r="N26" s="23" t="str">
        <f aca="false">IF(H26="","",IF(OR(F26="Principal",F26="Preenchimento",F26="Contraluz"),ROUND(H26*IF(F26="Contraluz",0.577,1),1),""))</f>
        <v/>
      </c>
      <c r="O26" s="23" t="str">
        <f aca="false">IF(H26="","",IF(OR(F26="Principal",F26="Preenchimento",F26="Contraluz"),ROUND(H26*IF(F26="Principal",1.732,IF(F26="Preenchimento",2.145,1)),1),""))</f>
        <v/>
      </c>
      <c r="P26" s="22" t="str">
        <f aca="false">IF(F26="","",IF(OR(F26="Principal",F26="Preenchimento"),IF(AND(J26="",K26=""),"",IF(IF(J26="",FALSE(),ABS(J26-$K$4)&gt;$K$5),IF(IF(K26="",FALSE(),K26&lt;$K$6),"Cor e IRC","Cor diferente"),IF(IF(K26="",FALSE(),K26&lt;$K$6),"IRC baixo","OK"))),"–"))</f>
        <v/>
      </c>
      <c r="Q26" s="24" t="str">
        <f aca="false">IF(AND(M26="",P26=""),"",IF(AND(OR(M26="–",M26=""),OR(P26="–",P26="")),"Não avaliado: não é luz de rosto",IF(IF(M26="Íngreme","Íngreme: afaste o refletor do alvo ou baixe-o",IF(M26="Baixa",IF(F26="Contraluz","Baixa: suba a contraluz, para não entrar na lente","Baixa: suba o refletor ou aproxime-o do alvo"),IF(M26="Atenção","No limite da faixa: confira na câmera","")))&amp;IF(P26="Cor diferente","Iguale a cor à referência",IF(P26="IRC baixo","IRC baixo para rosto: use em contraluz ou fundo",IF(P26="Cor e IRC","Cor e IRC fora: passe para contraluz ou fundo","")))="","Manter",IF(M26="Íngreme","Íngreme: afaste o refletor do alvo ou baixe-o",IF(M26="Baixa",IF(F26="Contraluz","Baixa: suba a contraluz, para não entrar na lente","Baixa: suba o refletor ou aproxime-o do alvo"),IF(M26="Atenção","No limite da faixa: confira na câmera","")))&amp;IF(AND(IF(M26="Íngreme","Íngreme: afaste o refletor do alvo ou baixe-o",IF(M26="Baixa",IF(F26="Contraluz","Baixa: suba a contraluz, para não entrar na lente","Baixa: suba o refletor ou aproxime-o do alvo"),IF(M26="Atenção","No limite da faixa: confira na câmera","")))&lt;&gt;"",IF(P26="Cor diferente","Iguale a cor à referência",IF(P26="IRC baixo","IRC baixo para rosto: use em contraluz ou fundo",IF(P26="Cor e IRC","Cor e IRC fora: passe para contraluz ou fundo","")))&lt;&gt;""),". ","")&amp;IF(P26="Cor diferente","Iguale a cor à referência",IF(P26="IRC baixo","IRC baixo para rosto: use em contraluz ou fundo",IF(P26="Cor e IRC","Cor e IRC fora: passe para contraluz ou fundo",""))))))</f>
        <v/>
      </c>
      <c r="R26" s="5"/>
      <c r="U26" s="11" t="n">
        <v>0.39391</v>
      </c>
    </row>
    <row r="27" customFormat="false" ht="27" hidden="false" customHeight="true" outlineLevel="0" collapsed="false">
      <c r="B27" s="19" t="n">
        <v>14</v>
      </c>
      <c r="C27" s="5"/>
      <c r="D27" s="5"/>
      <c r="E27" s="5"/>
      <c r="F27" s="20"/>
      <c r="G27" s="13"/>
      <c r="H27" s="13"/>
      <c r="I27" s="9"/>
      <c r="J27" s="9"/>
      <c r="K27" s="9"/>
      <c r="L27" s="21" t="str">
        <f aca="false">IF(OR(G27="",H27=""),"",IF(G27&lt;=0,90,IFERROR(MATCH(H27/G27,$U$5:$U$93,1),0)))</f>
        <v/>
      </c>
      <c r="M27" s="22" t="str">
        <f aca="false">IF(OR(F27="",L27=""),"",IF(F27="Principal",IF(L27&lt;25,"Baixa",IF(L27&lt;30,"Atenção",IF(L27&lt;=45,"OK",IF(L27&lt;=50,"Atenção","Íngreme")))),IF(F27="Preenchimento",IF(L27&lt;20,"Baixa",IF(L27&lt;25,"Atenção",IF(L27&lt;=45,"OK",IF(L27&lt;=50,"Atenção","Íngreme")))),IF(F27="Contraluz",IF(L27&lt;40,"Baixa",IF(L27&lt;45,"Atenção",IF(L27&lt;=60,"OK",IF(L27&lt;=70,"Atenção","Íngreme")))),"–"))))</f>
        <v/>
      </c>
      <c r="N27" s="23" t="str">
        <f aca="false">IF(H27="","",IF(OR(F27="Principal",F27="Preenchimento",F27="Contraluz"),ROUND(H27*IF(F27="Contraluz",0.577,1),1),""))</f>
        <v/>
      </c>
      <c r="O27" s="23" t="str">
        <f aca="false">IF(H27="","",IF(OR(F27="Principal",F27="Preenchimento",F27="Contraluz"),ROUND(H27*IF(F27="Principal",1.732,IF(F27="Preenchimento",2.145,1)),1),""))</f>
        <v/>
      </c>
      <c r="P27" s="22" t="str">
        <f aca="false">IF(F27="","",IF(OR(F27="Principal",F27="Preenchimento"),IF(AND(J27="",K27=""),"",IF(IF(J27="",FALSE(),ABS(J27-$K$4)&gt;$K$5),IF(IF(K27="",FALSE(),K27&lt;$K$6),"Cor e IRC","Cor diferente"),IF(IF(K27="",FALSE(),K27&lt;$K$6),"IRC baixo","OK"))),"–"))</f>
        <v/>
      </c>
      <c r="Q27" s="24" t="str">
        <f aca="false">IF(AND(M27="",P27=""),"",IF(AND(OR(M27="–",M27=""),OR(P27="–",P27="")),"Não avaliado: não é luz de rosto",IF(IF(M27="Íngreme","Íngreme: afaste o refletor do alvo ou baixe-o",IF(M27="Baixa",IF(F27="Contraluz","Baixa: suba a contraluz, para não entrar na lente","Baixa: suba o refletor ou aproxime-o do alvo"),IF(M27="Atenção","No limite da faixa: confira na câmera","")))&amp;IF(P27="Cor diferente","Iguale a cor à referência",IF(P27="IRC baixo","IRC baixo para rosto: use em contraluz ou fundo",IF(P27="Cor e IRC","Cor e IRC fora: passe para contraluz ou fundo","")))="","Manter",IF(M27="Íngreme","Íngreme: afaste o refletor do alvo ou baixe-o",IF(M27="Baixa",IF(F27="Contraluz","Baixa: suba a contraluz, para não entrar na lente","Baixa: suba o refletor ou aproxime-o do alvo"),IF(M27="Atenção","No limite da faixa: confira na câmera","")))&amp;IF(AND(IF(M27="Íngreme","Íngreme: afaste o refletor do alvo ou baixe-o",IF(M27="Baixa",IF(F27="Contraluz","Baixa: suba a contraluz, para não entrar na lente","Baixa: suba o refletor ou aproxime-o do alvo"),IF(M27="Atenção","No limite da faixa: confira na câmera","")))&lt;&gt;"",IF(P27="Cor diferente","Iguale a cor à referência",IF(P27="IRC baixo","IRC baixo para rosto: use em contraluz ou fundo",IF(P27="Cor e IRC","Cor e IRC fora: passe para contraluz ou fundo","")))&lt;&gt;""),". ","")&amp;IF(P27="Cor diferente","Iguale a cor à referência",IF(P27="IRC baixo","IRC baixo para rosto: use em contraluz ou fundo",IF(P27="Cor e IRC","Cor e IRC fora: passe para contraluz ou fundo",""))))))</f>
        <v/>
      </c>
      <c r="R27" s="5"/>
      <c r="U27" s="11" t="n">
        <v>0.414214</v>
      </c>
    </row>
    <row r="28" customFormat="false" ht="27" hidden="false" customHeight="true" outlineLevel="0" collapsed="false">
      <c r="B28" s="19" t="n">
        <v>15</v>
      </c>
      <c r="C28" s="5"/>
      <c r="D28" s="5"/>
      <c r="E28" s="5"/>
      <c r="F28" s="20"/>
      <c r="G28" s="13"/>
      <c r="H28" s="13"/>
      <c r="I28" s="9"/>
      <c r="J28" s="9"/>
      <c r="K28" s="9"/>
      <c r="L28" s="21" t="str">
        <f aca="false">IF(OR(G28="",H28=""),"",IF(G28&lt;=0,90,IFERROR(MATCH(H28/G28,$U$5:$U$93,1),0)))</f>
        <v/>
      </c>
      <c r="M28" s="22" t="str">
        <f aca="false">IF(OR(F28="",L28=""),"",IF(F28="Principal",IF(L28&lt;25,"Baixa",IF(L28&lt;30,"Atenção",IF(L28&lt;=45,"OK",IF(L28&lt;=50,"Atenção","Íngreme")))),IF(F28="Preenchimento",IF(L28&lt;20,"Baixa",IF(L28&lt;25,"Atenção",IF(L28&lt;=45,"OK",IF(L28&lt;=50,"Atenção","Íngreme")))),IF(F28="Contraluz",IF(L28&lt;40,"Baixa",IF(L28&lt;45,"Atenção",IF(L28&lt;=60,"OK",IF(L28&lt;=70,"Atenção","Íngreme")))),"–"))))</f>
        <v/>
      </c>
      <c r="N28" s="23" t="str">
        <f aca="false">IF(H28="","",IF(OR(F28="Principal",F28="Preenchimento",F28="Contraluz"),ROUND(H28*IF(F28="Contraluz",0.577,1),1),""))</f>
        <v/>
      </c>
      <c r="O28" s="23" t="str">
        <f aca="false">IF(H28="","",IF(OR(F28="Principal",F28="Preenchimento",F28="Contraluz"),ROUND(H28*IF(F28="Principal",1.732,IF(F28="Preenchimento",2.145,1)),1),""))</f>
        <v/>
      </c>
      <c r="P28" s="22" t="str">
        <f aca="false">IF(F28="","",IF(OR(F28="Principal",F28="Preenchimento"),IF(AND(J28="",K28=""),"",IF(IF(J28="",FALSE(),ABS(J28-$K$4)&gt;$K$5),IF(IF(K28="",FALSE(),K28&lt;$K$6),"Cor e IRC","Cor diferente"),IF(IF(K28="",FALSE(),K28&lt;$K$6),"IRC baixo","OK"))),"–"))</f>
        <v/>
      </c>
      <c r="Q28" s="24" t="str">
        <f aca="false">IF(AND(M28="",P28=""),"",IF(AND(OR(M28="–",M28=""),OR(P28="–",P28="")),"Não avaliado: não é luz de rosto",IF(IF(M28="Íngreme","Íngreme: afaste o refletor do alvo ou baixe-o",IF(M28="Baixa",IF(F28="Contraluz","Baixa: suba a contraluz, para não entrar na lente","Baixa: suba o refletor ou aproxime-o do alvo"),IF(M28="Atenção","No limite da faixa: confira na câmera","")))&amp;IF(P28="Cor diferente","Iguale a cor à referência",IF(P28="IRC baixo","IRC baixo para rosto: use em contraluz ou fundo",IF(P28="Cor e IRC","Cor e IRC fora: passe para contraluz ou fundo","")))="","Manter",IF(M28="Íngreme","Íngreme: afaste o refletor do alvo ou baixe-o",IF(M28="Baixa",IF(F28="Contraluz","Baixa: suba a contraluz, para não entrar na lente","Baixa: suba o refletor ou aproxime-o do alvo"),IF(M28="Atenção","No limite da faixa: confira na câmera","")))&amp;IF(AND(IF(M28="Íngreme","Íngreme: afaste o refletor do alvo ou baixe-o",IF(M28="Baixa",IF(F28="Contraluz","Baixa: suba a contraluz, para não entrar na lente","Baixa: suba o refletor ou aproxime-o do alvo"),IF(M28="Atenção","No limite da faixa: confira na câmera","")))&lt;&gt;"",IF(P28="Cor diferente","Iguale a cor à referência",IF(P28="IRC baixo","IRC baixo para rosto: use em contraluz ou fundo",IF(P28="Cor e IRC","Cor e IRC fora: passe para contraluz ou fundo","")))&lt;&gt;""),". ","")&amp;IF(P28="Cor diferente","Iguale a cor à referência",IF(P28="IRC baixo","IRC baixo para rosto: use em contraluz ou fundo",IF(P28="Cor e IRC","Cor e IRC fora: passe para contraluz ou fundo",""))))))</f>
        <v/>
      </c>
      <c r="R28" s="5"/>
      <c r="U28" s="11" t="n">
        <v>0.434812</v>
      </c>
    </row>
    <row r="29" customFormat="false" ht="27" hidden="false" customHeight="true" outlineLevel="0" collapsed="false">
      <c r="B29" s="19" t="n">
        <v>16</v>
      </c>
      <c r="C29" s="5"/>
      <c r="D29" s="5"/>
      <c r="E29" s="5"/>
      <c r="F29" s="20"/>
      <c r="G29" s="13"/>
      <c r="H29" s="13"/>
      <c r="I29" s="9"/>
      <c r="J29" s="9"/>
      <c r="K29" s="9"/>
      <c r="L29" s="21" t="str">
        <f aca="false">IF(OR(G29="",H29=""),"",IF(G29&lt;=0,90,IFERROR(MATCH(H29/G29,$U$5:$U$93,1),0)))</f>
        <v/>
      </c>
      <c r="M29" s="22" t="str">
        <f aca="false">IF(OR(F29="",L29=""),"",IF(F29="Principal",IF(L29&lt;25,"Baixa",IF(L29&lt;30,"Atenção",IF(L29&lt;=45,"OK",IF(L29&lt;=50,"Atenção","Íngreme")))),IF(F29="Preenchimento",IF(L29&lt;20,"Baixa",IF(L29&lt;25,"Atenção",IF(L29&lt;=45,"OK",IF(L29&lt;=50,"Atenção","Íngreme")))),IF(F29="Contraluz",IF(L29&lt;40,"Baixa",IF(L29&lt;45,"Atenção",IF(L29&lt;=60,"OK",IF(L29&lt;=70,"Atenção","Íngreme")))),"–"))))</f>
        <v/>
      </c>
      <c r="N29" s="23" t="str">
        <f aca="false">IF(H29="","",IF(OR(F29="Principal",F29="Preenchimento",F29="Contraluz"),ROUND(H29*IF(F29="Contraluz",0.577,1),1),""))</f>
        <v/>
      </c>
      <c r="O29" s="23" t="str">
        <f aca="false">IF(H29="","",IF(OR(F29="Principal",F29="Preenchimento",F29="Contraluz"),ROUND(H29*IF(F29="Principal",1.732,IF(F29="Preenchimento",2.145,1)),1),""))</f>
        <v/>
      </c>
      <c r="P29" s="22" t="str">
        <f aca="false">IF(F29="","",IF(OR(F29="Principal",F29="Preenchimento"),IF(AND(J29="",K29=""),"",IF(IF(J29="",FALSE(),ABS(J29-$K$4)&gt;$K$5),IF(IF(K29="",FALSE(),K29&lt;$K$6),"Cor e IRC","Cor diferente"),IF(IF(K29="",FALSE(),K29&lt;$K$6),"IRC baixo","OK"))),"–"))</f>
        <v/>
      </c>
      <c r="Q29" s="24" t="str">
        <f aca="false">IF(AND(M29="",P29=""),"",IF(AND(OR(M29="–",M29=""),OR(P29="–",P29="")),"Não avaliado: não é luz de rosto",IF(IF(M29="Íngreme","Íngreme: afaste o refletor do alvo ou baixe-o",IF(M29="Baixa",IF(F29="Contraluz","Baixa: suba a contraluz, para não entrar na lente","Baixa: suba o refletor ou aproxime-o do alvo"),IF(M29="Atenção","No limite da faixa: confira na câmera","")))&amp;IF(P29="Cor diferente","Iguale a cor à referência",IF(P29="IRC baixo","IRC baixo para rosto: use em contraluz ou fundo",IF(P29="Cor e IRC","Cor e IRC fora: passe para contraluz ou fundo","")))="","Manter",IF(M29="Íngreme","Íngreme: afaste o refletor do alvo ou baixe-o",IF(M29="Baixa",IF(F29="Contraluz","Baixa: suba a contraluz, para não entrar na lente","Baixa: suba o refletor ou aproxime-o do alvo"),IF(M29="Atenção","No limite da faixa: confira na câmera","")))&amp;IF(AND(IF(M29="Íngreme","Íngreme: afaste o refletor do alvo ou baixe-o",IF(M29="Baixa",IF(F29="Contraluz","Baixa: suba a contraluz, para não entrar na lente","Baixa: suba o refletor ou aproxime-o do alvo"),IF(M29="Atenção","No limite da faixa: confira na câmera","")))&lt;&gt;"",IF(P29="Cor diferente","Iguale a cor à referência",IF(P29="IRC baixo","IRC baixo para rosto: use em contraluz ou fundo",IF(P29="Cor e IRC","Cor e IRC fora: passe para contraluz ou fundo","")))&lt;&gt;""),". ","")&amp;IF(P29="Cor diferente","Iguale a cor à referência",IF(P29="IRC baixo","IRC baixo para rosto: use em contraluz ou fundo",IF(P29="Cor e IRC","Cor e IRC fora: passe para contraluz ou fundo",""))))))</f>
        <v/>
      </c>
      <c r="R29" s="5"/>
      <c r="U29" s="11" t="n">
        <v>0.455726</v>
      </c>
    </row>
    <row r="30" customFormat="false" ht="27" hidden="false" customHeight="true" outlineLevel="0" collapsed="false">
      <c r="B30" s="19" t="n">
        <v>17</v>
      </c>
      <c r="C30" s="5"/>
      <c r="D30" s="5"/>
      <c r="E30" s="5"/>
      <c r="F30" s="20"/>
      <c r="G30" s="13"/>
      <c r="H30" s="13"/>
      <c r="I30" s="9"/>
      <c r="J30" s="9"/>
      <c r="K30" s="9"/>
      <c r="L30" s="21" t="str">
        <f aca="false">IF(OR(G30="",H30=""),"",IF(G30&lt;=0,90,IFERROR(MATCH(H30/G30,$U$5:$U$93,1),0)))</f>
        <v/>
      </c>
      <c r="M30" s="22" t="str">
        <f aca="false">IF(OR(F30="",L30=""),"",IF(F30="Principal",IF(L30&lt;25,"Baixa",IF(L30&lt;30,"Atenção",IF(L30&lt;=45,"OK",IF(L30&lt;=50,"Atenção","Íngreme")))),IF(F30="Preenchimento",IF(L30&lt;20,"Baixa",IF(L30&lt;25,"Atenção",IF(L30&lt;=45,"OK",IF(L30&lt;=50,"Atenção","Íngreme")))),IF(F30="Contraluz",IF(L30&lt;40,"Baixa",IF(L30&lt;45,"Atenção",IF(L30&lt;=60,"OK",IF(L30&lt;=70,"Atenção","Íngreme")))),"–"))))</f>
        <v/>
      </c>
      <c r="N30" s="23" t="str">
        <f aca="false">IF(H30="","",IF(OR(F30="Principal",F30="Preenchimento",F30="Contraluz"),ROUND(H30*IF(F30="Contraluz",0.577,1),1),""))</f>
        <v/>
      </c>
      <c r="O30" s="23" t="str">
        <f aca="false">IF(H30="","",IF(OR(F30="Principal",F30="Preenchimento",F30="Contraluz"),ROUND(H30*IF(F30="Principal",1.732,IF(F30="Preenchimento",2.145,1)),1),""))</f>
        <v/>
      </c>
      <c r="P30" s="22" t="str">
        <f aca="false">IF(F30="","",IF(OR(F30="Principal",F30="Preenchimento"),IF(AND(J30="",K30=""),"",IF(IF(J30="",FALSE(),ABS(J30-$K$4)&gt;$K$5),IF(IF(K30="",FALSE(),K30&lt;$K$6),"Cor e IRC","Cor diferente"),IF(IF(K30="",FALSE(),K30&lt;$K$6),"IRC baixo","OK"))),"–"))</f>
        <v/>
      </c>
      <c r="Q30" s="24" t="str">
        <f aca="false">IF(AND(M30="",P30=""),"",IF(AND(OR(M30="–",M30=""),OR(P30="–",P30="")),"Não avaliado: não é luz de rosto",IF(IF(M30="Íngreme","Íngreme: afaste o refletor do alvo ou baixe-o",IF(M30="Baixa",IF(F30="Contraluz","Baixa: suba a contraluz, para não entrar na lente","Baixa: suba o refletor ou aproxime-o do alvo"),IF(M30="Atenção","No limite da faixa: confira na câmera","")))&amp;IF(P30="Cor diferente","Iguale a cor à referência",IF(P30="IRC baixo","IRC baixo para rosto: use em contraluz ou fundo",IF(P30="Cor e IRC","Cor e IRC fora: passe para contraluz ou fundo","")))="","Manter",IF(M30="Íngreme","Íngreme: afaste o refletor do alvo ou baixe-o",IF(M30="Baixa",IF(F30="Contraluz","Baixa: suba a contraluz, para não entrar na lente","Baixa: suba o refletor ou aproxime-o do alvo"),IF(M30="Atenção","No limite da faixa: confira na câmera","")))&amp;IF(AND(IF(M30="Íngreme","Íngreme: afaste o refletor do alvo ou baixe-o",IF(M30="Baixa",IF(F30="Contraluz","Baixa: suba a contraluz, para não entrar na lente","Baixa: suba o refletor ou aproxime-o do alvo"),IF(M30="Atenção","No limite da faixa: confira na câmera","")))&lt;&gt;"",IF(P30="Cor diferente","Iguale a cor à referência",IF(P30="IRC baixo","IRC baixo para rosto: use em contraluz ou fundo",IF(P30="Cor e IRC","Cor e IRC fora: passe para contraluz ou fundo","")))&lt;&gt;""),". ","")&amp;IF(P30="Cor diferente","Iguale a cor à referência",IF(P30="IRC baixo","IRC baixo para rosto: use em contraluz ou fundo",IF(P30="Cor e IRC","Cor e IRC fora: passe para contraluz ou fundo",""))))))</f>
        <v/>
      </c>
      <c r="R30" s="5"/>
      <c r="U30" s="11" t="n">
        <v>0.476976</v>
      </c>
    </row>
    <row r="31" customFormat="false" ht="27" hidden="false" customHeight="true" outlineLevel="0" collapsed="false">
      <c r="B31" s="19" t="n">
        <v>18</v>
      </c>
      <c r="C31" s="5"/>
      <c r="D31" s="5"/>
      <c r="E31" s="5"/>
      <c r="F31" s="20"/>
      <c r="G31" s="13"/>
      <c r="H31" s="13"/>
      <c r="I31" s="9"/>
      <c r="J31" s="9"/>
      <c r="K31" s="9"/>
      <c r="L31" s="21" t="str">
        <f aca="false">IF(OR(G31="",H31=""),"",IF(G31&lt;=0,90,IFERROR(MATCH(H31/G31,$U$5:$U$93,1),0)))</f>
        <v/>
      </c>
      <c r="M31" s="22" t="str">
        <f aca="false">IF(OR(F31="",L31=""),"",IF(F31="Principal",IF(L31&lt;25,"Baixa",IF(L31&lt;30,"Atenção",IF(L31&lt;=45,"OK",IF(L31&lt;=50,"Atenção","Íngreme")))),IF(F31="Preenchimento",IF(L31&lt;20,"Baixa",IF(L31&lt;25,"Atenção",IF(L31&lt;=45,"OK",IF(L31&lt;=50,"Atenção","Íngreme")))),IF(F31="Contraluz",IF(L31&lt;40,"Baixa",IF(L31&lt;45,"Atenção",IF(L31&lt;=60,"OK",IF(L31&lt;=70,"Atenção","Íngreme")))),"–"))))</f>
        <v/>
      </c>
      <c r="N31" s="23" t="str">
        <f aca="false">IF(H31="","",IF(OR(F31="Principal",F31="Preenchimento",F31="Contraluz"),ROUND(H31*IF(F31="Contraluz",0.577,1),1),""))</f>
        <v/>
      </c>
      <c r="O31" s="23" t="str">
        <f aca="false">IF(H31="","",IF(OR(F31="Principal",F31="Preenchimento",F31="Contraluz"),ROUND(H31*IF(F31="Principal",1.732,IF(F31="Preenchimento",2.145,1)),1),""))</f>
        <v/>
      </c>
      <c r="P31" s="22" t="str">
        <f aca="false">IF(F31="","",IF(OR(F31="Principal",F31="Preenchimento"),IF(AND(J31="",K31=""),"",IF(IF(J31="",FALSE(),ABS(J31-$K$4)&gt;$K$5),IF(IF(K31="",FALSE(),K31&lt;$K$6),"Cor e IRC","Cor diferente"),IF(IF(K31="",FALSE(),K31&lt;$K$6),"IRC baixo","OK"))),"–"))</f>
        <v/>
      </c>
      <c r="Q31" s="24" t="str">
        <f aca="false">IF(AND(M31="",P31=""),"",IF(AND(OR(M31="–",M31=""),OR(P31="–",P31="")),"Não avaliado: não é luz de rosto",IF(IF(M31="Íngreme","Íngreme: afaste o refletor do alvo ou baixe-o",IF(M31="Baixa",IF(F31="Contraluz","Baixa: suba a contraluz, para não entrar na lente","Baixa: suba o refletor ou aproxime-o do alvo"),IF(M31="Atenção","No limite da faixa: confira na câmera","")))&amp;IF(P31="Cor diferente","Iguale a cor à referência",IF(P31="IRC baixo","IRC baixo para rosto: use em contraluz ou fundo",IF(P31="Cor e IRC","Cor e IRC fora: passe para contraluz ou fundo","")))="","Manter",IF(M31="Íngreme","Íngreme: afaste o refletor do alvo ou baixe-o",IF(M31="Baixa",IF(F31="Contraluz","Baixa: suba a contraluz, para não entrar na lente","Baixa: suba o refletor ou aproxime-o do alvo"),IF(M31="Atenção","No limite da faixa: confira na câmera","")))&amp;IF(AND(IF(M31="Íngreme","Íngreme: afaste o refletor do alvo ou baixe-o",IF(M31="Baixa",IF(F31="Contraluz","Baixa: suba a contraluz, para não entrar na lente","Baixa: suba o refletor ou aproxime-o do alvo"),IF(M31="Atenção","No limite da faixa: confira na câmera","")))&lt;&gt;"",IF(P31="Cor diferente","Iguale a cor à referência",IF(P31="IRC baixo","IRC baixo para rosto: use em contraluz ou fundo",IF(P31="Cor e IRC","Cor e IRC fora: passe para contraluz ou fundo","")))&lt;&gt;""),". ","")&amp;IF(P31="Cor diferente","Iguale a cor à referência",IF(P31="IRC baixo","IRC baixo para rosto: use em contraluz ou fundo",IF(P31="Cor e IRC","Cor e IRC fora: passe para contraluz ou fundo",""))))))</f>
        <v/>
      </c>
      <c r="R31" s="5"/>
      <c r="U31" s="11" t="n">
        <v>0.498582</v>
      </c>
    </row>
    <row r="32" customFormat="false" ht="27" hidden="false" customHeight="true" outlineLevel="0" collapsed="false">
      <c r="B32" s="19" t="n">
        <v>19</v>
      </c>
      <c r="C32" s="5"/>
      <c r="D32" s="5"/>
      <c r="E32" s="5"/>
      <c r="F32" s="20"/>
      <c r="G32" s="13"/>
      <c r="H32" s="13"/>
      <c r="I32" s="9"/>
      <c r="J32" s="9"/>
      <c r="K32" s="9"/>
      <c r="L32" s="21" t="str">
        <f aca="false">IF(OR(G32="",H32=""),"",IF(G32&lt;=0,90,IFERROR(MATCH(H32/G32,$U$5:$U$93,1),0)))</f>
        <v/>
      </c>
      <c r="M32" s="22" t="str">
        <f aca="false">IF(OR(F32="",L32=""),"",IF(F32="Principal",IF(L32&lt;25,"Baixa",IF(L32&lt;30,"Atenção",IF(L32&lt;=45,"OK",IF(L32&lt;=50,"Atenção","Íngreme")))),IF(F32="Preenchimento",IF(L32&lt;20,"Baixa",IF(L32&lt;25,"Atenção",IF(L32&lt;=45,"OK",IF(L32&lt;=50,"Atenção","Íngreme")))),IF(F32="Contraluz",IF(L32&lt;40,"Baixa",IF(L32&lt;45,"Atenção",IF(L32&lt;=60,"OK",IF(L32&lt;=70,"Atenção","Íngreme")))),"–"))))</f>
        <v/>
      </c>
      <c r="N32" s="23" t="str">
        <f aca="false">IF(H32="","",IF(OR(F32="Principal",F32="Preenchimento",F32="Contraluz"),ROUND(H32*IF(F32="Contraluz",0.577,1),1),""))</f>
        <v/>
      </c>
      <c r="O32" s="23" t="str">
        <f aca="false">IF(H32="","",IF(OR(F32="Principal",F32="Preenchimento",F32="Contraluz"),ROUND(H32*IF(F32="Principal",1.732,IF(F32="Preenchimento",2.145,1)),1),""))</f>
        <v/>
      </c>
      <c r="P32" s="22" t="str">
        <f aca="false">IF(F32="","",IF(OR(F32="Principal",F32="Preenchimento"),IF(AND(J32="",K32=""),"",IF(IF(J32="",FALSE(),ABS(J32-$K$4)&gt;$K$5),IF(IF(K32="",FALSE(),K32&lt;$K$6),"Cor e IRC","Cor diferente"),IF(IF(K32="",FALSE(),K32&lt;$K$6),"IRC baixo","OK"))),"–"))</f>
        <v/>
      </c>
      <c r="Q32" s="24" t="str">
        <f aca="false">IF(AND(M32="",P32=""),"",IF(AND(OR(M32="–",M32=""),OR(P32="–",P32="")),"Não avaliado: não é luz de rosto",IF(IF(M32="Íngreme","Íngreme: afaste o refletor do alvo ou baixe-o",IF(M32="Baixa",IF(F32="Contraluz","Baixa: suba a contraluz, para não entrar na lente","Baixa: suba o refletor ou aproxime-o do alvo"),IF(M32="Atenção","No limite da faixa: confira na câmera","")))&amp;IF(P32="Cor diferente","Iguale a cor à referência",IF(P32="IRC baixo","IRC baixo para rosto: use em contraluz ou fundo",IF(P32="Cor e IRC","Cor e IRC fora: passe para contraluz ou fundo","")))="","Manter",IF(M32="Íngreme","Íngreme: afaste o refletor do alvo ou baixe-o",IF(M32="Baixa",IF(F32="Contraluz","Baixa: suba a contraluz, para não entrar na lente","Baixa: suba o refletor ou aproxime-o do alvo"),IF(M32="Atenção","No limite da faixa: confira na câmera","")))&amp;IF(AND(IF(M32="Íngreme","Íngreme: afaste o refletor do alvo ou baixe-o",IF(M32="Baixa",IF(F32="Contraluz","Baixa: suba a contraluz, para não entrar na lente","Baixa: suba o refletor ou aproxime-o do alvo"),IF(M32="Atenção","No limite da faixa: confira na câmera","")))&lt;&gt;"",IF(P32="Cor diferente","Iguale a cor à referência",IF(P32="IRC baixo","IRC baixo para rosto: use em contraluz ou fundo",IF(P32="Cor e IRC","Cor e IRC fora: passe para contraluz ou fundo","")))&lt;&gt;""),". ","")&amp;IF(P32="Cor diferente","Iguale a cor à referência",IF(P32="IRC baixo","IRC baixo para rosto: use em contraluz ou fundo",IF(P32="Cor e IRC","Cor e IRC fora: passe para contraluz ou fundo",""))))))</f>
        <v/>
      </c>
      <c r="R32" s="5"/>
      <c r="U32" s="11" t="n">
        <v>0.520567</v>
      </c>
    </row>
    <row r="33" customFormat="false" ht="27" hidden="false" customHeight="true" outlineLevel="0" collapsed="false">
      <c r="B33" s="19" t="n">
        <v>20</v>
      </c>
      <c r="C33" s="5"/>
      <c r="D33" s="5"/>
      <c r="E33" s="5"/>
      <c r="F33" s="20"/>
      <c r="G33" s="13"/>
      <c r="H33" s="13"/>
      <c r="I33" s="9"/>
      <c r="J33" s="9"/>
      <c r="K33" s="9"/>
      <c r="L33" s="21" t="str">
        <f aca="false">IF(OR(G33="",H33=""),"",IF(G33&lt;=0,90,IFERROR(MATCH(H33/G33,$U$5:$U$93,1),0)))</f>
        <v/>
      </c>
      <c r="M33" s="22" t="str">
        <f aca="false">IF(OR(F33="",L33=""),"",IF(F33="Principal",IF(L33&lt;25,"Baixa",IF(L33&lt;30,"Atenção",IF(L33&lt;=45,"OK",IF(L33&lt;=50,"Atenção","Íngreme")))),IF(F33="Preenchimento",IF(L33&lt;20,"Baixa",IF(L33&lt;25,"Atenção",IF(L33&lt;=45,"OK",IF(L33&lt;=50,"Atenção","Íngreme")))),IF(F33="Contraluz",IF(L33&lt;40,"Baixa",IF(L33&lt;45,"Atenção",IF(L33&lt;=60,"OK",IF(L33&lt;=70,"Atenção","Íngreme")))),"–"))))</f>
        <v/>
      </c>
      <c r="N33" s="23" t="str">
        <f aca="false">IF(H33="","",IF(OR(F33="Principal",F33="Preenchimento",F33="Contraluz"),ROUND(H33*IF(F33="Contraluz",0.577,1),1),""))</f>
        <v/>
      </c>
      <c r="O33" s="23" t="str">
        <f aca="false">IF(H33="","",IF(OR(F33="Principal",F33="Preenchimento",F33="Contraluz"),ROUND(H33*IF(F33="Principal",1.732,IF(F33="Preenchimento",2.145,1)),1),""))</f>
        <v/>
      </c>
      <c r="P33" s="22" t="str">
        <f aca="false">IF(F33="","",IF(OR(F33="Principal",F33="Preenchimento"),IF(AND(J33="",K33=""),"",IF(IF(J33="",FALSE(),ABS(J33-$K$4)&gt;$K$5),IF(IF(K33="",FALSE(),K33&lt;$K$6),"Cor e IRC","Cor diferente"),IF(IF(K33="",FALSE(),K33&lt;$K$6),"IRC baixo","OK"))),"–"))</f>
        <v/>
      </c>
      <c r="Q33" s="24" t="str">
        <f aca="false">IF(AND(M33="",P33=""),"",IF(AND(OR(M33="–",M33=""),OR(P33="–",P33="")),"Não avaliado: não é luz de rosto",IF(IF(M33="Íngreme","Íngreme: afaste o refletor do alvo ou baixe-o",IF(M33="Baixa",IF(F33="Contraluz","Baixa: suba a contraluz, para não entrar na lente","Baixa: suba o refletor ou aproxime-o do alvo"),IF(M33="Atenção","No limite da faixa: confira na câmera","")))&amp;IF(P33="Cor diferente","Iguale a cor à referência",IF(P33="IRC baixo","IRC baixo para rosto: use em contraluz ou fundo",IF(P33="Cor e IRC","Cor e IRC fora: passe para contraluz ou fundo","")))="","Manter",IF(M33="Íngreme","Íngreme: afaste o refletor do alvo ou baixe-o",IF(M33="Baixa",IF(F33="Contraluz","Baixa: suba a contraluz, para não entrar na lente","Baixa: suba o refletor ou aproxime-o do alvo"),IF(M33="Atenção","No limite da faixa: confira na câmera","")))&amp;IF(AND(IF(M33="Íngreme","Íngreme: afaste o refletor do alvo ou baixe-o",IF(M33="Baixa",IF(F33="Contraluz","Baixa: suba a contraluz, para não entrar na lente","Baixa: suba o refletor ou aproxime-o do alvo"),IF(M33="Atenção","No limite da faixa: confira na câmera","")))&lt;&gt;"",IF(P33="Cor diferente","Iguale a cor à referência",IF(P33="IRC baixo","IRC baixo para rosto: use em contraluz ou fundo",IF(P33="Cor e IRC","Cor e IRC fora: passe para contraluz ou fundo","")))&lt;&gt;""),". ","")&amp;IF(P33="Cor diferente","Iguale a cor à referência",IF(P33="IRC baixo","IRC baixo para rosto: use em contraluz ou fundo",IF(P33="Cor e IRC","Cor e IRC fora: passe para contraluz ou fundo",""))))))</f>
        <v/>
      </c>
      <c r="R33" s="5"/>
      <c r="U33" s="11" t="n">
        <v>0.542956</v>
      </c>
    </row>
    <row r="34" customFormat="false" ht="15" hidden="false" customHeight="false" outlineLevel="0" collapsed="false">
      <c r="U34" s="11" t="n">
        <v>0.565773</v>
      </c>
    </row>
    <row r="35" customFormat="false" ht="21.75" hidden="false" customHeight="true" outlineLevel="0" collapsed="false">
      <c r="B35" s="14" t="s">
        <v>110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U35" s="11" t="n">
        <v>0.589045</v>
      </c>
    </row>
    <row r="36" customFormat="false" ht="30" hidden="false" customHeight="true" outlineLevel="0" collapsed="false">
      <c r="B36" s="15" t="s">
        <v>76</v>
      </c>
      <c r="C36" s="15" t="s">
        <v>79</v>
      </c>
      <c r="D36" s="16" t="s">
        <v>111</v>
      </c>
      <c r="E36" s="25" t="s">
        <v>112</v>
      </c>
      <c r="F36" s="15" t="s">
        <v>52</v>
      </c>
      <c r="G36" s="17" t="s">
        <v>113</v>
      </c>
      <c r="H36" s="17" t="s">
        <v>114</v>
      </c>
      <c r="I36" s="17" t="s">
        <v>115</v>
      </c>
      <c r="J36" s="17" t="s">
        <v>116</v>
      </c>
      <c r="K36" s="17" t="s">
        <v>89</v>
      </c>
      <c r="L36" s="17"/>
      <c r="M36" s="17"/>
      <c r="N36" s="17"/>
      <c r="O36" s="17"/>
      <c r="P36" s="17"/>
      <c r="Q36" s="17"/>
      <c r="R36" s="15" t="s">
        <v>90</v>
      </c>
      <c r="U36" s="11" t="n">
        <v>0.612801</v>
      </c>
    </row>
    <row r="37" customFormat="false" ht="27" hidden="false" customHeight="true" outlineLevel="0" collapsed="false">
      <c r="B37" s="18"/>
      <c r="C37" s="18"/>
      <c r="D37" s="18" t="s">
        <v>117</v>
      </c>
      <c r="E37" s="18" t="s">
        <v>118</v>
      </c>
      <c r="F37" s="18" t="s">
        <v>119</v>
      </c>
      <c r="G37" s="18" t="s">
        <v>120</v>
      </c>
      <c r="H37" s="18" t="s">
        <v>121</v>
      </c>
      <c r="I37" s="18" t="s">
        <v>121</v>
      </c>
      <c r="J37" s="18"/>
      <c r="K37" s="18"/>
      <c r="L37" s="18"/>
      <c r="M37" s="18"/>
      <c r="N37" s="18"/>
      <c r="O37" s="18"/>
      <c r="P37" s="18"/>
      <c r="Q37" s="18"/>
      <c r="R37" s="18"/>
      <c r="U37" s="11" t="n">
        <v>0.63707</v>
      </c>
    </row>
    <row r="38" customFormat="false" ht="21.75" hidden="false" customHeight="true" outlineLevel="0" collapsed="false">
      <c r="B38" s="19" t="n">
        <v>1</v>
      </c>
      <c r="C38" s="5"/>
      <c r="D38" s="9"/>
      <c r="E38" s="9"/>
      <c r="F38" s="9"/>
      <c r="G38" s="26" t="str">
        <f aca="false">IF(OR(D38="",E38=""),"",IF(OR(D38&lt;=0,E38&lt;=0),"",ROUND(D38/E38,1)))</f>
        <v/>
      </c>
      <c r="H38" s="23" t="str">
        <f aca="false">IF(G38="","",ROUND(LOG10(D38/E38)/LOG10(2),1))</f>
        <v/>
      </c>
      <c r="I38" s="23" t="str">
        <f aca="false">IF(OR(D38="",F38=""),"",IF(OR(D38&lt;=0,F38&lt;=0),"",ROUND(LOG10(D38/F38)/LOG10(2),1)))</f>
        <v/>
      </c>
      <c r="J38" s="22" t="str">
        <f aca="false">IF(D38="","",IF(D38&lt;$K$7,"Luz baixa",IF(G38="",IF(I38="","OK",IF(I38&lt;1,"Fundo claro","OK")),IF(G38&gt;$K$8,"Contraste alto",IF(G38&lt;1.5,"Chapado",IF(I38="","OK",IF(I38&lt;1,"Fundo claro","OK")))))))</f>
        <v/>
      </c>
      <c r="K38" s="24" t="str">
        <f aca="false">IF(J38="","",IF(J38="Luz baixa","Suba a principal ou aproxime-a até a luz mínima de referência",IF(J38="Contraste alto","Suba o preenchimento até a razão chegar perto de 2:1",IF(J38="Chapado","Baixe o preenchimento até a razão chegar perto de 2:1",IF(J38="Fundo claro","Baixe a luz do fundo ou o brilho do telão: de 1 a 2 stops abaixo do rosto","Manter")))))</f>
        <v/>
      </c>
      <c r="L38" s="24"/>
      <c r="M38" s="24"/>
      <c r="N38" s="24"/>
      <c r="O38" s="24"/>
      <c r="P38" s="24"/>
      <c r="Q38" s="24"/>
      <c r="R38" s="5"/>
      <c r="U38" s="11" t="n">
        <v>0.661886</v>
      </c>
    </row>
    <row r="39" customFormat="false" ht="21.75" hidden="false" customHeight="true" outlineLevel="0" collapsed="false">
      <c r="B39" s="19" t="n">
        <v>2</v>
      </c>
      <c r="C39" s="5"/>
      <c r="D39" s="9"/>
      <c r="E39" s="9"/>
      <c r="F39" s="9"/>
      <c r="G39" s="26" t="str">
        <f aca="false">IF(OR(D39="",E39=""),"",IF(OR(D39&lt;=0,E39&lt;=0),"",ROUND(D39/E39,1)))</f>
        <v/>
      </c>
      <c r="H39" s="23" t="str">
        <f aca="false">IF(G39="","",ROUND(LOG10(D39/E39)/LOG10(2),1))</f>
        <v/>
      </c>
      <c r="I39" s="23" t="str">
        <f aca="false">IF(OR(D39="",F39=""),"",IF(OR(D39&lt;=0,F39&lt;=0),"",ROUND(LOG10(D39/F39)/LOG10(2),1)))</f>
        <v/>
      </c>
      <c r="J39" s="22" t="str">
        <f aca="false">IF(D39="","",IF(D39&lt;$K$7,"Luz baixa",IF(G39="",IF(I39="","OK",IF(I39&lt;1,"Fundo claro","OK")),IF(G39&gt;$K$8,"Contraste alto",IF(G39&lt;1.5,"Chapado",IF(I39="","OK",IF(I39&lt;1,"Fundo claro","OK")))))))</f>
        <v/>
      </c>
      <c r="K39" s="24" t="str">
        <f aca="false">IF(J39="","",IF(J39="Luz baixa","Suba a principal ou aproxime-a até a luz mínima de referência",IF(J39="Contraste alto","Suba o preenchimento até a razão chegar perto de 2:1",IF(J39="Chapado","Baixe o preenchimento até a razão chegar perto de 2:1",IF(J39="Fundo claro","Baixe a luz do fundo ou o brilho do telão: de 1 a 2 stops abaixo do rosto","Manter")))))</f>
        <v/>
      </c>
      <c r="L39" s="24"/>
      <c r="M39" s="24"/>
      <c r="N39" s="24"/>
      <c r="O39" s="24"/>
      <c r="P39" s="24"/>
      <c r="Q39" s="24"/>
      <c r="R39" s="5"/>
      <c r="U39" s="11" t="n">
        <v>0.687281</v>
      </c>
    </row>
    <row r="40" customFormat="false" ht="21.75" hidden="false" customHeight="true" outlineLevel="0" collapsed="false">
      <c r="B40" s="19" t="n">
        <v>3</v>
      </c>
      <c r="C40" s="5"/>
      <c r="D40" s="9"/>
      <c r="E40" s="9"/>
      <c r="F40" s="9"/>
      <c r="G40" s="26" t="str">
        <f aca="false">IF(OR(D40="",E40=""),"",IF(OR(D40&lt;=0,E40&lt;=0),"",ROUND(D40/E40,1)))</f>
        <v/>
      </c>
      <c r="H40" s="23" t="str">
        <f aca="false">IF(G40="","",ROUND(LOG10(D40/E40)/LOG10(2),1))</f>
        <v/>
      </c>
      <c r="I40" s="23" t="str">
        <f aca="false">IF(OR(D40="",F40=""),"",IF(OR(D40&lt;=0,F40&lt;=0),"",ROUND(LOG10(D40/F40)/LOG10(2),1)))</f>
        <v/>
      </c>
      <c r="J40" s="22" t="str">
        <f aca="false">IF(D40="","",IF(D40&lt;$K$7,"Luz baixa",IF(G40="",IF(I40="","OK",IF(I40&lt;1,"Fundo claro","OK")),IF(G40&gt;$K$8,"Contraste alto",IF(G40&lt;1.5,"Chapado",IF(I40="","OK",IF(I40&lt;1,"Fundo claro","OK")))))))</f>
        <v/>
      </c>
      <c r="K40" s="24" t="str">
        <f aca="false">IF(J40="","",IF(J40="Luz baixa","Suba a principal ou aproxime-a até a luz mínima de referência",IF(J40="Contraste alto","Suba o preenchimento até a razão chegar perto de 2:1",IF(J40="Chapado","Baixe o preenchimento até a razão chegar perto de 2:1",IF(J40="Fundo claro","Baixe a luz do fundo ou o brilho do telão: de 1 a 2 stops abaixo do rosto","Manter")))))</f>
        <v/>
      </c>
      <c r="L40" s="24"/>
      <c r="M40" s="24"/>
      <c r="N40" s="24"/>
      <c r="O40" s="24"/>
      <c r="P40" s="24"/>
      <c r="Q40" s="24"/>
      <c r="R40" s="5"/>
      <c r="U40" s="11" t="n">
        <v>0.713293</v>
      </c>
    </row>
    <row r="41" customFormat="false" ht="21.75" hidden="false" customHeight="true" outlineLevel="0" collapsed="false">
      <c r="B41" s="19" t="n">
        <v>4</v>
      </c>
      <c r="C41" s="5"/>
      <c r="D41" s="9"/>
      <c r="E41" s="9"/>
      <c r="F41" s="9"/>
      <c r="G41" s="26" t="str">
        <f aca="false">IF(OR(D41="",E41=""),"",IF(OR(D41&lt;=0,E41&lt;=0),"",ROUND(D41/E41,1)))</f>
        <v/>
      </c>
      <c r="H41" s="23" t="str">
        <f aca="false">IF(G41="","",ROUND(LOG10(D41/E41)/LOG10(2),1))</f>
        <v/>
      </c>
      <c r="I41" s="23" t="str">
        <f aca="false">IF(OR(D41="",F41=""),"",IF(OR(D41&lt;=0,F41&lt;=0),"",ROUND(LOG10(D41/F41)/LOG10(2),1)))</f>
        <v/>
      </c>
      <c r="J41" s="22" t="str">
        <f aca="false">IF(D41="","",IF(D41&lt;$K$7,"Luz baixa",IF(G41="",IF(I41="","OK",IF(I41&lt;1,"Fundo claro","OK")),IF(G41&gt;$K$8,"Contraste alto",IF(G41&lt;1.5,"Chapado",IF(I41="","OK",IF(I41&lt;1,"Fundo claro","OK")))))))</f>
        <v/>
      </c>
      <c r="K41" s="24" t="str">
        <f aca="false">IF(J41="","",IF(J41="Luz baixa","Suba a principal ou aproxime-a até a luz mínima de referência",IF(J41="Contraste alto","Suba o preenchimento até a razão chegar perto de 2:1",IF(J41="Chapado","Baixe o preenchimento até a razão chegar perto de 2:1",IF(J41="Fundo claro","Baixe a luz do fundo ou o brilho do telão: de 1 a 2 stops abaixo do rosto","Manter")))))</f>
        <v/>
      </c>
      <c r="L41" s="24"/>
      <c r="M41" s="24"/>
      <c r="N41" s="24"/>
      <c r="O41" s="24"/>
      <c r="P41" s="24"/>
      <c r="Q41" s="24"/>
      <c r="R41" s="5"/>
      <c r="U41" s="11" t="n">
        <v>0.739961</v>
      </c>
    </row>
    <row r="42" customFormat="false" ht="21.75" hidden="false" customHeight="true" outlineLevel="0" collapsed="false">
      <c r="B42" s="19" t="n">
        <v>5</v>
      </c>
      <c r="C42" s="5"/>
      <c r="D42" s="9"/>
      <c r="E42" s="9"/>
      <c r="F42" s="9"/>
      <c r="G42" s="26" t="str">
        <f aca="false">IF(OR(D42="",E42=""),"",IF(OR(D42&lt;=0,E42&lt;=0),"",ROUND(D42/E42,1)))</f>
        <v/>
      </c>
      <c r="H42" s="23" t="str">
        <f aca="false">IF(G42="","",ROUND(LOG10(D42/E42)/LOG10(2),1))</f>
        <v/>
      </c>
      <c r="I42" s="23" t="str">
        <f aca="false">IF(OR(D42="",F42=""),"",IF(OR(D42&lt;=0,F42&lt;=0),"",ROUND(LOG10(D42/F42)/LOG10(2),1)))</f>
        <v/>
      </c>
      <c r="J42" s="22" t="str">
        <f aca="false">IF(D42="","",IF(D42&lt;$K$7,"Luz baixa",IF(G42="",IF(I42="","OK",IF(I42&lt;1,"Fundo claro","OK")),IF(G42&gt;$K$8,"Contraste alto",IF(G42&lt;1.5,"Chapado",IF(I42="","OK",IF(I42&lt;1,"Fundo claro","OK")))))))</f>
        <v/>
      </c>
      <c r="K42" s="24" t="str">
        <f aca="false">IF(J42="","",IF(J42="Luz baixa","Suba a principal ou aproxime-a até a luz mínima de referência",IF(J42="Contraste alto","Suba o preenchimento até a razão chegar perto de 2:1",IF(J42="Chapado","Baixe o preenchimento até a razão chegar perto de 2:1",IF(J42="Fundo claro","Baixe a luz do fundo ou o brilho do telão: de 1 a 2 stops abaixo do rosto","Manter")))))</f>
        <v/>
      </c>
      <c r="L42" s="24"/>
      <c r="M42" s="24"/>
      <c r="N42" s="24"/>
      <c r="O42" s="24"/>
      <c r="P42" s="24"/>
      <c r="Q42" s="24"/>
      <c r="R42" s="5"/>
      <c r="U42" s="11" t="n">
        <v>0.767327</v>
      </c>
    </row>
    <row r="43" customFormat="false" ht="21.75" hidden="false" customHeight="true" outlineLevel="0" collapsed="false">
      <c r="B43" s="19" t="n">
        <v>6</v>
      </c>
      <c r="C43" s="5"/>
      <c r="D43" s="9"/>
      <c r="E43" s="9"/>
      <c r="F43" s="9"/>
      <c r="G43" s="26" t="str">
        <f aca="false">IF(OR(D43="",E43=""),"",IF(OR(D43&lt;=0,E43&lt;=0),"",ROUND(D43/E43,1)))</f>
        <v/>
      </c>
      <c r="H43" s="23" t="str">
        <f aca="false">IF(G43="","",ROUND(LOG10(D43/E43)/LOG10(2),1))</f>
        <v/>
      </c>
      <c r="I43" s="23" t="str">
        <f aca="false">IF(OR(D43="",F43=""),"",IF(OR(D43&lt;=0,F43&lt;=0),"",ROUND(LOG10(D43/F43)/LOG10(2),1)))</f>
        <v/>
      </c>
      <c r="J43" s="22" t="str">
        <f aca="false">IF(D43="","",IF(D43&lt;$K$7,"Luz baixa",IF(G43="",IF(I43="","OK",IF(I43&lt;1,"Fundo claro","OK")),IF(G43&gt;$K$8,"Contraste alto",IF(G43&lt;1.5,"Chapado",IF(I43="","OK",IF(I43&lt;1,"Fundo claro","OK")))))))</f>
        <v/>
      </c>
      <c r="K43" s="24" t="str">
        <f aca="false">IF(J43="","",IF(J43="Luz baixa","Suba a principal ou aproxime-a até a luz mínima de referência",IF(J43="Contraste alto","Suba o preenchimento até a razão chegar perto de 2:1",IF(J43="Chapado","Baixe o preenchimento até a razão chegar perto de 2:1",IF(J43="Fundo claro","Baixe a luz do fundo ou o brilho do telão: de 1 a 2 stops abaixo do rosto","Manter")))))</f>
        <v/>
      </c>
      <c r="L43" s="24"/>
      <c r="M43" s="24"/>
      <c r="N43" s="24"/>
      <c r="O43" s="24"/>
      <c r="P43" s="24"/>
      <c r="Q43" s="24"/>
      <c r="R43" s="5"/>
      <c r="U43" s="11" t="n">
        <v>0.795436</v>
      </c>
    </row>
    <row r="44" customFormat="false" ht="15" hidden="false" customHeight="false" outlineLevel="0" collapsed="false">
      <c r="U44" s="11" t="n">
        <v>0.824336</v>
      </c>
    </row>
    <row r="45" customFormat="false" ht="21.75" hidden="false" customHeight="true" outlineLevel="0" collapsed="false">
      <c r="B45" s="14" t="s">
        <v>122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U45" s="11" t="n">
        <v>0.854081</v>
      </c>
    </row>
    <row r="46" customFormat="false" ht="19.5" hidden="false" customHeight="true" outlineLevel="0" collapsed="false">
      <c r="B46" s="27" t="s">
        <v>123</v>
      </c>
      <c r="C46" s="27"/>
      <c r="D46" s="27"/>
      <c r="E46" s="27"/>
      <c r="F46" s="27"/>
      <c r="G46" s="28" t="n">
        <f aca="false">COUNTA(C14:C33)</f>
        <v>0</v>
      </c>
      <c r="H46" s="28"/>
      <c r="U46" s="11" t="n">
        <v>0.884725</v>
      </c>
    </row>
    <row r="47" customFormat="false" ht="19.5" hidden="false" customHeight="true" outlineLevel="0" collapsed="false">
      <c r="B47" s="27" t="s">
        <v>124</v>
      </c>
      <c r="C47" s="27"/>
      <c r="D47" s="27"/>
      <c r="E47" s="27"/>
      <c r="F47" s="27"/>
      <c r="G47" s="28" t="n">
        <f aca="false">COUNTIF(F14:F33,"Principal")+COUNTIF(F14:F33,"Preenchimento")</f>
        <v>0</v>
      </c>
      <c r="H47" s="28"/>
      <c r="U47" s="11" t="n">
        <v>0.916331</v>
      </c>
    </row>
    <row r="48" customFormat="false" ht="19.5" hidden="false" customHeight="true" outlineLevel="0" collapsed="false">
      <c r="B48" s="27" t="s">
        <v>125</v>
      </c>
      <c r="C48" s="27"/>
      <c r="D48" s="27"/>
      <c r="E48" s="27"/>
      <c r="F48" s="27"/>
      <c r="G48" s="28" t="n">
        <f aca="false">COUNTIF(F14:F33,"Contraluz")</f>
        <v>0</v>
      </c>
      <c r="H48" s="28"/>
      <c r="U48" s="11" t="n">
        <v>0.948965</v>
      </c>
    </row>
    <row r="49" customFormat="false" ht="19.5" hidden="false" customHeight="true" outlineLevel="0" collapsed="false">
      <c r="B49" s="27" t="s">
        <v>126</v>
      </c>
      <c r="C49" s="27"/>
      <c r="D49" s="27"/>
      <c r="E49" s="27"/>
      <c r="F49" s="27"/>
      <c r="G49" s="28" t="n">
        <f aca="false">COUNTIF(M14:M33,"OK")</f>
        <v>0</v>
      </c>
      <c r="H49" s="28"/>
      <c r="U49" s="11" t="n">
        <v>0.982697</v>
      </c>
    </row>
    <row r="50" customFormat="false" ht="19.5" hidden="false" customHeight="true" outlineLevel="0" collapsed="false">
      <c r="B50" s="27" t="s">
        <v>127</v>
      </c>
      <c r="C50" s="27"/>
      <c r="D50" s="27"/>
      <c r="E50" s="27"/>
      <c r="F50" s="27"/>
      <c r="G50" s="28" t="n">
        <f aca="false">COUNTIF(M14:M33,"Atenção")+COUNTIF(M14:M33,"Baixa")+COUNTIF(M14:M33,"Íngreme")</f>
        <v>0</v>
      </c>
      <c r="H50" s="28"/>
      <c r="U50" s="11" t="n">
        <v>1.017607</v>
      </c>
    </row>
    <row r="51" customFormat="false" ht="19.5" hidden="false" customHeight="true" outlineLevel="0" collapsed="false">
      <c r="B51" s="27" t="s">
        <v>128</v>
      </c>
      <c r="C51" s="27"/>
      <c r="D51" s="27"/>
      <c r="E51" s="27"/>
      <c r="F51" s="27"/>
      <c r="G51" s="28" t="n">
        <f aca="false">COUNTIF(P14:P33,"Cor diferente")+COUNTIF(P14:P33,"IRC baixo")+COUNTIF(P14:P33,"Cor e IRC")</f>
        <v>0</v>
      </c>
      <c r="H51" s="28"/>
      <c r="U51" s="11" t="n">
        <v>1.05378</v>
      </c>
    </row>
    <row r="52" customFormat="false" ht="19.5" hidden="false" customHeight="true" outlineLevel="0" collapsed="false">
      <c r="B52" s="27" t="s">
        <v>129</v>
      </c>
      <c r="C52" s="27"/>
      <c r="D52" s="27"/>
      <c r="E52" s="27"/>
      <c r="F52" s="27"/>
      <c r="G52" s="28" t="n">
        <f aca="false">COUNT(D38:D43)</f>
        <v>0</v>
      </c>
      <c r="H52" s="28"/>
      <c r="U52" s="11" t="n">
        <v>1.091309</v>
      </c>
    </row>
    <row r="53" customFormat="false" ht="19.5" hidden="false" customHeight="true" outlineLevel="0" collapsed="false">
      <c r="B53" s="27" t="s">
        <v>130</v>
      </c>
      <c r="C53" s="27"/>
      <c r="D53" s="27"/>
      <c r="E53" s="27"/>
      <c r="F53" s="27"/>
      <c r="G53" s="28" t="n">
        <f aca="false">COUNT(D38:D43)-COUNTIF(J38:J43,"OK")</f>
        <v>0</v>
      </c>
      <c r="H53" s="28"/>
      <c r="U53" s="11" t="n">
        <v>1.130294</v>
      </c>
    </row>
    <row r="54" customFormat="false" ht="21.75" hidden="false" customHeight="true" outlineLevel="0" collapsed="false">
      <c r="B54" s="27" t="s">
        <v>131</v>
      </c>
      <c r="C54" s="27"/>
      <c r="D54" s="27"/>
      <c r="E54" s="27"/>
      <c r="F54" s="27"/>
      <c r="G54" s="29" t="str">
        <f aca="false">IF(COUNT($K$4,$K$5,$K$6,$K$7,$K$8)&lt;5,"Informe os cinco valores de referência",IF(G46=0,"Liste os refletores",IF(COUNTIF(F14:F33,"Principal")=0,"Não há luz principal no plano",IF(G50+G51&gt;0,"Há refletor de rosto a corrigir: veja a coluna O que fazer",IF(G52=0,"Meça a luz no rosto de cada alvo",IF(G53&gt;0,"Há alvo fora da referência na medição",IF(G48=0,"OK, mas não há contraluz no plano","OK")))))))</f>
        <v>Liste os refletores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U54" s="11" t="n">
        <v>1.17085</v>
      </c>
    </row>
    <row r="55" customFormat="false" ht="15" hidden="false" customHeight="false" outlineLevel="0" collapsed="false">
      <c r="U55" s="11" t="n">
        <v>1.213097</v>
      </c>
    </row>
    <row r="56" customFormat="false" ht="15" hidden="false" customHeight="false" outlineLevel="0" collapsed="false">
      <c r="U56" s="11" t="n">
        <v>1.257172</v>
      </c>
    </row>
    <row r="57" customFormat="false" ht="15" hidden="false" customHeight="false" outlineLevel="0" collapsed="false">
      <c r="U57" s="11" t="n">
        <v>1.303225</v>
      </c>
    </row>
    <row r="58" customFormat="false" ht="15" hidden="false" customHeight="false" outlineLevel="0" collapsed="false">
      <c r="U58" s="11" t="n">
        <v>1.351422</v>
      </c>
    </row>
    <row r="59" customFormat="false" ht="15" hidden="false" customHeight="false" outlineLevel="0" collapsed="false">
      <c r="U59" s="11" t="n">
        <v>1.401948</v>
      </c>
    </row>
    <row r="60" customFormat="false" ht="15" hidden="false" customHeight="false" outlineLevel="0" collapsed="false">
      <c r="U60" s="11" t="n">
        <v>1.455009</v>
      </c>
    </row>
    <row r="61" customFormat="false" ht="15" hidden="false" customHeight="false" outlineLevel="0" collapsed="false">
      <c r="U61" s="11" t="n">
        <v>1.510835</v>
      </c>
    </row>
    <row r="62" customFormat="false" ht="15" hidden="false" customHeight="false" outlineLevel="0" collapsed="false">
      <c r="U62" s="11" t="n">
        <v>1.569686</v>
      </c>
    </row>
    <row r="63" customFormat="false" ht="15" hidden="false" customHeight="false" outlineLevel="0" collapsed="false">
      <c r="U63" s="11" t="n">
        <v>1.631852</v>
      </c>
    </row>
    <row r="64" customFormat="false" ht="15" hidden="false" customHeight="false" outlineLevel="0" collapsed="false">
      <c r="U64" s="11" t="n">
        <v>1.697663</v>
      </c>
    </row>
    <row r="65" customFormat="false" ht="15" hidden="false" customHeight="false" outlineLevel="0" collapsed="false">
      <c r="U65" s="11" t="n">
        <v>1.767494</v>
      </c>
    </row>
    <row r="66" customFormat="false" ht="15" hidden="false" customHeight="false" outlineLevel="0" collapsed="false">
      <c r="U66" s="11" t="n">
        <v>1.841771</v>
      </c>
    </row>
    <row r="67" customFormat="false" ht="15" hidden="false" customHeight="false" outlineLevel="0" collapsed="false">
      <c r="U67" s="11" t="n">
        <v>1.920982</v>
      </c>
    </row>
    <row r="68" customFormat="false" ht="15" hidden="false" customHeight="false" outlineLevel="0" collapsed="false">
      <c r="U68" s="11" t="n">
        <v>2.00569</v>
      </c>
    </row>
    <row r="69" customFormat="false" ht="15" hidden="false" customHeight="false" outlineLevel="0" collapsed="false">
      <c r="U69" s="11" t="n">
        <v>2.096544</v>
      </c>
    </row>
    <row r="70" customFormat="false" ht="15" hidden="false" customHeight="false" outlineLevel="0" collapsed="false">
      <c r="U70" s="11" t="n">
        <v>2.1943</v>
      </c>
    </row>
    <row r="71" customFormat="false" ht="15" hidden="false" customHeight="false" outlineLevel="0" collapsed="false">
      <c r="U71" s="11" t="n">
        <v>2.299843</v>
      </c>
    </row>
    <row r="72" customFormat="false" ht="15" hidden="false" customHeight="false" outlineLevel="0" collapsed="false">
      <c r="U72" s="11" t="n">
        <v>2.414214</v>
      </c>
    </row>
    <row r="73" customFormat="false" ht="15" hidden="false" customHeight="false" outlineLevel="0" collapsed="false">
      <c r="U73" s="11" t="n">
        <v>2.538648</v>
      </c>
    </row>
    <row r="74" customFormat="false" ht="15" hidden="false" customHeight="false" outlineLevel="0" collapsed="false">
      <c r="U74" s="11" t="n">
        <v>2.674621</v>
      </c>
    </row>
    <row r="75" customFormat="false" ht="15" hidden="false" customHeight="false" outlineLevel="0" collapsed="false">
      <c r="U75" s="11" t="n">
        <v>2.823913</v>
      </c>
    </row>
    <row r="76" customFormat="false" ht="15" hidden="false" customHeight="false" outlineLevel="0" collapsed="false">
      <c r="U76" s="11" t="n">
        <v>2.988685</v>
      </c>
    </row>
    <row r="77" customFormat="false" ht="15" hidden="false" customHeight="false" outlineLevel="0" collapsed="false">
      <c r="U77" s="11" t="n">
        <v>3.171595</v>
      </c>
    </row>
    <row r="78" customFormat="false" ht="15" hidden="false" customHeight="false" outlineLevel="0" collapsed="false">
      <c r="U78" s="11" t="n">
        <v>3.375943</v>
      </c>
    </row>
    <row r="79" customFormat="false" ht="15" hidden="false" customHeight="false" outlineLevel="0" collapsed="false">
      <c r="U79" s="11" t="n">
        <v>3.605884</v>
      </c>
    </row>
    <row r="80" customFormat="false" ht="15" hidden="false" customHeight="false" outlineLevel="0" collapsed="false">
      <c r="U80" s="11" t="n">
        <v>3.866713</v>
      </c>
    </row>
    <row r="81" customFormat="false" ht="15" hidden="false" customHeight="false" outlineLevel="0" collapsed="false">
      <c r="U81" s="11" t="n">
        <v>4.1653</v>
      </c>
    </row>
    <row r="82" customFormat="false" ht="15" hidden="false" customHeight="false" outlineLevel="0" collapsed="false">
      <c r="U82" s="11" t="n">
        <v>4.510709</v>
      </c>
    </row>
    <row r="83" customFormat="false" ht="15" hidden="false" customHeight="false" outlineLevel="0" collapsed="false">
      <c r="U83" s="11" t="n">
        <v>4.915157</v>
      </c>
    </row>
    <row r="84" customFormat="false" ht="15" hidden="false" customHeight="false" outlineLevel="0" collapsed="false">
      <c r="U84" s="11" t="n">
        <v>5.395517</v>
      </c>
    </row>
    <row r="85" customFormat="false" ht="15" hidden="false" customHeight="false" outlineLevel="0" collapsed="false">
      <c r="U85" s="11" t="n">
        <v>5.975764</v>
      </c>
    </row>
    <row r="86" customFormat="false" ht="15" hidden="false" customHeight="false" outlineLevel="0" collapsed="false">
      <c r="U86" s="11" t="n">
        <v>6.691156</v>
      </c>
    </row>
    <row r="87" customFormat="false" ht="15" hidden="false" customHeight="false" outlineLevel="0" collapsed="false">
      <c r="U87" s="11" t="n">
        <v>7.595754</v>
      </c>
    </row>
    <row r="88" customFormat="false" ht="15" hidden="false" customHeight="false" outlineLevel="0" collapsed="false">
      <c r="U88" s="11" t="n">
        <v>8.776887</v>
      </c>
    </row>
    <row r="89" customFormat="false" ht="15" hidden="false" customHeight="false" outlineLevel="0" collapsed="false">
      <c r="U89" s="11" t="n">
        <v>10.385397</v>
      </c>
    </row>
    <row r="90" customFormat="false" ht="15" hidden="false" customHeight="false" outlineLevel="0" collapsed="false">
      <c r="U90" s="11" t="n">
        <v>12.706205</v>
      </c>
    </row>
    <row r="91" customFormat="false" ht="15" hidden="false" customHeight="false" outlineLevel="0" collapsed="false">
      <c r="U91" s="11" t="n">
        <v>16.349855</v>
      </c>
    </row>
    <row r="92" customFormat="false" ht="15" hidden="false" customHeight="false" outlineLevel="0" collapsed="false">
      <c r="U92" s="11" t="n">
        <v>22.903766</v>
      </c>
    </row>
    <row r="93" customFormat="false" ht="15" hidden="false" customHeight="false" outlineLevel="0" collapsed="false">
      <c r="U93" s="11" t="n">
        <v>38.188459</v>
      </c>
    </row>
  </sheetData>
  <mergeCells count="51">
    <mergeCell ref="B1:R1"/>
    <mergeCell ref="B2:R2"/>
    <mergeCell ref="B4:C4"/>
    <mergeCell ref="D4:G4"/>
    <mergeCell ref="H4:J4"/>
    <mergeCell ref="L4:R4"/>
    <mergeCell ref="B5:C5"/>
    <mergeCell ref="D5:G5"/>
    <mergeCell ref="H5:J5"/>
    <mergeCell ref="L5:R5"/>
    <mergeCell ref="B6:C6"/>
    <mergeCell ref="D6:G6"/>
    <mergeCell ref="H6:J6"/>
    <mergeCell ref="L6:R6"/>
    <mergeCell ref="B7:C7"/>
    <mergeCell ref="D7:G7"/>
    <mergeCell ref="H7:J7"/>
    <mergeCell ref="L7:R7"/>
    <mergeCell ref="B8:C8"/>
    <mergeCell ref="D8:G8"/>
    <mergeCell ref="H8:J8"/>
    <mergeCell ref="L8:R8"/>
    <mergeCell ref="B10:R10"/>
    <mergeCell ref="B35:R35"/>
    <mergeCell ref="K36:Q36"/>
    <mergeCell ref="K37:Q37"/>
    <mergeCell ref="K38:Q38"/>
    <mergeCell ref="K39:Q39"/>
    <mergeCell ref="K40:Q40"/>
    <mergeCell ref="K41:Q41"/>
    <mergeCell ref="K42:Q42"/>
    <mergeCell ref="K43:Q43"/>
    <mergeCell ref="B45:R45"/>
    <mergeCell ref="B46:F46"/>
    <mergeCell ref="G46:H46"/>
    <mergeCell ref="B47:F47"/>
    <mergeCell ref="G47:H47"/>
    <mergeCell ref="B48:F48"/>
    <mergeCell ref="G48:H48"/>
    <mergeCell ref="B49:F49"/>
    <mergeCell ref="G49:H49"/>
    <mergeCell ref="B50:F50"/>
    <mergeCell ref="G50:H50"/>
    <mergeCell ref="B51:F51"/>
    <mergeCell ref="G51:H51"/>
    <mergeCell ref="B52:F52"/>
    <mergeCell ref="G52:H52"/>
    <mergeCell ref="B53:F53"/>
    <mergeCell ref="G53:H53"/>
    <mergeCell ref="B54:F54"/>
    <mergeCell ref="G54:Q54"/>
  </mergeCells>
  <conditionalFormatting sqref="M14:M33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"Atenção"</formula>
    </cfRule>
    <cfRule type="cellIs" priority="4" operator="equal" aboveAverage="0" equalAverage="0" bottom="0" percent="0" rank="0" text="" dxfId="2">
      <formula>"Baixa"</formula>
    </cfRule>
    <cfRule type="cellIs" priority="5" operator="equal" aboveAverage="0" equalAverage="0" bottom="0" percent="0" rank="0" text="" dxfId="2">
      <formula>"Íngreme"</formula>
    </cfRule>
  </conditionalFormatting>
  <conditionalFormatting sqref="P14:P33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"Cor diferente"</formula>
    </cfRule>
    <cfRule type="cellIs" priority="8" operator="equal" aboveAverage="0" equalAverage="0" bottom="0" percent="0" rank="0" text="" dxfId="1">
      <formula>"IRC baixo"</formula>
    </cfRule>
    <cfRule type="cellIs" priority="9" operator="equal" aboveAverage="0" equalAverage="0" bottom="0" percent="0" rank="0" text="" dxfId="2">
      <formula>"Cor e IRC"</formula>
    </cfRule>
  </conditionalFormatting>
  <conditionalFormatting sqref="J38:J43">
    <cfRule type="cellIs" priority="10" operator="equal" aboveAverage="0" equalAverage="0" bottom="0" percent="0" rank="0" text="" dxfId="0">
      <formula>"OK"</formula>
    </cfRule>
    <cfRule type="cellIs" priority="11" operator="equal" aboveAverage="0" equalAverage="0" bottom="0" percent="0" rank="0" text="" dxfId="1">
      <formula>"Luz baixa"</formula>
    </cfRule>
    <cfRule type="cellIs" priority="12" operator="equal" aboveAverage="0" equalAverage="0" bottom="0" percent="0" rank="0" text="" dxfId="1">
      <formula>"Contraste alto"</formula>
    </cfRule>
    <cfRule type="cellIs" priority="13" operator="equal" aboveAverage="0" equalAverage="0" bottom="0" percent="0" rank="0" text="" dxfId="1">
      <formula>"Chapado"</formula>
    </cfRule>
    <cfRule type="cellIs" priority="14" operator="equal" aboveAverage="0" equalAverage="0" bottom="0" percent="0" rank="0" text="" dxfId="1">
      <formula>"Fundo claro"</formula>
    </cfRule>
  </conditionalFormatting>
  <conditionalFormatting sqref="G54:Q54">
    <cfRule type="cellIs" priority="15" operator="equal" aboveAverage="0" equalAverage="0" bottom="0" percent="0" rank="0" text="" dxfId="0">
      <formula>"OK"</formula>
    </cfRule>
    <cfRule type="cellIs" priority="16" operator="notEqual" aboveAverage="0" equalAverage="0" bottom="0" percent="0" rank="0" text="" dxfId="1">
      <formula>"OK"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K4:K8" type="decimal">
      <formula1>-1000000000</formula1>
      <formula2>1000000000</formula2>
    </dataValidation>
    <dataValidation allowBlank="true" error="Escolha uma das opções da lista." errorStyle="stop" errorTitle="Valor inválido" operator="between" prompt="Principal, Preenchimento, Contraluz, Fundo, Plateia ou Efeito." promptTitle="Opções" showDropDown="false" showErrorMessage="true" showInputMessage="true" sqref="F14:F33" type="list">
      <formula1>"Principal,Preenchimento,Contraluz,Fundo,Plateia,Efeito"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G14:K33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38:F43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M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44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132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133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1.75" hidden="false" customHeight="true" outlineLevel="0" collapsed="false">
      <c r="B4" s="4" t="s">
        <v>134</v>
      </c>
      <c r="C4" s="4"/>
      <c r="D4" s="5"/>
      <c r="E4" s="5"/>
      <c r="F4" s="5"/>
      <c r="G4" s="5"/>
      <c r="H4" s="4" t="s">
        <v>135</v>
      </c>
      <c r="I4" s="4"/>
      <c r="J4" s="4"/>
      <c r="K4" s="30" t="n">
        <v>0.8</v>
      </c>
      <c r="L4" s="10" t="s">
        <v>136</v>
      </c>
      <c r="M4" s="10"/>
    </row>
    <row r="5" customFormat="false" ht="21.75" hidden="false" customHeight="true" outlineLevel="0" collapsed="false">
      <c r="B5" s="4" t="s">
        <v>66</v>
      </c>
      <c r="C5" s="4"/>
      <c r="D5" s="12"/>
      <c r="E5" s="12"/>
      <c r="F5" s="12"/>
      <c r="G5" s="12"/>
      <c r="H5" s="10" t="s">
        <v>137</v>
      </c>
      <c r="I5" s="10"/>
      <c r="J5" s="10"/>
      <c r="K5" s="10"/>
      <c r="L5" s="10"/>
      <c r="M5" s="10"/>
    </row>
    <row r="6" customFormat="false" ht="21.75" hidden="false" customHeight="true" outlineLevel="0" collapsed="false">
      <c r="B6" s="4" t="s">
        <v>138</v>
      </c>
      <c r="C6" s="4"/>
      <c r="D6" s="5"/>
      <c r="E6" s="5"/>
      <c r="F6" s="5"/>
      <c r="G6" s="5"/>
      <c r="H6" s="10"/>
      <c r="I6" s="10"/>
      <c r="J6" s="10"/>
      <c r="K6" s="10"/>
      <c r="L6" s="10"/>
      <c r="M6" s="10"/>
    </row>
    <row r="8" customFormat="false" ht="21.75" hidden="false" customHeight="true" outlineLevel="0" collapsed="false">
      <c r="B8" s="14" t="s">
        <v>139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customFormat="false" ht="30" hidden="false" customHeight="true" outlineLevel="0" collapsed="false">
      <c r="B9" s="15" t="s">
        <v>140</v>
      </c>
      <c r="C9" s="15" t="s">
        <v>141</v>
      </c>
      <c r="D9" s="15" t="s">
        <v>142</v>
      </c>
      <c r="E9" s="16" t="s">
        <v>143</v>
      </c>
      <c r="F9" s="16" t="s">
        <v>144</v>
      </c>
      <c r="G9" s="17" t="s">
        <v>145</v>
      </c>
      <c r="H9" s="17" t="s">
        <v>146</v>
      </c>
      <c r="I9" s="17" t="s">
        <v>147</v>
      </c>
      <c r="J9" s="17" t="s">
        <v>148</v>
      </c>
      <c r="K9" s="17" t="s">
        <v>149</v>
      </c>
      <c r="L9" s="17" t="s">
        <v>116</v>
      </c>
      <c r="M9" s="17" t="s">
        <v>89</v>
      </c>
    </row>
    <row r="10" customFormat="false" ht="27" hidden="false" customHeight="true" outlineLevel="0" collapsed="false">
      <c r="B10" s="18"/>
      <c r="C10" s="18" t="s">
        <v>150</v>
      </c>
      <c r="D10" s="18" t="s">
        <v>151</v>
      </c>
      <c r="E10" s="18" t="s">
        <v>152</v>
      </c>
      <c r="F10" s="18" t="s">
        <v>153</v>
      </c>
      <c r="G10" s="18" t="s">
        <v>154</v>
      </c>
      <c r="H10" s="18" t="s">
        <v>153</v>
      </c>
      <c r="I10" s="18" t="s">
        <v>155</v>
      </c>
      <c r="J10" s="18" t="s">
        <v>156</v>
      </c>
      <c r="K10" s="18" t="s">
        <v>157</v>
      </c>
      <c r="L10" s="18"/>
      <c r="M10" s="18"/>
    </row>
    <row r="11" customFormat="false" ht="21.75" hidden="false" customHeight="true" outlineLevel="0" collapsed="false">
      <c r="B11" s="18" t="s">
        <v>103</v>
      </c>
      <c r="C11" s="10" t="s">
        <v>153</v>
      </c>
      <c r="D11" s="10" t="s">
        <v>158</v>
      </c>
      <c r="E11" s="18" t="n">
        <v>127</v>
      </c>
      <c r="F11" s="18" t="n">
        <v>20</v>
      </c>
      <c r="G11" s="18" t="n">
        <v>2000</v>
      </c>
      <c r="H11" s="18" t="n">
        <v>15.7</v>
      </c>
      <c r="I11" s="18" t="s">
        <v>159</v>
      </c>
      <c r="J11" s="18" t="n">
        <v>2032</v>
      </c>
      <c r="K11" s="18" t="n">
        <v>32</v>
      </c>
      <c r="L11" s="18" t="s">
        <v>108</v>
      </c>
      <c r="M11" s="10" t="s">
        <v>109</v>
      </c>
    </row>
    <row r="12" customFormat="false" ht="21.75" hidden="false" customHeight="true" outlineLevel="0" collapsed="false">
      <c r="B12" s="19" t="n">
        <v>1</v>
      </c>
      <c r="C12" s="20"/>
      <c r="D12" s="5"/>
      <c r="E12" s="9"/>
      <c r="F12" s="9"/>
      <c r="G12" s="21" t="str">
        <f aca="false">IF(C12="","",SUMIF($D$25:$D$48,C12,$G$25:$G$48))</f>
        <v/>
      </c>
      <c r="H12" s="26" t="str">
        <f aca="false">IF(OR(G12="",E12=""),"",IF(E12&lt;=0,"",ROUND(G12/E12,1)))</f>
        <v/>
      </c>
      <c r="I12" s="31" t="str">
        <f aca="false">IF(OR(H12="",F12=""),"",IF(F12&lt;=0,"",H12/F12))</f>
        <v/>
      </c>
      <c r="J12" s="32" t="str">
        <f aca="false">IF(OR(E12="",F12=""),"",ROUND(E12*F12*$K$4,0))</f>
        <v/>
      </c>
      <c r="K12" s="32" t="str">
        <f aca="false">IF(OR(J12="",G12=""),"",J12-G12)</f>
        <v/>
      </c>
      <c r="L12" s="28" t="str">
        <f aca="false">IF(C12="","",IF(OR(E12="",F12=""),"Falta dado",IF(G12=0,"Sem carga",IF(I12&gt;1,"Sobrecarga",IF(I12&gt;$K$4,"Atenção","OK")))))</f>
        <v/>
      </c>
      <c r="M12" s="24" t="str">
        <f aca="false">IF(L12="","",IF(L12="Sobrecarga","Passou do disjuntor: tire aparelhos deste circuito",IF(L12="Atenção","Acima do limite de uso contínuo: passe aparelhos para outro circuito",IF(L12="Falta dado","Informe a tensão e o disjuntor",IF(L12="Sem carga","Livre","Manter")))))</f>
        <v/>
      </c>
    </row>
    <row r="13" customFormat="false" ht="21.75" hidden="false" customHeight="true" outlineLevel="0" collapsed="false">
      <c r="B13" s="19" t="n">
        <v>2</v>
      </c>
      <c r="C13" s="20"/>
      <c r="D13" s="5"/>
      <c r="E13" s="9"/>
      <c r="F13" s="9"/>
      <c r="G13" s="21" t="str">
        <f aca="false">IF(C13="","",SUMIF($D$25:$D$48,C13,$G$25:$G$48))</f>
        <v/>
      </c>
      <c r="H13" s="26" t="str">
        <f aca="false">IF(OR(G13="",E13=""),"",IF(E13&lt;=0,"",ROUND(G13/E13,1)))</f>
        <v/>
      </c>
      <c r="I13" s="31" t="str">
        <f aca="false">IF(OR(H13="",F13=""),"",IF(F13&lt;=0,"",H13/F13))</f>
        <v/>
      </c>
      <c r="J13" s="32" t="str">
        <f aca="false">IF(OR(E13="",F13=""),"",ROUND(E13*F13*$K$4,0))</f>
        <v/>
      </c>
      <c r="K13" s="32" t="str">
        <f aca="false">IF(OR(J13="",G13=""),"",J13-G13)</f>
        <v/>
      </c>
      <c r="L13" s="28" t="str">
        <f aca="false">IF(C13="","",IF(OR(E13="",F13=""),"Falta dado",IF(G13=0,"Sem carga",IF(I13&gt;1,"Sobrecarga",IF(I13&gt;$K$4,"Atenção","OK")))))</f>
        <v/>
      </c>
      <c r="M13" s="24" t="str">
        <f aca="false">IF(L13="","",IF(L13="Sobrecarga","Passou do disjuntor: tire aparelhos deste circuito",IF(L13="Atenção","Acima do limite de uso contínuo: passe aparelhos para outro circuito",IF(L13="Falta dado","Informe a tensão e o disjuntor",IF(L13="Sem carga","Livre","Manter")))))</f>
        <v/>
      </c>
    </row>
    <row r="14" customFormat="false" ht="21.75" hidden="false" customHeight="true" outlineLevel="0" collapsed="false">
      <c r="B14" s="19" t="n">
        <v>3</v>
      </c>
      <c r="C14" s="20"/>
      <c r="D14" s="5"/>
      <c r="E14" s="9"/>
      <c r="F14" s="9"/>
      <c r="G14" s="21" t="str">
        <f aca="false">IF(C14="","",SUMIF($D$25:$D$48,C14,$G$25:$G$48))</f>
        <v/>
      </c>
      <c r="H14" s="26" t="str">
        <f aca="false">IF(OR(G14="",E14=""),"",IF(E14&lt;=0,"",ROUND(G14/E14,1)))</f>
        <v/>
      </c>
      <c r="I14" s="31" t="str">
        <f aca="false">IF(OR(H14="",F14=""),"",IF(F14&lt;=0,"",H14/F14))</f>
        <v/>
      </c>
      <c r="J14" s="32" t="str">
        <f aca="false">IF(OR(E14="",F14=""),"",ROUND(E14*F14*$K$4,0))</f>
        <v/>
      </c>
      <c r="K14" s="32" t="str">
        <f aca="false">IF(OR(J14="",G14=""),"",J14-G14)</f>
        <v/>
      </c>
      <c r="L14" s="28" t="str">
        <f aca="false">IF(C14="","",IF(OR(E14="",F14=""),"Falta dado",IF(G14=0,"Sem carga",IF(I14&gt;1,"Sobrecarga",IF(I14&gt;$K$4,"Atenção","OK")))))</f>
        <v/>
      </c>
      <c r="M14" s="24" t="str">
        <f aca="false">IF(L14="","",IF(L14="Sobrecarga","Passou do disjuntor: tire aparelhos deste circuito",IF(L14="Atenção","Acima do limite de uso contínuo: passe aparelhos para outro circuito",IF(L14="Falta dado","Informe a tensão e o disjuntor",IF(L14="Sem carga","Livre","Manter")))))</f>
        <v/>
      </c>
    </row>
    <row r="15" customFormat="false" ht="21.75" hidden="false" customHeight="true" outlineLevel="0" collapsed="false">
      <c r="B15" s="19" t="n">
        <v>4</v>
      </c>
      <c r="C15" s="20"/>
      <c r="D15" s="5"/>
      <c r="E15" s="9"/>
      <c r="F15" s="9"/>
      <c r="G15" s="21" t="str">
        <f aca="false">IF(C15="","",SUMIF($D$25:$D$48,C15,$G$25:$G$48))</f>
        <v/>
      </c>
      <c r="H15" s="26" t="str">
        <f aca="false">IF(OR(G15="",E15=""),"",IF(E15&lt;=0,"",ROUND(G15/E15,1)))</f>
        <v/>
      </c>
      <c r="I15" s="31" t="str">
        <f aca="false">IF(OR(H15="",F15=""),"",IF(F15&lt;=0,"",H15/F15))</f>
        <v/>
      </c>
      <c r="J15" s="32" t="str">
        <f aca="false">IF(OR(E15="",F15=""),"",ROUND(E15*F15*$K$4,0))</f>
        <v/>
      </c>
      <c r="K15" s="32" t="str">
        <f aca="false">IF(OR(J15="",G15=""),"",J15-G15)</f>
        <v/>
      </c>
      <c r="L15" s="28" t="str">
        <f aca="false">IF(C15="","",IF(OR(E15="",F15=""),"Falta dado",IF(G15=0,"Sem carga",IF(I15&gt;1,"Sobrecarga",IF(I15&gt;$K$4,"Atenção","OK")))))</f>
        <v/>
      </c>
      <c r="M15" s="24" t="str">
        <f aca="false">IF(L15="","",IF(L15="Sobrecarga","Passou do disjuntor: tire aparelhos deste circuito",IF(L15="Atenção","Acima do limite de uso contínuo: passe aparelhos para outro circuito",IF(L15="Falta dado","Informe a tensão e o disjuntor",IF(L15="Sem carga","Livre","Manter")))))</f>
        <v/>
      </c>
    </row>
    <row r="16" customFormat="false" ht="21.75" hidden="false" customHeight="true" outlineLevel="0" collapsed="false">
      <c r="B16" s="19" t="n">
        <v>5</v>
      </c>
      <c r="C16" s="20"/>
      <c r="D16" s="5"/>
      <c r="E16" s="9"/>
      <c r="F16" s="9"/>
      <c r="G16" s="21" t="str">
        <f aca="false">IF(C16="","",SUMIF($D$25:$D$48,C16,$G$25:$G$48))</f>
        <v/>
      </c>
      <c r="H16" s="26" t="str">
        <f aca="false">IF(OR(G16="",E16=""),"",IF(E16&lt;=0,"",ROUND(G16/E16,1)))</f>
        <v/>
      </c>
      <c r="I16" s="31" t="str">
        <f aca="false">IF(OR(H16="",F16=""),"",IF(F16&lt;=0,"",H16/F16))</f>
        <v/>
      </c>
      <c r="J16" s="32" t="str">
        <f aca="false">IF(OR(E16="",F16=""),"",ROUND(E16*F16*$K$4,0))</f>
        <v/>
      </c>
      <c r="K16" s="32" t="str">
        <f aca="false">IF(OR(J16="",G16=""),"",J16-G16)</f>
        <v/>
      </c>
      <c r="L16" s="28" t="str">
        <f aca="false">IF(C16="","",IF(OR(E16="",F16=""),"Falta dado",IF(G16=0,"Sem carga",IF(I16&gt;1,"Sobrecarga",IF(I16&gt;$K$4,"Atenção","OK")))))</f>
        <v/>
      </c>
      <c r="M16" s="24" t="str">
        <f aca="false">IF(L16="","",IF(L16="Sobrecarga","Passou do disjuntor: tire aparelhos deste circuito",IF(L16="Atenção","Acima do limite de uso contínuo: passe aparelhos para outro circuito",IF(L16="Falta dado","Informe a tensão e o disjuntor",IF(L16="Sem carga","Livre","Manter")))))</f>
        <v/>
      </c>
    </row>
    <row r="17" customFormat="false" ht="21.75" hidden="false" customHeight="true" outlineLevel="0" collapsed="false">
      <c r="B17" s="19" t="n">
        <v>6</v>
      </c>
      <c r="C17" s="20"/>
      <c r="D17" s="5"/>
      <c r="E17" s="9"/>
      <c r="F17" s="9"/>
      <c r="G17" s="21" t="str">
        <f aca="false">IF(C17="","",SUMIF($D$25:$D$48,C17,$G$25:$G$48))</f>
        <v/>
      </c>
      <c r="H17" s="26" t="str">
        <f aca="false">IF(OR(G17="",E17=""),"",IF(E17&lt;=0,"",ROUND(G17/E17,1)))</f>
        <v/>
      </c>
      <c r="I17" s="31" t="str">
        <f aca="false">IF(OR(H17="",F17=""),"",IF(F17&lt;=0,"",H17/F17))</f>
        <v/>
      </c>
      <c r="J17" s="32" t="str">
        <f aca="false">IF(OR(E17="",F17=""),"",ROUND(E17*F17*$K$4,0))</f>
        <v/>
      </c>
      <c r="K17" s="32" t="str">
        <f aca="false">IF(OR(J17="",G17=""),"",J17-G17)</f>
        <v/>
      </c>
      <c r="L17" s="28" t="str">
        <f aca="false">IF(C17="","",IF(OR(E17="",F17=""),"Falta dado",IF(G17=0,"Sem carga",IF(I17&gt;1,"Sobrecarga",IF(I17&gt;$K$4,"Atenção","OK")))))</f>
        <v/>
      </c>
      <c r="M17" s="24" t="str">
        <f aca="false">IF(L17="","",IF(L17="Sobrecarga","Passou do disjuntor: tire aparelhos deste circuito",IF(L17="Atenção","Acima do limite de uso contínuo: passe aparelhos para outro circuito",IF(L17="Falta dado","Informe a tensão e o disjuntor",IF(L17="Sem carga","Livre","Manter")))))</f>
        <v/>
      </c>
    </row>
    <row r="18" customFormat="false" ht="21.75" hidden="false" customHeight="true" outlineLevel="0" collapsed="false">
      <c r="B18" s="19" t="n">
        <v>7</v>
      </c>
      <c r="C18" s="20"/>
      <c r="D18" s="5"/>
      <c r="E18" s="9"/>
      <c r="F18" s="9"/>
      <c r="G18" s="21" t="str">
        <f aca="false">IF(C18="","",SUMIF($D$25:$D$48,C18,$G$25:$G$48))</f>
        <v/>
      </c>
      <c r="H18" s="26" t="str">
        <f aca="false">IF(OR(G18="",E18=""),"",IF(E18&lt;=0,"",ROUND(G18/E18,1)))</f>
        <v/>
      </c>
      <c r="I18" s="31" t="str">
        <f aca="false">IF(OR(H18="",F18=""),"",IF(F18&lt;=0,"",H18/F18))</f>
        <v/>
      </c>
      <c r="J18" s="32" t="str">
        <f aca="false">IF(OR(E18="",F18=""),"",ROUND(E18*F18*$K$4,0))</f>
        <v/>
      </c>
      <c r="K18" s="32" t="str">
        <f aca="false">IF(OR(J18="",G18=""),"",J18-G18)</f>
        <v/>
      </c>
      <c r="L18" s="28" t="str">
        <f aca="false">IF(C18="","",IF(OR(E18="",F18=""),"Falta dado",IF(G18=0,"Sem carga",IF(I18&gt;1,"Sobrecarga",IF(I18&gt;$K$4,"Atenção","OK")))))</f>
        <v/>
      </c>
      <c r="M18" s="24" t="str">
        <f aca="false">IF(L18="","",IF(L18="Sobrecarga","Passou do disjuntor: tire aparelhos deste circuito",IF(L18="Atenção","Acima do limite de uso contínuo: passe aparelhos para outro circuito",IF(L18="Falta dado","Informe a tensão e o disjuntor",IF(L18="Sem carga","Livre","Manter")))))</f>
        <v/>
      </c>
    </row>
    <row r="19" customFormat="false" ht="21.75" hidden="false" customHeight="true" outlineLevel="0" collapsed="false">
      <c r="B19" s="19" t="n">
        <v>8</v>
      </c>
      <c r="C19" s="20"/>
      <c r="D19" s="5"/>
      <c r="E19" s="9"/>
      <c r="F19" s="9"/>
      <c r="G19" s="21" t="str">
        <f aca="false">IF(C19="","",SUMIF($D$25:$D$48,C19,$G$25:$G$48))</f>
        <v/>
      </c>
      <c r="H19" s="26" t="str">
        <f aca="false">IF(OR(G19="",E19=""),"",IF(E19&lt;=0,"",ROUND(G19/E19,1)))</f>
        <v/>
      </c>
      <c r="I19" s="31" t="str">
        <f aca="false">IF(OR(H19="",F19=""),"",IF(F19&lt;=0,"",H19/F19))</f>
        <v/>
      </c>
      <c r="J19" s="32" t="str">
        <f aca="false">IF(OR(E19="",F19=""),"",ROUND(E19*F19*$K$4,0))</f>
        <v/>
      </c>
      <c r="K19" s="32" t="str">
        <f aca="false">IF(OR(J19="",G19=""),"",J19-G19)</f>
        <v/>
      </c>
      <c r="L19" s="28" t="str">
        <f aca="false">IF(C19="","",IF(OR(E19="",F19=""),"Falta dado",IF(G19=0,"Sem carga",IF(I19&gt;1,"Sobrecarga",IF(I19&gt;$K$4,"Atenção","OK")))))</f>
        <v/>
      </c>
      <c r="M19" s="24" t="str">
        <f aca="false">IF(L19="","",IF(L19="Sobrecarga","Passou do disjuntor: tire aparelhos deste circuito",IF(L19="Atenção","Acima do limite de uso contínuo: passe aparelhos para outro circuito",IF(L19="Falta dado","Informe a tensão e o disjuntor",IF(L19="Sem carga","Livre","Manter")))))</f>
        <v/>
      </c>
    </row>
    <row r="21" customFormat="false" ht="21.75" hidden="false" customHeight="true" outlineLevel="0" collapsed="false">
      <c r="B21" s="14" t="s">
        <v>160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customFormat="false" ht="30" hidden="false" customHeight="true" outlineLevel="0" collapsed="false">
      <c r="B22" s="15" t="s">
        <v>140</v>
      </c>
      <c r="C22" s="15" t="s">
        <v>161</v>
      </c>
      <c r="D22" s="16" t="s">
        <v>141</v>
      </c>
      <c r="E22" s="16" t="s">
        <v>162</v>
      </c>
      <c r="F22" s="16" t="s">
        <v>163</v>
      </c>
      <c r="G22" s="17" t="s">
        <v>164</v>
      </c>
      <c r="H22" s="17" t="s">
        <v>146</v>
      </c>
      <c r="I22" s="17" t="s">
        <v>116</v>
      </c>
      <c r="J22" s="15" t="s">
        <v>90</v>
      </c>
      <c r="K22" s="15"/>
      <c r="L22" s="15"/>
      <c r="M22" s="15"/>
    </row>
    <row r="23" customFormat="false" ht="27" hidden="false" customHeight="true" outlineLevel="0" collapsed="false">
      <c r="B23" s="18"/>
      <c r="C23" s="18" t="s">
        <v>165</v>
      </c>
      <c r="D23" s="18" t="s">
        <v>166</v>
      </c>
      <c r="E23" s="18" t="s">
        <v>167</v>
      </c>
      <c r="F23" s="18" t="s">
        <v>168</v>
      </c>
      <c r="G23" s="18" t="s">
        <v>157</v>
      </c>
      <c r="H23" s="18" t="s">
        <v>153</v>
      </c>
      <c r="I23" s="18"/>
      <c r="J23" s="10" t="s">
        <v>169</v>
      </c>
      <c r="K23" s="10"/>
      <c r="L23" s="10"/>
      <c r="M23" s="10"/>
    </row>
    <row r="24" customFormat="false" ht="21.75" hidden="false" customHeight="true" outlineLevel="0" collapsed="false">
      <c r="B24" s="18" t="s">
        <v>103</v>
      </c>
      <c r="C24" s="10" t="s">
        <v>170</v>
      </c>
      <c r="D24" s="18" t="s">
        <v>153</v>
      </c>
      <c r="E24" s="18" t="n">
        <v>2</v>
      </c>
      <c r="F24" s="18" t="n">
        <v>1000</v>
      </c>
      <c r="G24" s="18" t="n">
        <v>2000</v>
      </c>
      <c r="H24" s="18" t="n">
        <v>15.7</v>
      </c>
      <c r="I24" s="18" t="s">
        <v>108</v>
      </c>
      <c r="J24" s="10"/>
      <c r="K24" s="10"/>
      <c r="L24" s="10"/>
      <c r="M24" s="10"/>
    </row>
    <row r="25" customFormat="false" ht="19.5" hidden="false" customHeight="true" outlineLevel="0" collapsed="false">
      <c r="B25" s="19" t="n">
        <v>1</v>
      </c>
      <c r="C25" s="5"/>
      <c r="D25" s="20"/>
      <c r="E25" s="9"/>
      <c r="F25" s="9"/>
      <c r="G25" s="21" t="str">
        <f aca="false">IF(OR(E25="",F25=""),"",E25*F25)</f>
        <v/>
      </c>
      <c r="H25" s="23" t="str">
        <f aca="false">IF(OR(G25="",D25=""),"",IFERROR(ROUND(G25/VLOOKUP(D25,$C$12:$E$19,3,FALSE()),1),""))</f>
        <v/>
      </c>
      <c r="I25" s="33" t="str">
        <f aca="false">IF(AND(C25="",D25=""),"",IF(D25="","Sem circuito",IF(COUNTIF($C$12:$C$19,D25)=0,"Circuito não cadastrado",IF(OR(E25="",F25=""),"Falta potência","OK"))))</f>
        <v/>
      </c>
      <c r="J25" s="5"/>
      <c r="K25" s="5"/>
      <c r="L25" s="5"/>
      <c r="M25" s="5"/>
    </row>
    <row r="26" customFormat="false" ht="19.5" hidden="false" customHeight="true" outlineLevel="0" collapsed="false">
      <c r="B26" s="19" t="n">
        <v>2</v>
      </c>
      <c r="C26" s="5"/>
      <c r="D26" s="20"/>
      <c r="E26" s="9"/>
      <c r="F26" s="9"/>
      <c r="G26" s="21" t="str">
        <f aca="false">IF(OR(E26="",F26=""),"",E26*F26)</f>
        <v/>
      </c>
      <c r="H26" s="23" t="str">
        <f aca="false">IF(OR(G26="",D26=""),"",IFERROR(ROUND(G26/VLOOKUP(D26,$C$12:$E$19,3,FALSE()),1),""))</f>
        <v/>
      </c>
      <c r="I26" s="33" t="str">
        <f aca="false">IF(AND(C26="",D26=""),"",IF(D26="","Sem circuito",IF(COUNTIF($C$12:$C$19,D26)=0,"Circuito não cadastrado",IF(OR(E26="",F26=""),"Falta potência","OK"))))</f>
        <v/>
      </c>
      <c r="J26" s="5"/>
      <c r="K26" s="5"/>
      <c r="L26" s="5"/>
      <c r="M26" s="5"/>
    </row>
    <row r="27" customFormat="false" ht="19.5" hidden="false" customHeight="true" outlineLevel="0" collapsed="false">
      <c r="B27" s="19" t="n">
        <v>3</v>
      </c>
      <c r="C27" s="5"/>
      <c r="D27" s="20"/>
      <c r="E27" s="9"/>
      <c r="F27" s="9"/>
      <c r="G27" s="21" t="str">
        <f aca="false">IF(OR(E27="",F27=""),"",E27*F27)</f>
        <v/>
      </c>
      <c r="H27" s="23" t="str">
        <f aca="false">IF(OR(G27="",D27=""),"",IFERROR(ROUND(G27/VLOOKUP(D27,$C$12:$E$19,3,FALSE()),1),""))</f>
        <v/>
      </c>
      <c r="I27" s="33" t="str">
        <f aca="false">IF(AND(C27="",D27=""),"",IF(D27="","Sem circuito",IF(COUNTIF($C$12:$C$19,D27)=0,"Circuito não cadastrado",IF(OR(E27="",F27=""),"Falta potência","OK"))))</f>
        <v/>
      </c>
      <c r="J27" s="5"/>
      <c r="K27" s="5"/>
      <c r="L27" s="5"/>
      <c r="M27" s="5"/>
    </row>
    <row r="28" customFormat="false" ht="19.5" hidden="false" customHeight="true" outlineLevel="0" collapsed="false">
      <c r="B28" s="19" t="n">
        <v>4</v>
      </c>
      <c r="C28" s="5"/>
      <c r="D28" s="20"/>
      <c r="E28" s="9"/>
      <c r="F28" s="9"/>
      <c r="G28" s="21" t="str">
        <f aca="false">IF(OR(E28="",F28=""),"",E28*F28)</f>
        <v/>
      </c>
      <c r="H28" s="23" t="str">
        <f aca="false">IF(OR(G28="",D28=""),"",IFERROR(ROUND(G28/VLOOKUP(D28,$C$12:$E$19,3,FALSE()),1),""))</f>
        <v/>
      </c>
      <c r="I28" s="33" t="str">
        <f aca="false">IF(AND(C28="",D28=""),"",IF(D28="","Sem circuito",IF(COUNTIF($C$12:$C$19,D28)=0,"Circuito não cadastrado",IF(OR(E28="",F28=""),"Falta potência","OK"))))</f>
        <v/>
      </c>
      <c r="J28" s="5"/>
      <c r="K28" s="5"/>
      <c r="L28" s="5"/>
      <c r="M28" s="5"/>
    </row>
    <row r="29" customFormat="false" ht="19.5" hidden="false" customHeight="true" outlineLevel="0" collapsed="false">
      <c r="B29" s="19" t="n">
        <v>5</v>
      </c>
      <c r="C29" s="5"/>
      <c r="D29" s="20"/>
      <c r="E29" s="9"/>
      <c r="F29" s="9"/>
      <c r="G29" s="21" t="str">
        <f aca="false">IF(OR(E29="",F29=""),"",E29*F29)</f>
        <v/>
      </c>
      <c r="H29" s="23" t="str">
        <f aca="false">IF(OR(G29="",D29=""),"",IFERROR(ROUND(G29/VLOOKUP(D29,$C$12:$E$19,3,FALSE()),1),""))</f>
        <v/>
      </c>
      <c r="I29" s="33" t="str">
        <f aca="false">IF(AND(C29="",D29=""),"",IF(D29="","Sem circuito",IF(COUNTIF($C$12:$C$19,D29)=0,"Circuito não cadastrado",IF(OR(E29="",F29=""),"Falta potência","OK"))))</f>
        <v/>
      </c>
      <c r="J29" s="5"/>
      <c r="K29" s="5"/>
      <c r="L29" s="5"/>
      <c r="M29" s="5"/>
    </row>
    <row r="30" customFormat="false" ht="19.5" hidden="false" customHeight="true" outlineLevel="0" collapsed="false">
      <c r="B30" s="19" t="n">
        <v>6</v>
      </c>
      <c r="C30" s="5"/>
      <c r="D30" s="20"/>
      <c r="E30" s="9"/>
      <c r="F30" s="9"/>
      <c r="G30" s="21" t="str">
        <f aca="false">IF(OR(E30="",F30=""),"",E30*F30)</f>
        <v/>
      </c>
      <c r="H30" s="23" t="str">
        <f aca="false">IF(OR(G30="",D30=""),"",IFERROR(ROUND(G30/VLOOKUP(D30,$C$12:$E$19,3,FALSE()),1),""))</f>
        <v/>
      </c>
      <c r="I30" s="33" t="str">
        <f aca="false">IF(AND(C30="",D30=""),"",IF(D30="","Sem circuito",IF(COUNTIF($C$12:$C$19,D30)=0,"Circuito não cadastrado",IF(OR(E30="",F30=""),"Falta potência","OK"))))</f>
        <v/>
      </c>
      <c r="J30" s="5"/>
      <c r="K30" s="5"/>
      <c r="L30" s="5"/>
      <c r="M30" s="5"/>
    </row>
    <row r="31" customFormat="false" ht="19.5" hidden="false" customHeight="true" outlineLevel="0" collapsed="false">
      <c r="B31" s="19" t="n">
        <v>7</v>
      </c>
      <c r="C31" s="5"/>
      <c r="D31" s="20"/>
      <c r="E31" s="9"/>
      <c r="F31" s="9"/>
      <c r="G31" s="21" t="str">
        <f aca="false">IF(OR(E31="",F31=""),"",E31*F31)</f>
        <v/>
      </c>
      <c r="H31" s="23" t="str">
        <f aca="false">IF(OR(G31="",D31=""),"",IFERROR(ROUND(G31/VLOOKUP(D31,$C$12:$E$19,3,FALSE()),1),""))</f>
        <v/>
      </c>
      <c r="I31" s="33" t="str">
        <f aca="false">IF(AND(C31="",D31=""),"",IF(D31="","Sem circuito",IF(COUNTIF($C$12:$C$19,D31)=0,"Circuito não cadastrado",IF(OR(E31="",F31=""),"Falta potência","OK"))))</f>
        <v/>
      </c>
      <c r="J31" s="5"/>
      <c r="K31" s="5"/>
      <c r="L31" s="5"/>
      <c r="M31" s="5"/>
    </row>
    <row r="32" customFormat="false" ht="19.5" hidden="false" customHeight="true" outlineLevel="0" collapsed="false">
      <c r="B32" s="19" t="n">
        <v>8</v>
      </c>
      <c r="C32" s="5"/>
      <c r="D32" s="20"/>
      <c r="E32" s="9"/>
      <c r="F32" s="9"/>
      <c r="G32" s="21" t="str">
        <f aca="false">IF(OR(E32="",F32=""),"",E32*F32)</f>
        <v/>
      </c>
      <c r="H32" s="23" t="str">
        <f aca="false">IF(OR(G32="",D32=""),"",IFERROR(ROUND(G32/VLOOKUP(D32,$C$12:$E$19,3,FALSE()),1),""))</f>
        <v/>
      </c>
      <c r="I32" s="33" t="str">
        <f aca="false">IF(AND(C32="",D32=""),"",IF(D32="","Sem circuito",IF(COUNTIF($C$12:$C$19,D32)=0,"Circuito não cadastrado",IF(OR(E32="",F32=""),"Falta potência","OK"))))</f>
        <v/>
      </c>
      <c r="J32" s="5"/>
      <c r="K32" s="5"/>
      <c r="L32" s="5"/>
      <c r="M32" s="5"/>
    </row>
    <row r="33" customFormat="false" ht="19.5" hidden="false" customHeight="true" outlineLevel="0" collapsed="false">
      <c r="B33" s="19" t="n">
        <v>9</v>
      </c>
      <c r="C33" s="5"/>
      <c r="D33" s="20"/>
      <c r="E33" s="9"/>
      <c r="F33" s="9"/>
      <c r="G33" s="21" t="str">
        <f aca="false">IF(OR(E33="",F33=""),"",E33*F33)</f>
        <v/>
      </c>
      <c r="H33" s="23" t="str">
        <f aca="false">IF(OR(G33="",D33=""),"",IFERROR(ROUND(G33/VLOOKUP(D33,$C$12:$E$19,3,FALSE()),1),""))</f>
        <v/>
      </c>
      <c r="I33" s="33" t="str">
        <f aca="false">IF(AND(C33="",D33=""),"",IF(D33="","Sem circuito",IF(COUNTIF($C$12:$C$19,D33)=0,"Circuito não cadastrado",IF(OR(E33="",F33=""),"Falta potência","OK"))))</f>
        <v/>
      </c>
      <c r="J33" s="5"/>
      <c r="K33" s="5"/>
      <c r="L33" s="5"/>
      <c r="M33" s="5"/>
    </row>
    <row r="34" customFormat="false" ht="19.5" hidden="false" customHeight="true" outlineLevel="0" collapsed="false">
      <c r="B34" s="19" t="n">
        <v>10</v>
      </c>
      <c r="C34" s="5"/>
      <c r="D34" s="20"/>
      <c r="E34" s="9"/>
      <c r="F34" s="9"/>
      <c r="G34" s="21" t="str">
        <f aca="false">IF(OR(E34="",F34=""),"",E34*F34)</f>
        <v/>
      </c>
      <c r="H34" s="23" t="str">
        <f aca="false">IF(OR(G34="",D34=""),"",IFERROR(ROUND(G34/VLOOKUP(D34,$C$12:$E$19,3,FALSE()),1),""))</f>
        <v/>
      </c>
      <c r="I34" s="33" t="str">
        <f aca="false">IF(AND(C34="",D34=""),"",IF(D34="","Sem circuito",IF(COUNTIF($C$12:$C$19,D34)=0,"Circuito não cadastrado",IF(OR(E34="",F34=""),"Falta potência","OK"))))</f>
        <v/>
      </c>
      <c r="J34" s="5"/>
      <c r="K34" s="5"/>
      <c r="L34" s="5"/>
      <c r="M34" s="5"/>
    </row>
    <row r="35" customFormat="false" ht="19.5" hidden="false" customHeight="true" outlineLevel="0" collapsed="false">
      <c r="B35" s="19" t="n">
        <v>11</v>
      </c>
      <c r="C35" s="5"/>
      <c r="D35" s="20"/>
      <c r="E35" s="9"/>
      <c r="F35" s="9"/>
      <c r="G35" s="21" t="str">
        <f aca="false">IF(OR(E35="",F35=""),"",E35*F35)</f>
        <v/>
      </c>
      <c r="H35" s="23" t="str">
        <f aca="false">IF(OR(G35="",D35=""),"",IFERROR(ROUND(G35/VLOOKUP(D35,$C$12:$E$19,3,FALSE()),1),""))</f>
        <v/>
      </c>
      <c r="I35" s="33" t="str">
        <f aca="false">IF(AND(C35="",D35=""),"",IF(D35="","Sem circuito",IF(COUNTIF($C$12:$C$19,D35)=0,"Circuito não cadastrado",IF(OR(E35="",F35=""),"Falta potência","OK"))))</f>
        <v/>
      </c>
      <c r="J35" s="5"/>
      <c r="K35" s="5"/>
      <c r="L35" s="5"/>
      <c r="M35" s="5"/>
    </row>
    <row r="36" customFormat="false" ht="19.5" hidden="false" customHeight="true" outlineLevel="0" collapsed="false">
      <c r="B36" s="19" t="n">
        <v>12</v>
      </c>
      <c r="C36" s="5"/>
      <c r="D36" s="20"/>
      <c r="E36" s="9"/>
      <c r="F36" s="9"/>
      <c r="G36" s="21" t="str">
        <f aca="false">IF(OR(E36="",F36=""),"",E36*F36)</f>
        <v/>
      </c>
      <c r="H36" s="23" t="str">
        <f aca="false">IF(OR(G36="",D36=""),"",IFERROR(ROUND(G36/VLOOKUP(D36,$C$12:$E$19,3,FALSE()),1),""))</f>
        <v/>
      </c>
      <c r="I36" s="33" t="str">
        <f aca="false">IF(AND(C36="",D36=""),"",IF(D36="","Sem circuito",IF(COUNTIF($C$12:$C$19,D36)=0,"Circuito não cadastrado",IF(OR(E36="",F36=""),"Falta potência","OK"))))</f>
        <v/>
      </c>
      <c r="J36" s="5"/>
      <c r="K36" s="5"/>
      <c r="L36" s="5"/>
      <c r="M36" s="5"/>
    </row>
    <row r="37" customFormat="false" ht="19.5" hidden="false" customHeight="true" outlineLevel="0" collapsed="false">
      <c r="B37" s="19" t="n">
        <v>13</v>
      </c>
      <c r="C37" s="5"/>
      <c r="D37" s="20"/>
      <c r="E37" s="9"/>
      <c r="F37" s="9"/>
      <c r="G37" s="21" t="str">
        <f aca="false">IF(OR(E37="",F37=""),"",E37*F37)</f>
        <v/>
      </c>
      <c r="H37" s="23" t="str">
        <f aca="false">IF(OR(G37="",D37=""),"",IFERROR(ROUND(G37/VLOOKUP(D37,$C$12:$E$19,3,FALSE()),1),""))</f>
        <v/>
      </c>
      <c r="I37" s="33" t="str">
        <f aca="false">IF(AND(C37="",D37=""),"",IF(D37="","Sem circuito",IF(COUNTIF($C$12:$C$19,D37)=0,"Circuito não cadastrado",IF(OR(E37="",F37=""),"Falta potência","OK"))))</f>
        <v/>
      </c>
      <c r="J37" s="5"/>
      <c r="K37" s="5"/>
      <c r="L37" s="5"/>
      <c r="M37" s="5"/>
    </row>
    <row r="38" customFormat="false" ht="19.5" hidden="false" customHeight="true" outlineLevel="0" collapsed="false">
      <c r="B38" s="19" t="n">
        <v>14</v>
      </c>
      <c r="C38" s="5"/>
      <c r="D38" s="20"/>
      <c r="E38" s="9"/>
      <c r="F38" s="9"/>
      <c r="G38" s="21" t="str">
        <f aca="false">IF(OR(E38="",F38=""),"",E38*F38)</f>
        <v/>
      </c>
      <c r="H38" s="23" t="str">
        <f aca="false">IF(OR(G38="",D38=""),"",IFERROR(ROUND(G38/VLOOKUP(D38,$C$12:$E$19,3,FALSE()),1),""))</f>
        <v/>
      </c>
      <c r="I38" s="33" t="str">
        <f aca="false">IF(AND(C38="",D38=""),"",IF(D38="","Sem circuito",IF(COUNTIF($C$12:$C$19,D38)=0,"Circuito não cadastrado",IF(OR(E38="",F38=""),"Falta potência","OK"))))</f>
        <v/>
      </c>
      <c r="J38" s="5"/>
      <c r="K38" s="5"/>
      <c r="L38" s="5"/>
      <c r="M38" s="5"/>
    </row>
    <row r="39" customFormat="false" ht="19.5" hidden="false" customHeight="true" outlineLevel="0" collapsed="false">
      <c r="B39" s="19" t="n">
        <v>15</v>
      </c>
      <c r="C39" s="5"/>
      <c r="D39" s="20"/>
      <c r="E39" s="9"/>
      <c r="F39" s="9"/>
      <c r="G39" s="21" t="str">
        <f aca="false">IF(OR(E39="",F39=""),"",E39*F39)</f>
        <v/>
      </c>
      <c r="H39" s="23" t="str">
        <f aca="false">IF(OR(G39="",D39=""),"",IFERROR(ROUND(G39/VLOOKUP(D39,$C$12:$E$19,3,FALSE()),1),""))</f>
        <v/>
      </c>
      <c r="I39" s="33" t="str">
        <f aca="false">IF(AND(C39="",D39=""),"",IF(D39="","Sem circuito",IF(COUNTIF($C$12:$C$19,D39)=0,"Circuito não cadastrado",IF(OR(E39="",F39=""),"Falta potência","OK"))))</f>
        <v/>
      </c>
      <c r="J39" s="5"/>
      <c r="K39" s="5"/>
      <c r="L39" s="5"/>
      <c r="M39" s="5"/>
    </row>
    <row r="40" customFormat="false" ht="19.5" hidden="false" customHeight="true" outlineLevel="0" collapsed="false">
      <c r="B40" s="19" t="n">
        <v>16</v>
      </c>
      <c r="C40" s="5"/>
      <c r="D40" s="20"/>
      <c r="E40" s="9"/>
      <c r="F40" s="9"/>
      <c r="G40" s="21" t="str">
        <f aca="false">IF(OR(E40="",F40=""),"",E40*F40)</f>
        <v/>
      </c>
      <c r="H40" s="23" t="str">
        <f aca="false">IF(OR(G40="",D40=""),"",IFERROR(ROUND(G40/VLOOKUP(D40,$C$12:$E$19,3,FALSE()),1),""))</f>
        <v/>
      </c>
      <c r="I40" s="33" t="str">
        <f aca="false">IF(AND(C40="",D40=""),"",IF(D40="","Sem circuito",IF(COUNTIF($C$12:$C$19,D40)=0,"Circuito não cadastrado",IF(OR(E40="",F40=""),"Falta potência","OK"))))</f>
        <v/>
      </c>
      <c r="J40" s="5"/>
      <c r="K40" s="5"/>
      <c r="L40" s="5"/>
      <c r="M40" s="5"/>
    </row>
    <row r="41" customFormat="false" ht="19.5" hidden="false" customHeight="true" outlineLevel="0" collapsed="false">
      <c r="B41" s="19" t="n">
        <v>17</v>
      </c>
      <c r="C41" s="5"/>
      <c r="D41" s="20"/>
      <c r="E41" s="9"/>
      <c r="F41" s="9"/>
      <c r="G41" s="21" t="str">
        <f aca="false">IF(OR(E41="",F41=""),"",E41*F41)</f>
        <v/>
      </c>
      <c r="H41" s="23" t="str">
        <f aca="false">IF(OR(G41="",D41=""),"",IFERROR(ROUND(G41/VLOOKUP(D41,$C$12:$E$19,3,FALSE()),1),""))</f>
        <v/>
      </c>
      <c r="I41" s="33" t="str">
        <f aca="false">IF(AND(C41="",D41=""),"",IF(D41="","Sem circuito",IF(COUNTIF($C$12:$C$19,D41)=0,"Circuito não cadastrado",IF(OR(E41="",F41=""),"Falta potência","OK"))))</f>
        <v/>
      </c>
      <c r="J41" s="5"/>
      <c r="K41" s="5"/>
      <c r="L41" s="5"/>
      <c r="M41" s="5"/>
    </row>
    <row r="42" customFormat="false" ht="19.5" hidden="false" customHeight="true" outlineLevel="0" collapsed="false">
      <c r="B42" s="19" t="n">
        <v>18</v>
      </c>
      <c r="C42" s="5"/>
      <c r="D42" s="20"/>
      <c r="E42" s="9"/>
      <c r="F42" s="9"/>
      <c r="G42" s="21" t="str">
        <f aca="false">IF(OR(E42="",F42=""),"",E42*F42)</f>
        <v/>
      </c>
      <c r="H42" s="23" t="str">
        <f aca="false">IF(OR(G42="",D42=""),"",IFERROR(ROUND(G42/VLOOKUP(D42,$C$12:$E$19,3,FALSE()),1),""))</f>
        <v/>
      </c>
      <c r="I42" s="33" t="str">
        <f aca="false">IF(AND(C42="",D42=""),"",IF(D42="","Sem circuito",IF(COUNTIF($C$12:$C$19,D42)=0,"Circuito não cadastrado",IF(OR(E42="",F42=""),"Falta potência","OK"))))</f>
        <v/>
      </c>
      <c r="J42" s="5"/>
      <c r="K42" s="5"/>
      <c r="L42" s="5"/>
      <c r="M42" s="5"/>
    </row>
    <row r="43" customFormat="false" ht="19.5" hidden="false" customHeight="true" outlineLevel="0" collapsed="false">
      <c r="B43" s="19" t="n">
        <v>19</v>
      </c>
      <c r="C43" s="5"/>
      <c r="D43" s="20"/>
      <c r="E43" s="9"/>
      <c r="F43" s="9"/>
      <c r="G43" s="21" t="str">
        <f aca="false">IF(OR(E43="",F43=""),"",E43*F43)</f>
        <v/>
      </c>
      <c r="H43" s="23" t="str">
        <f aca="false">IF(OR(G43="",D43=""),"",IFERROR(ROUND(G43/VLOOKUP(D43,$C$12:$E$19,3,FALSE()),1),""))</f>
        <v/>
      </c>
      <c r="I43" s="33" t="str">
        <f aca="false">IF(AND(C43="",D43=""),"",IF(D43="","Sem circuito",IF(COUNTIF($C$12:$C$19,D43)=0,"Circuito não cadastrado",IF(OR(E43="",F43=""),"Falta potência","OK"))))</f>
        <v/>
      </c>
      <c r="J43" s="5"/>
      <c r="K43" s="5"/>
      <c r="L43" s="5"/>
      <c r="M43" s="5"/>
    </row>
    <row r="44" customFormat="false" ht="19.5" hidden="false" customHeight="true" outlineLevel="0" collapsed="false">
      <c r="B44" s="19" t="n">
        <v>20</v>
      </c>
      <c r="C44" s="5"/>
      <c r="D44" s="20"/>
      <c r="E44" s="9"/>
      <c r="F44" s="9"/>
      <c r="G44" s="21" t="str">
        <f aca="false">IF(OR(E44="",F44=""),"",E44*F44)</f>
        <v/>
      </c>
      <c r="H44" s="23" t="str">
        <f aca="false">IF(OR(G44="",D44=""),"",IFERROR(ROUND(G44/VLOOKUP(D44,$C$12:$E$19,3,FALSE()),1),""))</f>
        <v/>
      </c>
      <c r="I44" s="33" t="str">
        <f aca="false">IF(AND(C44="",D44=""),"",IF(D44="","Sem circuito",IF(COUNTIF($C$12:$C$19,D44)=0,"Circuito não cadastrado",IF(OR(E44="",F44=""),"Falta potência","OK"))))</f>
        <v/>
      </c>
      <c r="J44" s="5"/>
      <c r="K44" s="5"/>
      <c r="L44" s="5"/>
      <c r="M44" s="5"/>
    </row>
    <row r="45" customFormat="false" ht="19.5" hidden="false" customHeight="true" outlineLevel="0" collapsed="false">
      <c r="B45" s="19" t="n">
        <v>21</v>
      </c>
      <c r="C45" s="5"/>
      <c r="D45" s="20"/>
      <c r="E45" s="9"/>
      <c r="F45" s="9"/>
      <c r="G45" s="21" t="str">
        <f aca="false">IF(OR(E45="",F45=""),"",E45*F45)</f>
        <v/>
      </c>
      <c r="H45" s="23" t="str">
        <f aca="false">IF(OR(G45="",D45=""),"",IFERROR(ROUND(G45/VLOOKUP(D45,$C$12:$E$19,3,FALSE()),1),""))</f>
        <v/>
      </c>
      <c r="I45" s="33" t="str">
        <f aca="false">IF(AND(C45="",D45=""),"",IF(D45="","Sem circuito",IF(COUNTIF($C$12:$C$19,D45)=0,"Circuito não cadastrado",IF(OR(E45="",F45=""),"Falta potência","OK"))))</f>
        <v/>
      </c>
      <c r="J45" s="5"/>
      <c r="K45" s="5"/>
      <c r="L45" s="5"/>
      <c r="M45" s="5"/>
    </row>
    <row r="46" customFormat="false" ht="19.5" hidden="false" customHeight="true" outlineLevel="0" collapsed="false">
      <c r="B46" s="19" t="n">
        <v>22</v>
      </c>
      <c r="C46" s="5"/>
      <c r="D46" s="20"/>
      <c r="E46" s="9"/>
      <c r="F46" s="9"/>
      <c r="G46" s="21" t="str">
        <f aca="false">IF(OR(E46="",F46=""),"",E46*F46)</f>
        <v/>
      </c>
      <c r="H46" s="23" t="str">
        <f aca="false">IF(OR(G46="",D46=""),"",IFERROR(ROUND(G46/VLOOKUP(D46,$C$12:$E$19,3,FALSE()),1),""))</f>
        <v/>
      </c>
      <c r="I46" s="33" t="str">
        <f aca="false">IF(AND(C46="",D46=""),"",IF(D46="","Sem circuito",IF(COUNTIF($C$12:$C$19,D46)=0,"Circuito não cadastrado",IF(OR(E46="",F46=""),"Falta potência","OK"))))</f>
        <v/>
      </c>
      <c r="J46" s="5"/>
      <c r="K46" s="5"/>
      <c r="L46" s="5"/>
      <c r="M46" s="5"/>
    </row>
    <row r="47" customFormat="false" ht="19.5" hidden="false" customHeight="true" outlineLevel="0" collapsed="false">
      <c r="B47" s="19" t="n">
        <v>23</v>
      </c>
      <c r="C47" s="5"/>
      <c r="D47" s="20"/>
      <c r="E47" s="9"/>
      <c r="F47" s="9"/>
      <c r="G47" s="21" t="str">
        <f aca="false">IF(OR(E47="",F47=""),"",E47*F47)</f>
        <v/>
      </c>
      <c r="H47" s="23" t="str">
        <f aca="false">IF(OR(G47="",D47=""),"",IFERROR(ROUND(G47/VLOOKUP(D47,$C$12:$E$19,3,FALSE()),1),""))</f>
        <v/>
      </c>
      <c r="I47" s="33" t="str">
        <f aca="false">IF(AND(C47="",D47=""),"",IF(D47="","Sem circuito",IF(COUNTIF($C$12:$C$19,D47)=0,"Circuito não cadastrado",IF(OR(E47="",F47=""),"Falta potência","OK"))))</f>
        <v/>
      </c>
      <c r="J47" s="5"/>
      <c r="K47" s="5"/>
      <c r="L47" s="5"/>
      <c r="M47" s="5"/>
    </row>
    <row r="48" customFormat="false" ht="19.5" hidden="false" customHeight="true" outlineLevel="0" collapsed="false">
      <c r="B48" s="19" t="n">
        <v>24</v>
      </c>
      <c r="C48" s="5"/>
      <c r="D48" s="20"/>
      <c r="E48" s="9"/>
      <c r="F48" s="9"/>
      <c r="G48" s="21" t="str">
        <f aca="false">IF(OR(E48="",F48=""),"",E48*F48)</f>
        <v/>
      </c>
      <c r="H48" s="23" t="str">
        <f aca="false">IF(OR(G48="",D48=""),"",IFERROR(ROUND(G48/VLOOKUP(D48,$C$12:$E$19,3,FALSE()),1),""))</f>
        <v/>
      </c>
      <c r="I48" s="33" t="str">
        <f aca="false">IF(AND(C48="",D48=""),"",IF(D48="","Sem circuito",IF(COUNTIF($C$12:$C$19,D48)=0,"Circuito não cadastrado",IF(OR(E48="",F48=""),"Falta potência","OK"))))</f>
        <v/>
      </c>
      <c r="J48" s="5"/>
      <c r="K48" s="5"/>
      <c r="L48" s="5"/>
      <c r="M48" s="5"/>
    </row>
    <row r="50" customFormat="false" ht="21.75" hidden="false" customHeight="true" outlineLevel="0" collapsed="false">
      <c r="B50" s="14" t="s">
        <v>122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customFormat="false" ht="19.5" hidden="false" customHeight="true" outlineLevel="0" collapsed="false">
      <c r="B51" s="27" t="s">
        <v>171</v>
      </c>
      <c r="C51" s="27"/>
      <c r="D51" s="27"/>
      <c r="E51" s="27"/>
      <c r="F51" s="27"/>
      <c r="G51" s="21" t="n">
        <f aca="false">SUM(G25:G48)</f>
        <v>0</v>
      </c>
      <c r="H51" s="21"/>
    </row>
    <row r="52" customFormat="false" ht="19.5" hidden="false" customHeight="true" outlineLevel="0" collapsed="false">
      <c r="B52" s="27" t="s">
        <v>172</v>
      </c>
      <c r="C52" s="27"/>
      <c r="D52" s="27"/>
      <c r="E52" s="27"/>
      <c r="F52" s="27"/>
      <c r="G52" s="26" t="n">
        <f aca="false">ROUND(SUM(G25:G48)/127,1)</f>
        <v>0</v>
      </c>
      <c r="H52" s="26"/>
    </row>
    <row r="53" customFormat="false" ht="19.5" hidden="false" customHeight="true" outlineLevel="0" collapsed="false">
      <c r="B53" s="27" t="s">
        <v>173</v>
      </c>
      <c r="C53" s="27"/>
      <c r="D53" s="27"/>
      <c r="E53" s="27"/>
      <c r="F53" s="27"/>
      <c r="G53" s="28" t="n">
        <f aca="false">COUNTIF(L12:L19,"Sobrecarga")</f>
        <v>0</v>
      </c>
      <c r="H53" s="28"/>
    </row>
    <row r="54" customFormat="false" ht="19.5" hidden="false" customHeight="true" outlineLevel="0" collapsed="false">
      <c r="B54" s="27" t="s">
        <v>174</v>
      </c>
      <c r="C54" s="27"/>
      <c r="D54" s="27"/>
      <c r="E54" s="27"/>
      <c r="F54" s="27"/>
      <c r="G54" s="28" t="n">
        <f aca="false">COUNTIF(L12:L19,"Atenção")</f>
        <v>0</v>
      </c>
      <c r="H54" s="28"/>
    </row>
    <row r="55" customFormat="false" ht="19.5" hidden="false" customHeight="true" outlineLevel="0" collapsed="false">
      <c r="B55" s="27" t="s">
        <v>175</v>
      </c>
      <c r="C55" s="27"/>
      <c r="D55" s="27"/>
      <c r="E55" s="27"/>
      <c r="F55" s="27"/>
      <c r="G55" s="28" t="n">
        <f aca="false">COUNTIF(I25:I48,"Sem circuito")+COUNTIF(I25:I48,"Circuito não cadastrado")</f>
        <v>0</v>
      </c>
      <c r="H55" s="28"/>
    </row>
    <row r="56" customFormat="false" ht="21.75" hidden="false" customHeight="true" outlineLevel="0" collapsed="false">
      <c r="B56" s="27" t="s">
        <v>131</v>
      </c>
      <c r="C56" s="27"/>
      <c r="D56" s="27"/>
      <c r="E56" s="27"/>
      <c r="F56" s="27"/>
      <c r="G56" s="29" t="str">
        <f aca="false">IF(COUNTA(C12:C19)=0,"Cadastre os circuitos",IF(COUNT(G25:G48)=0,"Liste os aparelhos",IF(G53&gt;0,"Há circuito em sobrecarga: redistribua antes de ligar",IF(G55&gt;0,"Há aparelho sem circuito válido",IF(G54&gt;0,"Há circuito acima do limite de uso contínuo","OK")))))</f>
        <v>Cadastre os circuitos</v>
      </c>
      <c r="H56" s="29"/>
      <c r="I56" s="29"/>
      <c r="J56" s="29"/>
      <c r="K56" s="29"/>
      <c r="L56" s="29"/>
      <c r="M56" s="29"/>
    </row>
    <row r="57" customFormat="false" ht="27" hidden="false" customHeight="true" outlineLevel="0" collapsed="false">
      <c r="B57" s="10" t="s">
        <v>176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</sheetData>
  <mergeCells count="54">
    <mergeCell ref="B1:M1"/>
    <mergeCell ref="B2:M2"/>
    <mergeCell ref="B4:C4"/>
    <mergeCell ref="D4:G4"/>
    <mergeCell ref="H4:J4"/>
    <mergeCell ref="L4:M4"/>
    <mergeCell ref="B5:C5"/>
    <mergeCell ref="D5:G5"/>
    <mergeCell ref="H5:M6"/>
    <mergeCell ref="B6:C6"/>
    <mergeCell ref="D6:G6"/>
    <mergeCell ref="B8:M8"/>
    <mergeCell ref="B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  <mergeCell ref="J48:M48"/>
    <mergeCell ref="B50:M50"/>
    <mergeCell ref="B51:F51"/>
    <mergeCell ref="G51:H51"/>
    <mergeCell ref="B52:F52"/>
    <mergeCell ref="G52:H52"/>
    <mergeCell ref="B53:F53"/>
    <mergeCell ref="G53:H53"/>
    <mergeCell ref="B54:F54"/>
    <mergeCell ref="G54:H54"/>
    <mergeCell ref="B55:F55"/>
    <mergeCell ref="G55:H55"/>
    <mergeCell ref="B56:F56"/>
    <mergeCell ref="G56:M56"/>
    <mergeCell ref="B57:M57"/>
  </mergeCells>
  <conditionalFormatting sqref="L12:L1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"Atenção"</formula>
    </cfRule>
    <cfRule type="cellIs" priority="4" operator="equal" aboveAverage="0" equalAverage="0" bottom="0" percent="0" rank="0" text="" dxfId="1">
      <formula>"Falta dado"</formula>
    </cfRule>
    <cfRule type="cellIs" priority="5" operator="equal" aboveAverage="0" equalAverage="0" bottom="0" percent="0" rank="0" text="" dxfId="2">
      <formula>"Sobrecarga"</formula>
    </cfRule>
  </conditionalFormatting>
  <conditionalFormatting sqref="I25:I48">
    <cfRule type="cellIs" priority="6" operator="equal" aboveAverage="0" equalAverage="0" bottom="0" percent="0" rank="0" text="" dxfId="0">
      <formula>"OK"</formula>
    </cfRule>
    <cfRule type="expression" priority="7" aboveAverage="0" equalAverage="0" bottom="0" percent="0" rank="0" text="" dxfId="1">
      <formula>AND(LEN(I25)&gt;0,I25&lt;&gt;"OK")</formula>
    </cfRule>
  </conditionalFormatting>
  <conditionalFormatting sqref="G56:M56">
    <cfRule type="cellIs" priority="8" operator="equal" aboveAverage="0" equalAverage="0" bottom="0" percent="0" rank="0" text="" dxfId="0">
      <formula>"OK"</formula>
    </cfRule>
    <cfRule type="cellIs" priority="9" operator="notEqual" aboveAverage="0" equalAverage="0" bottom="0" percent="0" rank="0" text="" dxfId="1">
      <formula>"OK"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D5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K4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E12:F19" type="decimal">
      <formula1>-1000000000</formula1>
      <formula2>1000000000</formula2>
    </dataValidation>
    <dataValidation allowBlank="true" error="Cadastre o circuito no alto da aba antes de usá-lo aqui." errorStyle="stop" errorTitle="Circuito inválido" operator="between" prompt="Escolha um dos circuitos cadastrados no alto da aba." promptTitle="Circuito" showDropDown="false" showErrorMessage="true" showInputMessage="true" sqref="D25:D48" type="list">
      <formula1>$C$12:$C$19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25:F48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L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10" min="8" style="0" width="11"/>
    <col collapsed="false" customWidth="true" hidden="false" outlineLevel="0" max="11" min="11" style="0" width="16"/>
    <col collapsed="false" customWidth="true" hidden="false" outlineLevel="0" max="12" min="12" style="0" width="36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177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178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4" t="s">
        <v>134</v>
      </c>
      <c r="C4" s="4"/>
      <c r="D4" s="5"/>
      <c r="E4" s="5"/>
      <c r="F4" s="5"/>
      <c r="G4" s="10" t="s">
        <v>179</v>
      </c>
      <c r="H4" s="10"/>
      <c r="I4" s="10"/>
      <c r="J4" s="10"/>
      <c r="K4" s="10"/>
      <c r="L4" s="10"/>
    </row>
    <row r="5" customFormat="false" ht="21.75" hidden="false" customHeight="true" outlineLevel="0" collapsed="false">
      <c r="B5" s="4" t="s">
        <v>180</v>
      </c>
      <c r="C5" s="4"/>
      <c r="D5" s="5"/>
      <c r="E5" s="5"/>
      <c r="F5" s="5"/>
      <c r="G5" s="10"/>
      <c r="H5" s="10"/>
      <c r="I5" s="10"/>
      <c r="J5" s="10"/>
      <c r="K5" s="10"/>
      <c r="L5" s="10"/>
    </row>
    <row r="6" customFormat="false" ht="21.75" hidden="false" customHeight="true" outlineLevel="0" collapsed="false">
      <c r="B6" s="4" t="s">
        <v>66</v>
      </c>
      <c r="C6" s="4"/>
      <c r="D6" s="12"/>
      <c r="E6" s="12"/>
      <c r="F6" s="12"/>
      <c r="G6" s="10"/>
      <c r="H6" s="10"/>
      <c r="I6" s="10"/>
      <c r="J6" s="10"/>
      <c r="K6" s="10"/>
      <c r="L6" s="10"/>
    </row>
    <row r="8" customFormat="false" ht="21.75" hidden="false" customHeight="true" outlineLevel="0" collapsed="false">
      <c r="B8" s="14" t="s">
        <v>181</v>
      </c>
      <c r="C8" s="14"/>
      <c r="D8" s="14"/>
      <c r="E8" s="14"/>
      <c r="F8" s="14"/>
      <c r="G8" s="14"/>
      <c r="H8" s="14"/>
      <c r="I8" s="14"/>
      <c r="J8" s="14"/>
      <c r="K8" s="14"/>
      <c r="L8" s="14"/>
    </row>
    <row r="9" customFormat="false" ht="30" hidden="false" customHeight="true" outlineLevel="0" collapsed="false">
      <c r="B9" s="15" t="s">
        <v>140</v>
      </c>
      <c r="C9" s="15" t="s">
        <v>161</v>
      </c>
      <c r="D9" s="15" t="s">
        <v>78</v>
      </c>
      <c r="E9" s="16" t="s">
        <v>182</v>
      </c>
      <c r="F9" s="16" t="s">
        <v>183</v>
      </c>
      <c r="G9" s="16" t="s">
        <v>184</v>
      </c>
      <c r="H9" s="16" t="s">
        <v>185</v>
      </c>
      <c r="I9" s="17" t="s">
        <v>186</v>
      </c>
      <c r="J9" s="17" t="s">
        <v>187</v>
      </c>
      <c r="K9" s="17" t="s">
        <v>116</v>
      </c>
      <c r="L9" s="15" t="s">
        <v>90</v>
      </c>
    </row>
    <row r="10" customFormat="false" ht="21.75" hidden="false" customHeight="true" outlineLevel="0" collapsed="false">
      <c r="B10" s="18"/>
      <c r="C10" s="18" t="s">
        <v>91</v>
      </c>
      <c r="D10" s="18" t="s">
        <v>188</v>
      </c>
      <c r="E10" s="18" t="s">
        <v>189</v>
      </c>
      <c r="F10" s="18" t="s">
        <v>190</v>
      </c>
      <c r="G10" s="18" t="s">
        <v>191</v>
      </c>
      <c r="H10" s="18" t="s">
        <v>192</v>
      </c>
      <c r="I10" s="18"/>
      <c r="J10" s="18"/>
      <c r="K10" s="18"/>
      <c r="L10" s="18"/>
    </row>
    <row r="11" customFormat="false" ht="21.75" hidden="false" customHeight="true" outlineLevel="0" collapsed="false">
      <c r="B11" s="18" t="s">
        <v>103</v>
      </c>
      <c r="C11" s="10" t="s">
        <v>193</v>
      </c>
      <c r="D11" s="10" t="s">
        <v>194</v>
      </c>
      <c r="E11" s="18" t="n">
        <v>1</v>
      </c>
      <c r="F11" s="10" t="s">
        <v>195</v>
      </c>
      <c r="G11" s="18" t="n">
        <v>7</v>
      </c>
      <c r="H11" s="18" t="n">
        <v>1</v>
      </c>
      <c r="I11" s="18" t="n">
        <v>7</v>
      </c>
      <c r="J11" s="18" t="n">
        <v>8</v>
      </c>
      <c r="K11" s="18" t="s">
        <v>108</v>
      </c>
      <c r="L11" s="10"/>
    </row>
    <row r="12" customFormat="false" ht="19.5" hidden="false" customHeight="true" outlineLevel="0" collapsed="false">
      <c r="B12" s="19" t="n">
        <v>1</v>
      </c>
      <c r="C12" s="5"/>
      <c r="D12" s="5"/>
      <c r="E12" s="9"/>
      <c r="F12" s="20"/>
      <c r="G12" s="9"/>
      <c r="H12" s="9"/>
      <c r="I12" s="21" t="str">
        <f aca="false">IF(OR(G12="",H12=""),"",H12+G12-1)</f>
        <v/>
      </c>
      <c r="J12" s="32" t="str">
        <f aca="false">IF(I12="","",IF(I12&gt;=512,"–",I12+1))</f>
        <v/>
      </c>
      <c r="K12" s="28" t="str">
        <f aca="false">IF(AND(C12="",H12=""),"",IF(OR(E12="",G12="",H12=""),"Falta dado",IF(OR(H12&lt;1,G12&lt;1,I12&gt;512),"Fora do universo",IF(COUNTIFS($E$12:$E$35,E12,$H$12:$H$35,"&lt;="&amp;I12,$I$12:$I$35,"&gt;="&amp;H12)&gt;1,"Conflito","OK"))))</f>
        <v/>
      </c>
      <c r="L12" s="5"/>
    </row>
    <row r="13" customFormat="false" ht="19.5" hidden="false" customHeight="true" outlineLevel="0" collapsed="false">
      <c r="B13" s="19" t="n">
        <v>2</v>
      </c>
      <c r="C13" s="5"/>
      <c r="D13" s="5"/>
      <c r="E13" s="9"/>
      <c r="F13" s="20"/>
      <c r="G13" s="9"/>
      <c r="H13" s="9"/>
      <c r="I13" s="21" t="str">
        <f aca="false">IF(OR(G13="",H13=""),"",H13+G13-1)</f>
        <v/>
      </c>
      <c r="J13" s="32" t="str">
        <f aca="false">IF(I13="","",IF(I13&gt;=512,"–",I13+1))</f>
        <v/>
      </c>
      <c r="K13" s="28" t="str">
        <f aca="false">IF(AND(C13="",H13=""),"",IF(OR(E13="",G13="",H13=""),"Falta dado",IF(OR(H13&lt;1,G13&lt;1,I13&gt;512),"Fora do universo",IF(COUNTIFS($E$12:$E$35,E13,$H$12:$H$35,"&lt;="&amp;I13,$I$12:$I$35,"&gt;="&amp;H13)&gt;1,"Conflito","OK"))))</f>
        <v/>
      </c>
      <c r="L13" s="5"/>
    </row>
    <row r="14" customFormat="false" ht="19.5" hidden="false" customHeight="true" outlineLevel="0" collapsed="false">
      <c r="B14" s="19" t="n">
        <v>3</v>
      </c>
      <c r="C14" s="5"/>
      <c r="D14" s="5"/>
      <c r="E14" s="9"/>
      <c r="F14" s="20"/>
      <c r="G14" s="9"/>
      <c r="H14" s="9"/>
      <c r="I14" s="21" t="str">
        <f aca="false">IF(OR(G14="",H14=""),"",H14+G14-1)</f>
        <v/>
      </c>
      <c r="J14" s="32" t="str">
        <f aca="false">IF(I14="","",IF(I14&gt;=512,"–",I14+1))</f>
        <v/>
      </c>
      <c r="K14" s="28" t="str">
        <f aca="false">IF(AND(C14="",H14=""),"",IF(OR(E14="",G14="",H14=""),"Falta dado",IF(OR(H14&lt;1,G14&lt;1,I14&gt;512),"Fora do universo",IF(COUNTIFS($E$12:$E$35,E14,$H$12:$H$35,"&lt;="&amp;I14,$I$12:$I$35,"&gt;="&amp;H14)&gt;1,"Conflito","OK"))))</f>
        <v/>
      </c>
      <c r="L14" s="5"/>
    </row>
    <row r="15" customFormat="false" ht="19.5" hidden="false" customHeight="true" outlineLevel="0" collapsed="false">
      <c r="B15" s="19" t="n">
        <v>4</v>
      </c>
      <c r="C15" s="5"/>
      <c r="D15" s="5"/>
      <c r="E15" s="9"/>
      <c r="F15" s="20"/>
      <c r="G15" s="9"/>
      <c r="H15" s="9"/>
      <c r="I15" s="21" t="str">
        <f aca="false">IF(OR(G15="",H15=""),"",H15+G15-1)</f>
        <v/>
      </c>
      <c r="J15" s="32" t="str">
        <f aca="false">IF(I15="","",IF(I15&gt;=512,"–",I15+1))</f>
        <v/>
      </c>
      <c r="K15" s="28" t="str">
        <f aca="false">IF(AND(C15="",H15=""),"",IF(OR(E15="",G15="",H15=""),"Falta dado",IF(OR(H15&lt;1,G15&lt;1,I15&gt;512),"Fora do universo",IF(COUNTIFS($E$12:$E$35,E15,$H$12:$H$35,"&lt;="&amp;I15,$I$12:$I$35,"&gt;="&amp;H15)&gt;1,"Conflito","OK"))))</f>
        <v/>
      </c>
      <c r="L15" s="5"/>
    </row>
    <row r="16" customFormat="false" ht="19.5" hidden="false" customHeight="true" outlineLevel="0" collapsed="false">
      <c r="B16" s="19" t="n">
        <v>5</v>
      </c>
      <c r="C16" s="5"/>
      <c r="D16" s="5"/>
      <c r="E16" s="9"/>
      <c r="F16" s="20"/>
      <c r="G16" s="9"/>
      <c r="H16" s="9"/>
      <c r="I16" s="21" t="str">
        <f aca="false">IF(OR(G16="",H16=""),"",H16+G16-1)</f>
        <v/>
      </c>
      <c r="J16" s="32" t="str">
        <f aca="false">IF(I16="","",IF(I16&gt;=512,"–",I16+1))</f>
        <v/>
      </c>
      <c r="K16" s="28" t="str">
        <f aca="false">IF(AND(C16="",H16=""),"",IF(OR(E16="",G16="",H16=""),"Falta dado",IF(OR(H16&lt;1,G16&lt;1,I16&gt;512),"Fora do universo",IF(COUNTIFS($E$12:$E$35,E16,$H$12:$H$35,"&lt;="&amp;I16,$I$12:$I$35,"&gt;="&amp;H16)&gt;1,"Conflito","OK"))))</f>
        <v/>
      </c>
      <c r="L16" s="5"/>
    </row>
    <row r="17" customFormat="false" ht="19.5" hidden="false" customHeight="true" outlineLevel="0" collapsed="false">
      <c r="B17" s="19" t="n">
        <v>6</v>
      </c>
      <c r="C17" s="5"/>
      <c r="D17" s="5"/>
      <c r="E17" s="9"/>
      <c r="F17" s="20"/>
      <c r="G17" s="9"/>
      <c r="H17" s="9"/>
      <c r="I17" s="21" t="str">
        <f aca="false">IF(OR(G17="",H17=""),"",H17+G17-1)</f>
        <v/>
      </c>
      <c r="J17" s="32" t="str">
        <f aca="false">IF(I17="","",IF(I17&gt;=512,"–",I17+1))</f>
        <v/>
      </c>
      <c r="K17" s="28" t="str">
        <f aca="false">IF(AND(C17="",H17=""),"",IF(OR(E17="",G17="",H17=""),"Falta dado",IF(OR(H17&lt;1,G17&lt;1,I17&gt;512),"Fora do universo",IF(COUNTIFS($E$12:$E$35,E17,$H$12:$H$35,"&lt;="&amp;I17,$I$12:$I$35,"&gt;="&amp;H17)&gt;1,"Conflito","OK"))))</f>
        <v/>
      </c>
      <c r="L17" s="5"/>
    </row>
    <row r="18" customFormat="false" ht="19.5" hidden="false" customHeight="true" outlineLevel="0" collapsed="false">
      <c r="B18" s="19" t="n">
        <v>7</v>
      </c>
      <c r="C18" s="5"/>
      <c r="D18" s="5"/>
      <c r="E18" s="9"/>
      <c r="F18" s="20"/>
      <c r="G18" s="9"/>
      <c r="H18" s="9"/>
      <c r="I18" s="21" t="str">
        <f aca="false">IF(OR(G18="",H18=""),"",H18+G18-1)</f>
        <v/>
      </c>
      <c r="J18" s="32" t="str">
        <f aca="false">IF(I18="","",IF(I18&gt;=512,"–",I18+1))</f>
        <v/>
      </c>
      <c r="K18" s="28" t="str">
        <f aca="false">IF(AND(C18="",H18=""),"",IF(OR(E18="",G18="",H18=""),"Falta dado",IF(OR(H18&lt;1,G18&lt;1,I18&gt;512),"Fora do universo",IF(COUNTIFS($E$12:$E$35,E18,$H$12:$H$35,"&lt;="&amp;I18,$I$12:$I$35,"&gt;="&amp;H18)&gt;1,"Conflito","OK"))))</f>
        <v/>
      </c>
      <c r="L18" s="5"/>
    </row>
    <row r="19" customFormat="false" ht="19.5" hidden="false" customHeight="true" outlineLevel="0" collapsed="false">
      <c r="B19" s="19" t="n">
        <v>8</v>
      </c>
      <c r="C19" s="5"/>
      <c r="D19" s="5"/>
      <c r="E19" s="9"/>
      <c r="F19" s="20"/>
      <c r="G19" s="9"/>
      <c r="H19" s="9"/>
      <c r="I19" s="21" t="str">
        <f aca="false">IF(OR(G19="",H19=""),"",H19+G19-1)</f>
        <v/>
      </c>
      <c r="J19" s="32" t="str">
        <f aca="false">IF(I19="","",IF(I19&gt;=512,"–",I19+1))</f>
        <v/>
      </c>
      <c r="K19" s="28" t="str">
        <f aca="false">IF(AND(C19="",H19=""),"",IF(OR(E19="",G19="",H19=""),"Falta dado",IF(OR(H19&lt;1,G19&lt;1,I19&gt;512),"Fora do universo",IF(COUNTIFS($E$12:$E$35,E19,$H$12:$H$35,"&lt;="&amp;I19,$I$12:$I$35,"&gt;="&amp;H19)&gt;1,"Conflito","OK"))))</f>
        <v/>
      </c>
      <c r="L19" s="5"/>
    </row>
    <row r="20" customFormat="false" ht="19.5" hidden="false" customHeight="true" outlineLevel="0" collapsed="false">
      <c r="B20" s="19" t="n">
        <v>9</v>
      </c>
      <c r="C20" s="5"/>
      <c r="D20" s="5"/>
      <c r="E20" s="9"/>
      <c r="F20" s="20"/>
      <c r="G20" s="9"/>
      <c r="H20" s="9"/>
      <c r="I20" s="21" t="str">
        <f aca="false">IF(OR(G20="",H20=""),"",H20+G20-1)</f>
        <v/>
      </c>
      <c r="J20" s="32" t="str">
        <f aca="false">IF(I20="","",IF(I20&gt;=512,"–",I20+1))</f>
        <v/>
      </c>
      <c r="K20" s="28" t="str">
        <f aca="false">IF(AND(C20="",H20=""),"",IF(OR(E20="",G20="",H20=""),"Falta dado",IF(OR(H20&lt;1,G20&lt;1,I20&gt;512),"Fora do universo",IF(COUNTIFS($E$12:$E$35,E20,$H$12:$H$35,"&lt;="&amp;I20,$I$12:$I$35,"&gt;="&amp;H20)&gt;1,"Conflito","OK"))))</f>
        <v/>
      </c>
      <c r="L20" s="5"/>
    </row>
    <row r="21" customFormat="false" ht="19.5" hidden="false" customHeight="true" outlineLevel="0" collapsed="false">
      <c r="B21" s="19" t="n">
        <v>10</v>
      </c>
      <c r="C21" s="5"/>
      <c r="D21" s="5"/>
      <c r="E21" s="9"/>
      <c r="F21" s="20"/>
      <c r="G21" s="9"/>
      <c r="H21" s="9"/>
      <c r="I21" s="21" t="str">
        <f aca="false">IF(OR(G21="",H21=""),"",H21+G21-1)</f>
        <v/>
      </c>
      <c r="J21" s="32" t="str">
        <f aca="false">IF(I21="","",IF(I21&gt;=512,"–",I21+1))</f>
        <v/>
      </c>
      <c r="K21" s="28" t="str">
        <f aca="false">IF(AND(C21="",H21=""),"",IF(OR(E21="",G21="",H21=""),"Falta dado",IF(OR(H21&lt;1,G21&lt;1,I21&gt;512),"Fora do universo",IF(COUNTIFS($E$12:$E$35,E21,$H$12:$H$35,"&lt;="&amp;I21,$I$12:$I$35,"&gt;="&amp;H21)&gt;1,"Conflito","OK"))))</f>
        <v/>
      </c>
      <c r="L21" s="5"/>
    </row>
    <row r="22" customFormat="false" ht="19.5" hidden="false" customHeight="true" outlineLevel="0" collapsed="false">
      <c r="B22" s="19" t="n">
        <v>11</v>
      </c>
      <c r="C22" s="5"/>
      <c r="D22" s="5"/>
      <c r="E22" s="9"/>
      <c r="F22" s="20"/>
      <c r="G22" s="9"/>
      <c r="H22" s="9"/>
      <c r="I22" s="21" t="str">
        <f aca="false">IF(OR(G22="",H22=""),"",H22+G22-1)</f>
        <v/>
      </c>
      <c r="J22" s="32" t="str">
        <f aca="false">IF(I22="","",IF(I22&gt;=512,"–",I22+1))</f>
        <v/>
      </c>
      <c r="K22" s="28" t="str">
        <f aca="false">IF(AND(C22="",H22=""),"",IF(OR(E22="",G22="",H22=""),"Falta dado",IF(OR(H22&lt;1,G22&lt;1,I22&gt;512),"Fora do universo",IF(COUNTIFS($E$12:$E$35,E22,$H$12:$H$35,"&lt;="&amp;I22,$I$12:$I$35,"&gt;="&amp;H22)&gt;1,"Conflito","OK"))))</f>
        <v/>
      </c>
      <c r="L22" s="5"/>
    </row>
    <row r="23" customFormat="false" ht="19.5" hidden="false" customHeight="true" outlineLevel="0" collapsed="false">
      <c r="B23" s="19" t="n">
        <v>12</v>
      </c>
      <c r="C23" s="5"/>
      <c r="D23" s="5"/>
      <c r="E23" s="9"/>
      <c r="F23" s="20"/>
      <c r="G23" s="9"/>
      <c r="H23" s="9"/>
      <c r="I23" s="21" t="str">
        <f aca="false">IF(OR(G23="",H23=""),"",H23+G23-1)</f>
        <v/>
      </c>
      <c r="J23" s="32" t="str">
        <f aca="false">IF(I23="","",IF(I23&gt;=512,"–",I23+1))</f>
        <v/>
      </c>
      <c r="K23" s="28" t="str">
        <f aca="false">IF(AND(C23="",H23=""),"",IF(OR(E23="",G23="",H23=""),"Falta dado",IF(OR(H23&lt;1,G23&lt;1,I23&gt;512),"Fora do universo",IF(COUNTIFS($E$12:$E$35,E23,$H$12:$H$35,"&lt;="&amp;I23,$I$12:$I$35,"&gt;="&amp;H23)&gt;1,"Conflito","OK"))))</f>
        <v/>
      </c>
      <c r="L23" s="5"/>
    </row>
    <row r="24" customFormat="false" ht="19.5" hidden="false" customHeight="true" outlineLevel="0" collapsed="false">
      <c r="B24" s="19" t="n">
        <v>13</v>
      </c>
      <c r="C24" s="5"/>
      <c r="D24" s="5"/>
      <c r="E24" s="9"/>
      <c r="F24" s="20"/>
      <c r="G24" s="9"/>
      <c r="H24" s="9"/>
      <c r="I24" s="21" t="str">
        <f aca="false">IF(OR(G24="",H24=""),"",H24+G24-1)</f>
        <v/>
      </c>
      <c r="J24" s="32" t="str">
        <f aca="false">IF(I24="","",IF(I24&gt;=512,"–",I24+1))</f>
        <v/>
      </c>
      <c r="K24" s="28" t="str">
        <f aca="false">IF(AND(C24="",H24=""),"",IF(OR(E24="",G24="",H24=""),"Falta dado",IF(OR(H24&lt;1,G24&lt;1,I24&gt;512),"Fora do universo",IF(COUNTIFS($E$12:$E$35,E24,$H$12:$H$35,"&lt;="&amp;I24,$I$12:$I$35,"&gt;="&amp;H24)&gt;1,"Conflito","OK"))))</f>
        <v/>
      </c>
      <c r="L24" s="5"/>
    </row>
    <row r="25" customFormat="false" ht="19.5" hidden="false" customHeight="true" outlineLevel="0" collapsed="false">
      <c r="B25" s="19" t="n">
        <v>14</v>
      </c>
      <c r="C25" s="5"/>
      <c r="D25" s="5"/>
      <c r="E25" s="9"/>
      <c r="F25" s="20"/>
      <c r="G25" s="9"/>
      <c r="H25" s="9"/>
      <c r="I25" s="21" t="str">
        <f aca="false">IF(OR(G25="",H25=""),"",H25+G25-1)</f>
        <v/>
      </c>
      <c r="J25" s="32" t="str">
        <f aca="false">IF(I25="","",IF(I25&gt;=512,"–",I25+1))</f>
        <v/>
      </c>
      <c r="K25" s="28" t="str">
        <f aca="false">IF(AND(C25="",H25=""),"",IF(OR(E25="",G25="",H25=""),"Falta dado",IF(OR(H25&lt;1,G25&lt;1,I25&gt;512),"Fora do universo",IF(COUNTIFS($E$12:$E$35,E25,$H$12:$H$35,"&lt;="&amp;I25,$I$12:$I$35,"&gt;="&amp;H25)&gt;1,"Conflito","OK"))))</f>
        <v/>
      </c>
      <c r="L25" s="5"/>
    </row>
    <row r="26" customFormat="false" ht="19.5" hidden="false" customHeight="true" outlineLevel="0" collapsed="false">
      <c r="B26" s="19" t="n">
        <v>15</v>
      </c>
      <c r="C26" s="5"/>
      <c r="D26" s="5"/>
      <c r="E26" s="9"/>
      <c r="F26" s="20"/>
      <c r="G26" s="9"/>
      <c r="H26" s="9"/>
      <c r="I26" s="21" t="str">
        <f aca="false">IF(OR(G26="",H26=""),"",H26+G26-1)</f>
        <v/>
      </c>
      <c r="J26" s="32" t="str">
        <f aca="false">IF(I26="","",IF(I26&gt;=512,"–",I26+1))</f>
        <v/>
      </c>
      <c r="K26" s="28" t="str">
        <f aca="false">IF(AND(C26="",H26=""),"",IF(OR(E26="",G26="",H26=""),"Falta dado",IF(OR(H26&lt;1,G26&lt;1,I26&gt;512),"Fora do universo",IF(COUNTIFS($E$12:$E$35,E26,$H$12:$H$35,"&lt;="&amp;I26,$I$12:$I$35,"&gt;="&amp;H26)&gt;1,"Conflito","OK"))))</f>
        <v/>
      </c>
      <c r="L26" s="5"/>
    </row>
    <row r="27" customFormat="false" ht="19.5" hidden="false" customHeight="true" outlineLevel="0" collapsed="false">
      <c r="B27" s="19" t="n">
        <v>16</v>
      </c>
      <c r="C27" s="5"/>
      <c r="D27" s="5"/>
      <c r="E27" s="9"/>
      <c r="F27" s="20"/>
      <c r="G27" s="9"/>
      <c r="H27" s="9"/>
      <c r="I27" s="21" t="str">
        <f aca="false">IF(OR(G27="",H27=""),"",H27+G27-1)</f>
        <v/>
      </c>
      <c r="J27" s="32" t="str">
        <f aca="false">IF(I27="","",IF(I27&gt;=512,"–",I27+1))</f>
        <v/>
      </c>
      <c r="K27" s="28" t="str">
        <f aca="false">IF(AND(C27="",H27=""),"",IF(OR(E27="",G27="",H27=""),"Falta dado",IF(OR(H27&lt;1,G27&lt;1,I27&gt;512),"Fora do universo",IF(COUNTIFS($E$12:$E$35,E27,$H$12:$H$35,"&lt;="&amp;I27,$I$12:$I$35,"&gt;="&amp;H27)&gt;1,"Conflito","OK"))))</f>
        <v/>
      </c>
      <c r="L27" s="5"/>
    </row>
    <row r="28" customFormat="false" ht="19.5" hidden="false" customHeight="true" outlineLevel="0" collapsed="false">
      <c r="B28" s="19" t="n">
        <v>17</v>
      </c>
      <c r="C28" s="5"/>
      <c r="D28" s="5"/>
      <c r="E28" s="9"/>
      <c r="F28" s="20"/>
      <c r="G28" s="9"/>
      <c r="H28" s="9"/>
      <c r="I28" s="21" t="str">
        <f aca="false">IF(OR(G28="",H28=""),"",H28+G28-1)</f>
        <v/>
      </c>
      <c r="J28" s="32" t="str">
        <f aca="false">IF(I28="","",IF(I28&gt;=512,"–",I28+1))</f>
        <v/>
      </c>
      <c r="K28" s="28" t="str">
        <f aca="false">IF(AND(C28="",H28=""),"",IF(OR(E28="",G28="",H28=""),"Falta dado",IF(OR(H28&lt;1,G28&lt;1,I28&gt;512),"Fora do universo",IF(COUNTIFS($E$12:$E$35,E28,$H$12:$H$35,"&lt;="&amp;I28,$I$12:$I$35,"&gt;="&amp;H28)&gt;1,"Conflito","OK"))))</f>
        <v/>
      </c>
      <c r="L28" s="5"/>
    </row>
    <row r="29" customFormat="false" ht="19.5" hidden="false" customHeight="true" outlineLevel="0" collapsed="false">
      <c r="B29" s="19" t="n">
        <v>18</v>
      </c>
      <c r="C29" s="5"/>
      <c r="D29" s="5"/>
      <c r="E29" s="9"/>
      <c r="F29" s="20"/>
      <c r="G29" s="9"/>
      <c r="H29" s="9"/>
      <c r="I29" s="21" t="str">
        <f aca="false">IF(OR(G29="",H29=""),"",H29+G29-1)</f>
        <v/>
      </c>
      <c r="J29" s="32" t="str">
        <f aca="false">IF(I29="","",IF(I29&gt;=512,"–",I29+1))</f>
        <v/>
      </c>
      <c r="K29" s="28" t="str">
        <f aca="false">IF(AND(C29="",H29=""),"",IF(OR(E29="",G29="",H29=""),"Falta dado",IF(OR(H29&lt;1,G29&lt;1,I29&gt;512),"Fora do universo",IF(COUNTIFS($E$12:$E$35,E29,$H$12:$H$35,"&lt;="&amp;I29,$I$12:$I$35,"&gt;="&amp;H29)&gt;1,"Conflito","OK"))))</f>
        <v/>
      </c>
      <c r="L29" s="5"/>
    </row>
    <row r="30" customFormat="false" ht="19.5" hidden="false" customHeight="true" outlineLevel="0" collapsed="false">
      <c r="B30" s="19" t="n">
        <v>19</v>
      </c>
      <c r="C30" s="5"/>
      <c r="D30" s="5"/>
      <c r="E30" s="9"/>
      <c r="F30" s="20"/>
      <c r="G30" s="9"/>
      <c r="H30" s="9"/>
      <c r="I30" s="21" t="str">
        <f aca="false">IF(OR(G30="",H30=""),"",H30+G30-1)</f>
        <v/>
      </c>
      <c r="J30" s="32" t="str">
        <f aca="false">IF(I30="","",IF(I30&gt;=512,"–",I30+1))</f>
        <v/>
      </c>
      <c r="K30" s="28" t="str">
        <f aca="false">IF(AND(C30="",H30=""),"",IF(OR(E30="",G30="",H30=""),"Falta dado",IF(OR(H30&lt;1,G30&lt;1,I30&gt;512),"Fora do universo",IF(COUNTIFS($E$12:$E$35,E30,$H$12:$H$35,"&lt;="&amp;I30,$I$12:$I$35,"&gt;="&amp;H30)&gt;1,"Conflito","OK"))))</f>
        <v/>
      </c>
      <c r="L30" s="5"/>
    </row>
    <row r="31" customFormat="false" ht="19.5" hidden="false" customHeight="true" outlineLevel="0" collapsed="false">
      <c r="B31" s="19" t="n">
        <v>20</v>
      </c>
      <c r="C31" s="5"/>
      <c r="D31" s="5"/>
      <c r="E31" s="9"/>
      <c r="F31" s="20"/>
      <c r="G31" s="9"/>
      <c r="H31" s="9"/>
      <c r="I31" s="21" t="str">
        <f aca="false">IF(OR(G31="",H31=""),"",H31+G31-1)</f>
        <v/>
      </c>
      <c r="J31" s="32" t="str">
        <f aca="false">IF(I31="","",IF(I31&gt;=512,"–",I31+1))</f>
        <v/>
      </c>
      <c r="K31" s="28" t="str">
        <f aca="false">IF(AND(C31="",H31=""),"",IF(OR(E31="",G31="",H31=""),"Falta dado",IF(OR(H31&lt;1,G31&lt;1,I31&gt;512),"Fora do universo",IF(COUNTIFS($E$12:$E$35,E31,$H$12:$H$35,"&lt;="&amp;I31,$I$12:$I$35,"&gt;="&amp;H31)&gt;1,"Conflito","OK"))))</f>
        <v/>
      </c>
      <c r="L31" s="5"/>
    </row>
    <row r="32" customFormat="false" ht="19.5" hidden="false" customHeight="true" outlineLevel="0" collapsed="false">
      <c r="B32" s="19" t="n">
        <v>21</v>
      </c>
      <c r="C32" s="5"/>
      <c r="D32" s="5"/>
      <c r="E32" s="9"/>
      <c r="F32" s="20"/>
      <c r="G32" s="9"/>
      <c r="H32" s="9"/>
      <c r="I32" s="21" t="str">
        <f aca="false">IF(OR(G32="",H32=""),"",H32+G32-1)</f>
        <v/>
      </c>
      <c r="J32" s="32" t="str">
        <f aca="false">IF(I32="","",IF(I32&gt;=512,"–",I32+1))</f>
        <v/>
      </c>
      <c r="K32" s="28" t="str">
        <f aca="false">IF(AND(C32="",H32=""),"",IF(OR(E32="",G32="",H32=""),"Falta dado",IF(OR(H32&lt;1,G32&lt;1,I32&gt;512),"Fora do universo",IF(COUNTIFS($E$12:$E$35,E32,$H$12:$H$35,"&lt;="&amp;I32,$I$12:$I$35,"&gt;="&amp;H32)&gt;1,"Conflito","OK"))))</f>
        <v/>
      </c>
      <c r="L32" s="5"/>
    </row>
    <row r="33" customFormat="false" ht="19.5" hidden="false" customHeight="true" outlineLevel="0" collapsed="false">
      <c r="B33" s="19" t="n">
        <v>22</v>
      </c>
      <c r="C33" s="5"/>
      <c r="D33" s="5"/>
      <c r="E33" s="9"/>
      <c r="F33" s="20"/>
      <c r="G33" s="9"/>
      <c r="H33" s="9"/>
      <c r="I33" s="21" t="str">
        <f aca="false">IF(OR(G33="",H33=""),"",H33+G33-1)</f>
        <v/>
      </c>
      <c r="J33" s="32" t="str">
        <f aca="false">IF(I33="","",IF(I33&gt;=512,"–",I33+1))</f>
        <v/>
      </c>
      <c r="K33" s="28" t="str">
        <f aca="false">IF(AND(C33="",H33=""),"",IF(OR(E33="",G33="",H33=""),"Falta dado",IF(OR(H33&lt;1,G33&lt;1,I33&gt;512),"Fora do universo",IF(COUNTIFS($E$12:$E$35,E33,$H$12:$H$35,"&lt;="&amp;I33,$I$12:$I$35,"&gt;="&amp;H33)&gt;1,"Conflito","OK"))))</f>
        <v/>
      </c>
      <c r="L33" s="5"/>
    </row>
    <row r="34" customFormat="false" ht="19.5" hidden="false" customHeight="true" outlineLevel="0" collapsed="false">
      <c r="B34" s="19" t="n">
        <v>23</v>
      </c>
      <c r="C34" s="5"/>
      <c r="D34" s="5"/>
      <c r="E34" s="9"/>
      <c r="F34" s="20"/>
      <c r="G34" s="9"/>
      <c r="H34" s="9"/>
      <c r="I34" s="21" t="str">
        <f aca="false">IF(OR(G34="",H34=""),"",H34+G34-1)</f>
        <v/>
      </c>
      <c r="J34" s="32" t="str">
        <f aca="false">IF(I34="","",IF(I34&gt;=512,"–",I34+1))</f>
        <v/>
      </c>
      <c r="K34" s="28" t="str">
        <f aca="false">IF(AND(C34="",H34=""),"",IF(OR(E34="",G34="",H34=""),"Falta dado",IF(OR(H34&lt;1,G34&lt;1,I34&gt;512),"Fora do universo",IF(COUNTIFS($E$12:$E$35,E34,$H$12:$H$35,"&lt;="&amp;I34,$I$12:$I$35,"&gt;="&amp;H34)&gt;1,"Conflito","OK"))))</f>
        <v/>
      </c>
      <c r="L34" s="5"/>
    </row>
    <row r="35" customFormat="false" ht="19.5" hidden="false" customHeight="true" outlineLevel="0" collapsed="false">
      <c r="B35" s="19" t="n">
        <v>24</v>
      </c>
      <c r="C35" s="5"/>
      <c r="D35" s="5"/>
      <c r="E35" s="9"/>
      <c r="F35" s="20"/>
      <c r="G35" s="9"/>
      <c r="H35" s="9"/>
      <c r="I35" s="21" t="str">
        <f aca="false">IF(OR(G35="",H35=""),"",H35+G35-1)</f>
        <v/>
      </c>
      <c r="J35" s="32" t="str">
        <f aca="false">IF(I35="","",IF(I35&gt;=512,"–",I35+1))</f>
        <v/>
      </c>
      <c r="K35" s="28" t="str">
        <f aca="false">IF(AND(C35="",H35=""),"",IF(OR(E35="",G35="",H35=""),"Falta dado",IF(OR(H35&lt;1,G35&lt;1,I35&gt;512),"Fora do universo",IF(COUNTIFS($E$12:$E$35,E35,$H$12:$H$35,"&lt;="&amp;I35,$I$12:$I$35,"&gt;="&amp;H35)&gt;1,"Conflito","OK"))))</f>
        <v/>
      </c>
      <c r="L35" s="5"/>
    </row>
    <row r="37" customFormat="false" ht="21.75" hidden="false" customHeight="true" outlineLevel="0" collapsed="false">
      <c r="B37" s="14" t="s">
        <v>122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customFormat="false" ht="19.5" hidden="false" customHeight="true" outlineLevel="0" collapsed="false">
      <c r="B38" s="27" t="s">
        <v>196</v>
      </c>
      <c r="C38" s="27"/>
      <c r="D38" s="27"/>
      <c r="E38" s="27"/>
      <c r="F38" s="27"/>
      <c r="G38" s="28" t="n">
        <f aca="false">COUNTA(C12:C35)</f>
        <v>0</v>
      </c>
      <c r="H38" s="28"/>
    </row>
    <row r="39" customFormat="false" ht="19.5" hidden="false" customHeight="true" outlineLevel="0" collapsed="false">
      <c r="B39" s="27" t="s">
        <v>197</v>
      </c>
      <c r="C39" s="27"/>
      <c r="D39" s="27"/>
      <c r="E39" s="27"/>
      <c r="F39" s="27"/>
      <c r="G39" s="28" t="n">
        <f aca="false">COUNTIF(E12:E35,1)</f>
        <v>0</v>
      </c>
      <c r="H39" s="28"/>
    </row>
    <row r="40" customFormat="false" ht="19.5" hidden="false" customHeight="true" outlineLevel="0" collapsed="false">
      <c r="B40" s="27" t="s">
        <v>198</v>
      </c>
      <c r="C40" s="27"/>
      <c r="D40" s="27"/>
      <c r="E40" s="27"/>
      <c r="F40" s="27"/>
      <c r="G40" s="28" t="n">
        <f aca="false">SUMIF(E12:E35,1,G12:G35)</f>
        <v>0</v>
      </c>
      <c r="H40" s="28"/>
    </row>
    <row r="41" customFormat="false" ht="19.5" hidden="false" customHeight="true" outlineLevel="0" collapsed="false">
      <c r="B41" s="27" t="s">
        <v>199</v>
      </c>
      <c r="C41" s="27"/>
      <c r="D41" s="27"/>
      <c r="E41" s="27"/>
      <c r="F41" s="27"/>
      <c r="G41" s="28" t="str">
        <f aca="false">IF(COUNT(I12:I35)=0,"",MAX(I12:I35))</f>
        <v/>
      </c>
      <c r="H41" s="28"/>
    </row>
    <row r="42" customFormat="false" ht="19.5" hidden="false" customHeight="true" outlineLevel="0" collapsed="false">
      <c r="B42" s="27" t="s">
        <v>200</v>
      </c>
      <c r="C42" s="27"/>
      <c r="D42" s="27"/>
      <c r="E42" s="27"/>
      <c r="F42" s="27"/>
      <c r="G42" s="28" t="n">
        <f aca="false">COUNTIF(K12:K35,"Conflito")</f>
        <v>0</v>
      </c>
      <c r="H42" s="28"/>
    </row>
    <row r="43" customFormat="false" ht="19.5" hidden="false" customHeight="true" outlineLevel="0" collapsed="false">
      <c r="B43" s="27" t="s">
        <v>201</v>
      </c>
      <c r="C43" s="27"/>
      <c r="D43" s="27"/>
      <c r="E43" s="27"/>
      <c r="F43" s="27"/>
      <c r="G43" s="28" t="n">
        <f aca="false">COUNTIF(K12:K35,"Fora do universo")</f>
        <v>0</v>
      </c>
      <c r="H43" s="28"/>
    </row>
    <row r="44" customFormat="false" ht="21.75" hidden="false" customHeight="true" outlineLevel="0" collapsed="false">
      <c r="B44" s="27" t="s">
        <v>131</v>
      </c>
      <c r="C44" s="27"/>
      <c r="D44" s="27"/>
      <c r="E44" s="27"/>
      <c r="F44" s="27"/>
      <c r="G44" s="29" t="str">
        <f aca="false">IF(G38=0,"Liste os aparelhos",IF(G42+G43&gt;0,"Há endereço em conflito ou fora do universo",IF(COUNTIF(K12:K35,"Falta dado")&gt;0,"Há aparelho sem universo, canais ou endereço",IF(G39&gt;32,"Mais de 32 aparelhos no universo 1: use divisor (splitter) e confira cada linha","OK"))))</f>
        <v>Liste os aparelhos</v>
      </c>
      <c r="H44" s="29"/>
      <c r="I44" s="29"/>
      <c r="J44" s="29"/>
      <c r="K44" s="29"/>
      <c r="L44" s="29"/>
    </row>
    <row r="46" customFormat="false" ht="21.75" hidden="false" customHeight="true" outlineLevel="0" collapsed="false">
      <c r="B46" s="14" t="s">
        <v>202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customFormat="false" ht="21.75" hidden="false" customHeight="true" outlineLevel="0" collapsed="false">
      <c r="B47" s="4" t="s">
        <v>203</v>
      </c>
      <c r="C47" s="4"/>
      <c r="D47" s="9"/>
      <c r="E47" s="10" t="s">
        <v>204</v>
      </c>
      <c r="F47" s="10"/>
      <c r="G47" s="10"/>
      <c r="H47" s="10"/>
      <c r="I47" s="10"/>
      <c r="J47" s="10"/>
      <c r="K47" s="10"/>
      <c r="L47" s="10"/>
    </row>
    <row r="48" customFormat="false" ht="15" hidden="false" customHeight="false" outlineLevel="0" collapsed="false">
      <c r="C48" s="8" t="s">
        <v>205</v>
      </c>
      <c r="D48" s="8" t="s">
        <v>206</v>
      </c>
      <c r="E48" s="8" t="s">
        <v>78</v>
      </c>
      <c r="F48" s="8" t="s">
        <v>207</v>
      </c>
    </row>
    <row r="49" customFormat="false" ht="19.5" hidden="false" customHeight="true" outlineLevel="0" collapsed="false">
      <c r="C49" s="19" t="n">
        <v>9</v>
      </c>
      <c r="D49" s="34" t="n">
        <v>256</v>
      </c>
      <c r="E49" s="28" t="str">
        <f aca="false">IF($D$47="","",IF($D$47&gt;=256,"Ligada","Desligada"))</f>
        <v/>
      </c>
      <c r="F49" s="32" t="str">
        <f aca="false">IF($D$47="","",$D$47-IF(E49="Ligada",256,0))</f>
        <v/>
      </c>
      <c r="G49" s="10" t="s">
        <v>208</v>
      </c>
      <c r="H49" s="10"/>
      <c r="I49" s="10"/>
      <c r="J49" s="10"/>
      <c r="K49" s="10"/>
      <c r="L49" s="10"/>
    </row>
    <row r="50" customFormat="false" ht="19.5" hidden="false" customHeight="true" outlineLevel="0" collapsed="false">
      <c r="C50" s="19" t="n">
        <v>8</v>
      </c>
      <c r="D50" s="34" t="n">
        <v>128</v>
      </c>
      <c r="E50" s="28" t="str">
        <f aca="false">IF($D$47="","",IF(F49&gt;=128,"Ligada","Desligada"))</f>
        <v/>
      </c>
      <c r="F50" s="32" t="str">
        <f aca="false">IF($D$47="","",F49-IF(E50="Ligada",128,0))</f>
        <v/>
      </c>
      <c r="G50" s="10"/>
      <c r="H50" s="10"/>
      <c r="I50" s="10"/>
      <c r="J50" s="10"/>
      <c r="K50" s="10"/>
      <c r="L50" s="10"/>
    </row>
    <row r="51" customFormat="false" ht="19.5" hidden="false" customHeight="true" outlineLevel="0" collapsed="false">
      <c r="C51" s="19" t="n">
        <v>7</v>
      </c>
      <c r="D51" s="34" t="n">
        <v>64</v>
      </c>
      <c r="E51" s="28" t="str">
        <f aca="false">IF($D$47="","",IF(F50&gt;=64,"Ligada","Desligada"))</f>
        <v/>
      </c>
      <c r="F51" s="32" t="str">
        <f aca="false">IF($D$47="","",F50-IF(E51="Ligada",64,0))</f>
        <v/>
      </c>
      <c r="G51" s="10"/>
      <c r="H51" s="10"/>
      <c r="I51" s="10"/>
      <c r="J51" s="10"/>
      <c r="K51" s="10"/>
      <c r="L51" s="10"/>
    </row>
    <row r="52" customFormat="false" ht="19.5" hidden="false" customHeight="true" outlineLevel="0" collapsed="false">
      <c r="C52" s="19" t="n">
        <v>6</v>
      </c>
      <c r="D52" s="34" t="n">
        <v>32</v>
      </c>
      <c r="E52" s="28" t="str">
        <f aca="false">IF($D$47="","",IF(F51&gt;=32,"Ligada","Desligada"))</f>
        <v/>
      </c>
      <c r="F52" s="32" t="str">
        <f aca="false">IF($D$47="","",F51-IF(E52="Ligada",32,0))</f>
        <v/>
      </c>
    </row>
    <row r="53" customFormat="false" ht="19.5" hidden="false" customHeight="true" outlineLevel="0" collapsed="false">
      <c r="C53" s="19" t="n">
        <v>5</v>
      </c>
      <c r="D53" s="34" t="n">
        <v>16</v>
      </c>
      <c r="E53" s="28" t="str">
        <f aca="false">IF($D$47="","",IF(F52&gt;=16,"Ligada","Desligada"))</f>
        <v/>
      </c>
      <c r="F53" s="32" t="str">
        <f aca="false">IF($D$47="","",F52-IF(E53="Ligada",16,0))</f>
        <v/>
      </c>
    </row>
    <row r="54" customFormat="false" ht="19.5" hidden="false" customHeight="true" outlineLevel="0" collapsed="false">
      <c r="C54" s="19" t="n">
        <v>4</v>
      </c>
      <c r="D54" s="34" t="n">
        <v>8</v>
      </c>
      <c r="E54" s="28" t="str">
        <f aca="false">IF($D$47="","",IF(F53&gt;=8,"Ligada","Desligada"))</f>
        <v/>
      </c>
      <c r="F54" s="32" t="str">
        <f aca="false">IF($D$47="","",F53-IF(E54="Ligada",8,0))</f>
        <v/>
      </c>
    </row>
    <row r="55" customFormat="false" ht="19.5" hidden="false" customHeight="true" outlineLevel="0" collapsed="false">
      <c r="C55" s="19" t="n">
        <v>3</v>
      </c>
      <c r="D55" s="34" t="n">
        <v>4</v>
      </c>
      <c r="E55" s="28" t="str">
        <f aca="false">IF($D$47="","",IF(F54&gt;=4,"Ligada","Desligada"))</f>
        <v/>
      </c>
      <c r="F55" s="32" t="str">
        <f aca="false">IF($D$47="","",F54-IF(E55="Ligada",4,0))</f>
        <v/>
      </c>
    </row>
    <row r="56" customFormat="false" ht="19.5" hidden="false" customHeight="true" outlineLevel="0" collapsed="false">
      <c r="C56" s="19" t="n">
        <v>2</v>
      </c>
      <c r="D56" s="34" t="n">
        <v>2</v>
      </c>
      <c r="E56" s="28" t="str">
        <f aca="false">IF($D$47="","",IF(F55&gt;=2,"Ligada","Desligada"))</f>
        <v/>
      </c>
      <c r="F56" s="32" t="str">
        <f aca="false">IF($D$47="","",F55-IF(E56="Ligada",2,0))</f>
        <v/>
      </c>
    </row>
    <row r="57" customFormat="false" ht="19.5" hidden="false" customHeight="true" outlineLevel="0" collapsed="false">
      <c r="C57" s="19" t="n">
        <v>1</v>
      </c>
      <c r="D57" s="34" t="n">
        <v>1</v>
      </c>
      <c r="E57" s="28" t="str">
        <f aca="false">IF($D$47="","",IF(F56&gt;=1,"Ligada","Desligada"))</f>
        <v/>
      </c>
      <c r="F57" s="32" t="str">
        <f aca="false">IF($D$47="","",F56-IF(E57="Ligada",1,0))</f>
        <v/>
      </c>
    </row>
    <row r="58" customFormat="false" ht="19.5" hidden="false" customHeight="true" outlineLevel="0" collapsed="false">
      <c r="B58" s="27" t="s">
        <v>209</v>
      </c>
      <c r="C58" s="27"/>
      <c r="D58" s="27"/>
      <c r="E58" s="8" t="str">
        <f aca="false">IF($D$47="","",SUMIF(E49:E57,"Ligada",D49:D57))</f>
        <v/>
      </c>
    </row>
  </sheetData>
  <mergeCells count="30">
    <mergeCell ref="B1:L1"/>
    <mergeCell ref="B2:L2"/>
    <mergeCell ref="B4:C4"/>
    <mergeCell ref="D4:F4"/>
    <mergeCell ref="G4:L6"/>
    <mergeCell ref="B5:C5"/>
    <mergeCell ref="D5:F5"/>
    <mergeCell ref="B6:C6"/>
    <mergeCell ref="D6:F6"/>
    <mergeCell ref="B8:L8"/>
    <mergeCell ref="B37:L37"/>
    <mergeCell ref="B38:F38"/>
    <mergeCell ref="G38:H38"/>
    <mergeCell ref="B39:F39"/>
    <mergeCell ref="G39:H39"/>
    <mergeCell ref="B40:F40"/>
    <mergeCell ref="G40:H40"/>
    <mergeCell ref="B41:F41"/>
    <mergeCell ref="G41:H41"/>
    <mergeCell ref="B42:F42"/>
    <mergeCell ref="G42:H42"/>
    <mergeCell ref="B43:F43"/>
    <mergeCell ref="G43:H43"/>
    <mergeCell ref="B44:F44"/>
    <mergeCell ref="G44:L44"/>
    <mergeCell ref="B46:L46"/>
    <mergeCell ref="B47:C47"/>
    <mergeCell ref="E47:L47"/>
    <mergeCell ref="G49:L51"/>
    <mergeCell ref="B58:D58"/>
  </mergeCells>
  <conditionalFormatting sqref="K12:K3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"Falta dado"</formula>
    </cfRule>
    <cfRule type="cellIs" priority="4" operator="equal" aboveAverage="0" equalAverage="0" bottom="0" percent="0" rank="0" text="" dxfId="2">
      <formula>"Conflito"</formula>
    </cfRule>
    <cfRule type="cellIs" priority="5" operator="equal" aboveAverage="0" equalAverage="0" bottom="0" percent="0" rank="0" text="" dxfId="2">
      <formula>"Fora do universo"</formula>
    </cfRule>
  </conditionalFormatting>
  <conditionalFormatting sqref="G44:L44">
    <cfRule type="cellIs" priority="6" operator="equal" aboveAverage="0" equalAverage="0" bottom="0" percent="0" rank="0" text="" dxfId="0">
      <formula>"OK"</formula>
    </cfRule>
    <cfRule type="cellIs" priority="7" operator="notEqual" aboveAverage="0" equalAverage="0" bottom="0" percent="0" rank="0" text="" dxfId="1">
      <formula>"OK"</formula>
    </cfRule>
  </conditionalFormatting>
  <conditionalFormatting sqref="E49:E57">
    <cfRule type="cellIs" priority="8" operator="equal" aboveAverage="0" equalAverage="0" bottom="0" percent="0" rank="0" text="" dxfId="0">
      <formula>"Ligada"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2:E3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G12:H35" type="decimal">
      <formula1>-1000000000</formula1>
      <formula2>1000000000</formula2>
    </dataValidation>
    <dataValidation allowBlank="true" error="Digite um número inteiro de 1 a 511." errorStyle="stop" errorTitle="Endereço inválido" operator="between" showDropDown="false" showErrorMessage="true" showInputMessage="false" sqref="D47" type="whole">
      <formula1>1</formula1>
      <formula2>511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4" min="3" style="0" width="26"/>
    <col collapsed="false" customWidth="true" hidden="false" outlineLevel="0" max="5" min="5" style="0" width="58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210</v>
      </c>
      <c r="C1" s="1"/>
      <c r="D1" s="1"/>
      <c r="E1" s="1"/>
    </row>
    <row r="2" customFormat="false" ht="19.5" hidden="false" customHeight="true" outlineLevel="0" collapsed="false">
      <c r="B2" s="2" t="s">
        <v>211</v>
      </c>
      <c r="C2" s="2"/>
      <c r="D2" s="2"/>
      <c r="E2" s="2"/>
    </row>
    <row r="4" customFormat="false" ht="21.75" hidden="false" customHeight="true" outlineLevel="0" collapsed="false">
      <c r="B4" s="14" t="s">
        <v>212</v>
      </c>
      <c r="C4" s="14"/>
      <c r="D4" s="14"/>
      <c r="E4" s="14"/>
    </row>
    <row r="5" customFormat="false" ht="21.75" hidden="false" customHeight="true" outlineLevel="0" collapsed="false">
      <c r="B5" s="8" t="s">
        <v>213</v>
      </c>
      <c r="C5" s="8" t="s">
        <v>214</v>
      </c>
      <c r="D5" s="8" t="s">
        <v>215</v>
      </c>
      <c r="E5" s="8" t="s">
        <v>216</v>
      </c>
    </row>
    <row r="6" customFormat="false" ht="31.5" hidden="false" customHeight="true" outlineLevel="0" collapsed="false">
      <c r="B6" s="35" t="s">
        <v>217</v>
      </c>
      <c r="C6" s="36" t="s">
        <v>218</v>
      </c>
      <c r="D6" s="36" t="s">
        <v>219</v>
      </c>
      <c r="E6" s="7" t="s">
        <v>220</v>
      </c>
    </row>
    <row r="7" customFormat="false" ht="31.5" hidden="false" customHeight="true" outlineLevel="0" collapsed="false">
      <c r="B7" s="35" t="s">
        <v>221</v>
      </c>
      <c r="C7" s="36" t="s">
        <v>222</v>
      </c>
      <c r="D7" s="36" t="s">
        <v>223</v>
      </c>
      <c r="E7" s="7" t="s">
        <v>224</v>
      </c>
    </row>
    <row r="8" customFormat="false" ht="31.5" hidden="false" customHeight="true" outlineLevel="0" collapsed="false">
      <c r="B8" s="35" t="s">
        <v>225</v>
      </c>
      <c r="C8" s="36" t="s">
        <v>226</v>
      </c>
      <c r="D8" s="36" t="s">
        <v>227</v>
      </c>
      <c r="E8" s="7" t="s">
        <v>228</v>
      </c>
    </row>
    <row r="10" customFormat="false" ht="21.75" hidden="false" customHeight="true" outlineLevel="0" collapsed="false">
      <c r="B10" s="14" t="s">
        <v>229</v>
      </c>
      <c r="C10" s="14"/>
      <c r="D10" s="14"/>
      <c r="E10" s="14"/>
    </row>
    <row r="11" customFormat="false" ht="21.75" hidden="false" customHeight="true" outlineLevel="0" collapsed="false">
      <c r="B11" s="8" t="s">
        <v>230</v>
      </c>
      <c r="C11" s="8" t="s">
        <v>231</v>
      </c>
      <c r="D11" s="8" t="s">
        <v>232</v>
      </c>
      <c r="E11" s="8" t="s">
        <v>90</v>
      </c>
    </row>
    <row r="12" customFormat="false" ht="31.5" hidden="false" customHeight="true" outlineLevel="0" collapsed="false">
      <c r="B12" s="35" t="s">
        <v>233</v>
      </c>
      <c r="C12" s="36" t="s">
        <v>234</v>
      </c>
      <c r="D12" s="36" t="s">
        <v>235</v>
      </c>
      <c r="E12" s="7" t="s">
        <v>236</v>
      </c>
    </row>
    <row r="13" customFormat="false" ht="31.5" hidden="false" customHeight="true" outlineLevel="0" collapsed="false">
      <c r="B13" s="35" t="s">
        <v>237</v>
      </c>
      <c r="C13" s="36" t="s">
        <v>238</v>
      </c>
      <c r="D13" s="36" t="s">
        <v>235</v>
      </c>
      <c r="E13" s="7" t="s">
        <v>239</v>
      </c>
    </row>
    <row r="14" customFormat="false" ht="31.5" hidden="false" customHeight="true" outlineLevel="0" collapsed="false">
      <c r="B14" s="35" t="s">
        <v>240</v>
      </c>
      <c r="C14" s="36" t="s">
        <v>241</v>
      </c>
      <c r="D14" s="36" t="s">
        <v>242</v>
      </c>
      <c r="E14" s="7" t="s">
        <v>243</v>
      </c>
    </row>
    <row r="15" customFormat="false" ht="31.5" hidden="false" customHeight="true" outlineLevel="0" collapsed="false">
      <c r="B15" s="35" t="s">
        <v>244</v>
      </c>
      <c r="C15" s="36" t="s">
        <v>245</v>
      </c>
      <c r="D15" s="36" t="s">
        <v>246</v>
      </c>
      <c r="E15" s="7" t="s">
        <v>247</v>
      </c>
    </row>
    <row r="16" customFormat="false" ht="31.5" hidden="false" customHeight="true" outlineLevel="0" collapsed="false">
      <c r="B16" s="35" t="s">
        <v>248</v>
      </c>
      <c r="C16" s="36" t="s">
        <v>249</v>
      </c>
      <c r="D16" s="36" t="s">
        <v>250</v>
      </c>
      <c r="E16" s="7" t="s">
        <v>251</v>
      </c>
    </row>
    <row r="18" customFormat="false" ht="21.75" hidden="false" customHeight="true" outlineLevel="0" collapsed="false">
      <c r="B18" s="14" t="s">
        <v>252</v>
      </c>
      <c r="C18" s="14"/>
      <c r="D18" s="14"/>
      <c r="E18" s="14"/>
    </row>
    <row r="19" customFormat="false" ht="21.75" hidden="false" customHeight="true" outlineLevel="0" collapsed="false">
      <c r="B19" s="8" t="s">
        <v>85</v>
      </c>
      <c r="C19" s="8" t="s">
        <v>253</v>
      </c>
      <c r="D19" s="8" t="s">
        <v>254</v>
      </c>
      <c r="E19" s="8" t="s">
        <v>90</v>
      </c>
    </row>
    <row r="20" customFormat="false" ht="31.5" hidden="false" customHeight="true" outlineLevel="0" collapsed="false">
      <c r="B20" s="35" t="s">
        <v>255</v>
      </c>
      <c r="C20" s="36" t="s">
        <v>256</v>
      </c>
      <c r="D20" s="36" t="s">
        <v>102</v>
      </c>
      <c r="E20" s="7" t="s">
        <v>257</v>
      </c>
    </row>
    <row r="21" customFormat="false" ht="31.5" hidden="false" customHeight="true" outlineLevel="0" collapsed="false">
      <c r="B21" s="35" t="s">
        <v>258</v>
      </c>
      <c r="C21" s="36" t="s">
        <v>259</v>
      </c>
      <c r="D21" s="36" t="s">
        <v>260</v>
      </c>
      <c r="E21" s="7" t="s">
        <v>261</v>
      </c>
    </row>
    <row r="22" customFormat="false" ht="31.5" hidden="false" customHeight="true" outlineLevel="0" collapsed="false">
      <c r="B22" s="35" t="s">
        <v>262</v>
      </c>
      <c r="C22" s="36" t="s">
        <v>263</v>
      </c>
      <c r="D22" s="36" t="s">
        <v>264</v>
      </c>
      <c r="E22" s="7" t="s">
        <v>265</v>
      </c>
    </row>
    <row r="24" customFormat="false" ht="21.75" hidden="false" customHeight="true" outlineLevel="0" collapsed="false">
      <c r="B24" s="14" t="s">
        <v>266</v>
      </c>
      <c r="C24" s="14"/>
      <c r="D24" s="14"/>
      <c r="E24" s="14"/>
    </row>
    <row r="25" customFormat="false" ht="21.75" hidden="false" customHeight="true" outlineLevel="0" collapsed="false">
      <c r="B25" s="8" t="s">
        <v>116</v>
      </c>
      <c r="C25" s="8" t="s">
        <v>267</v>
      </c>
      <c r="D25" s="8" t="s">
        <v>268</v>
      </c>
      <c r="E25" s="8" t="s">
        <v>90</v>
      </c>
    </row>
    <row r="26" customFormat="false" ht="31.5" hidden="false" customHeight="true" outlineLevel="0" collapsed="false">
      <c r="B26" s="35" t="s">
        <v>269</v>
      </c>
      <c r="C26" s="36" t="s">
        <v>270</v>
      </c>
      <c r="D26" s="36" t="s">
        <v>271</v>
      </c>
      <c r="E26" s="7" t="s">
        <v>272</v>
      </c>
    </row>
    <row r="27" customFormat="false" ht="31.5" hidden="false" customHeight="true" outlineLevel="0" collapsed="false">
      <c r="B27" s="35" t="s">
        <v>273</v>
      </c>
      <c r="C27" s="36" t="s">
        <v>274</v>
      </c>
      <c r="D27" s="36" t="s">
        <v>275</v>
      </c>
      <c r="E27" s="7" t="s">
        <v>276</v>
      </c>
    </row>
    <row r="28" customFormat="false" ht="31.5" hidden="false" customHeight="true" outlineLevel="0" collapsed="false">
      <c r="B28" s="35" t="s">
        <v>277</v>
      </c>
      <c r="C28" s="36" t="s">
        <v>278</v>
      </c>
      <c r="D28" s="36" t="s">
        <v>279</v>
      </c>
      <c r="E28" s="7" t="s">
        <v>280</v>
      </c>
    </row>
    <row r="29" customFormat="false" ht="31.5" hidden="false" customHeight="true" outlineLevel="0" collapsed="false">
      <c r="B29" s="35" t="s">
        <v>281</v>
      </c>
      <c r="C29" s="36" t="s">
        <v>282</v>
      </c>
      <c r="D29" s="36" t="s">
        <v>283</v>
      </c>
      <c r="E29" s="7" t="s">
        <v>284</v>
      </c>
    </row>
    <row r="31" customFormat="false" ht="21.75" hidden="false" customHeight="true" outlineLevel="0" collapsed="false">
      <c r="B31" s="14" t="s">
        <v>50</v>
      </c>
      <c r="C31" s="14"/>
      <c r="D31" s="14"/>
      <c r="E31" s="14"/>
    </row>
    <row r="32" customFormat="false" ht="21.75" hidden="false" customHeight="true" outlineLevel="0" collapsed="false">
      <c r="B32" s="8" t="s">
        <v>285</v>
      </c>
      <c r="C32" s="8" t="s">
        <v>114</v>
      </c>
      <c r="D32" s="8" t="s">
        <v>232</v>
      </c>
      <c r="E32" s="8" t="s">
        <v>147</v>
      </c>
    </row>
    <row r="33" customFormat="false" ht="31.5" hidden="false" customHeight="true" outlineLevel="0" collapsed="false">
      <c r="B33" s="35" t="s">
        <v>286</v>
      </c>
      <c r="C33" s="36" t="s">
        <v>287</v>
      </c>
      <c r="D33" s="36" t="s">
        <v>288</v>
      </c>
      <c r="E33" s="7" t="s">
        <v>289</v>
      </c>
    </row>
    <row r="34" customFormat="false" ht="31.5" hidden="false" customHeight="true" outlineLevel="0" collapsed="false">
      <c r="B34" s="35" t="s">
        <v>290</v>
      </c>
      <c r="C34" s="36" t="s">
        <v>291</v>
      </c>
      <c r="D34" s="36" t="s">
        <v>292</v>
      </c>
      <c r="E34" s="7" t="s">
        <v>293</v>
      </c>
    </row>
    <row r="35" customFormat="false" ht="31.5" hidden="false" customHeight="true" outlineLevel="0" collapsed="false">
      <c r="B35" s="35" t="s">
        <v>294</v>
      </c>
      <c r="C35" s="36" t="s">
        <v>295</v>
      </c>
      <c r="D35" s="36" t="s">
        <v>296</v>
      </c>
      <c r="E35" s="7" t="s">
        <v>297</v>
      </c>
    </row>
    <row r="36" customFormat="false" ht="31.5" hidden="false" customHeight="true" outlineLevel="0" collapsed="false">
      <c r="B36" s="35" t="s">
        <v>298</v>
      </c>
      <c r="C36" s="36" t="s">
        <v>299</v>
      </c>
      <c r="D36" s="36" t="s">
        <v>300</v>
      </c>
      <c r="E36" s="7" t="s">
        <v>301</v>
      </c>
    </row>
    <row r="37" customFormat="false" ht="31.5" hidden="false" customHeight="true" outlineLevel="0" collapsed="false">
      <c r="B37" s="35" t="s">
        <v>302</v>
      </c>
      <c r="C37" s="36" t="s">
        <v>303</v>
      </c>
      <c r="D37" s="36" t="s">
        <v>304</v>
      </c>
      <c r="E37" s="7" t="s">
        <v>305</v>
      </c>
    </row>
    <row r="39" customFormat="false" ht="21.75" hidden="false" customHeight="true" outlineLevel="0" collapsed="false">
      <c r="B39" s="14" t="s">
        <v>306</v>
      </c>
      <c r="C39" s="14"/>
      <c r="D39" s="14"/>
      <c r="E39" s="14"/>
    </row>
    <row r="40" customFormat="false" ht="21.75" hidden="false" customHeight="true" outlineLevel="0" collapsed="false">
      <c r="B40" s="8" t="s">
        <v>44</v>
      </c>
      <c r="C40" s="8" t="s">
        <v>307</v>
      </c>
      <c r="D40" s="8" t="s">
        <v>308</v>
      </c>
      <c r="E40" s="8" t="s">
        <v>309</v>
      </c>
    </row>
    <row r="41" customFormat="false" ht="19.5" hidden="false" customHeight="true" outlineLevel="0" collapsed="false">
      <c r="B41" s="35" t="s">
        <v>310</v>
      </c>
      <c r="C41" s="36" t="s">
        <v>311</v>
      </c>
      <c r="D41" s="36" t="s">
        <v>312</v>
      </c>
      <c r="E41" s="7" t="s">
        <v>313</v>
      </c>
    </row>
    <row r="42" customFormat="false" ht="19.5" hidden="false" customHeight="true" outlineLevel="0" collapsed="false">
      <c r="B42" s="35" t="s">
        <v>314</v>
      </c>
      <c r="C42" s="36" t="s">
        <v>315</v>
      </c>
      <c r="D42" s="36" t="s">
        <v>316</v>
      </c>
      <c r="E42" s="7" t="s">
        <v>317</v>
      </c>
    </row>
    <row r="43" customFormat="false" ht="19.5" hidden="false" customHeight="true" outlineLevel="0" collapsed="false">
      <c r="B43" s="35" t="s">
        <v>318</v>
      </c>
      <c r="C43" s="36" t="s">
        <v>319</v>
      </c>
      <c r="D43" s="36" t="s">
        <v>320</v>
      </c>
      <c r="E43" s="7" t="s">
        <v>321</v>
      </c>
    </row>
    <row r="44" customFormat="false" ht="19.5" hidden="false" customHeight="true" outlineLevel="0" collapsed="false">
      <c r="B44" s="35" t="s">
        <v>322</v>
      </c>
      <c r="C44" s="36" t="s">
        <v>323</v>
      </c>
      <c r="D44" s="36" t="s">
        <v>324</v>
      </c>
      <c r="E44" s="7" t="s">
        <v>321</v>
      </c>
    </row>
    <row r="45" customFormat="false" ht="19.5" hidden="false" customHeight="true" outlineLevel="0" collapsed="false">
      <c r="B45" s="35" t="s">
        <v>325</v>
      </c>
      <c r="C45" s="36" t="s">
        <v>326</v>
      </c>
      <c r="D45" s="36" t="s">
        <v>327</v>
      </c>
      <c r="E45" s="7" t="s">
        <v>321</v>
      </c>
    </row>
    <row r="46" customFormat="false" ht="19.5" hidden="false" customHeight="true" outlineLevel="0" collapsed="false">
      <c r="B46" s="35" t="s">
        <v>328</v>
      </c>
      <c r="C46" s="36" t="s">
        <v>329</v>
      </c>
      <c r="D46" s="36" t="s">
        <v>330</v>
      </c>
      <c r="E46" s="7" t="s">
        <v>321</v>
      </c>
    </row>
    <row r="47" customFormat="false" ht="19.5" hidden="false" customHeight="true" outlineLevel="0" collapsed="false">
      <c r="B47" s="35" t="s">
        <v>331</v>
      </c>
      <c r="C47" s="36" t="s">
        <v>332</v>
      </c>
      <c r="D47" s="36" t="s">
        <v>333</v>
      </c>
      <c r="E47" s="7" t="s">
        <v>334</v>
      </c>
    </row>
    <row r="48" customFormat="false" ht="19.5" hidden="false" customHeight="true" outlineLevel="0" collapsed="false">
      <c r="B48" s="35" t="s">
        <v>335</v>
      </c>
      <c r="C48" s="36" t="s">
        <v>336</v>
      </c>
      <c r="D48" s="36" t="s">
        <v>337</v>
      </c>
      <c r="E48" s="7" t="s">
        <v>338</v>
      </c>
    </row>
    <row r="49" customFormat="false" ht="19.5" hidden="false" customHeight="true" outlineLevel="0" collapsed="false">
      <c r="B49" s="35" t="s">
        <v>339</v>
      </c>
      <c r="C49" s="36" t="s">
        <v>340</v>
      </c>
      <c r="D49" s="36" t="s">
        <v>341</v>
      </c>
      <c r="E49" s="7" t="s">
        <v>338</v>
      </c>
    </row>
    <row r="51" customFormat="false" ht="21.75" hidden="false" customHeight="true" outlineLevel="0" collapsed="false">
      <c r="B51" s="14" t="s">
        <v>342</v>
      </c>
      <c r="C51" s="14"/>
      <c r="D51" s="14"/>
      <c r="E51" s="14"/>
    </row>
    <row r="52" customFormat="false" ht="21.75" hidden="false" customHeight="true" outlineLevel="0" collapsed="false">
      <c r="B52" s="8" t="s">
        <v>343</v>
      </c>
      <c r="C52" s="8" t="s">
        <v>344</v>
      </c>
      <c r="D52" s="8" t="s">
        <v>345</v>
      </c>
      <c r="E52" s="8" t="s">
        <v>346</v>
      </c>
    </row>
    <row r="53" customFormat="false" ht="19.5" hidden="false" customHeight="true" outlineLevel="0" collapsed="false">
      <c r="B53" s="35" t="s">
        <v>347</v>
      </c>
      <c r="C53" s="36" t="s">
        <v>348</v>
      </c>
      <c r="D53" s="36" t="s">
        <v>349</v>
      </c>
      <c r="E53" s="7" t="s">
        <v>341</v>
      </c>
    </row>
    <row r="54" customFormat="false" ht="19.5" hidden="false" customHeight="true" outlineLevel="0" collapsed="false">
      <c r="B54" s="35" t="s">
        <v>350</v>
      </c>
      <c r="C54" s="36" t="s">
        <v>351</v>
      </c>
      <c r="D54" s="36" t="s">
        <v>352</v>
      </c>
      <c r="E54" s="7" t="s">
        <v>353</v>
      </c>
    </row>
    <row r="55" customFormat="false" ht="19.5" hidden="false" customHeight="true" outlineLevel="0" collapsed="false">
      <c r="B55" s="35" t="s">
        <v>354</v>
      </c>
      <c r="C55" s="36" t="s">
        <v>355</v>
      </c>
      <c r="D55" s="36" t="s">
        <v>356</v>
      </c>
      <c r="E55" s="7" t="s">
        <v>357</v>
      </c>
    </row>
    <row r="56" customFormat="false" ht="19.5" hidden="false" customHeight="true" outlineLevel="0" collapsed="false">
      <c r="B56" s="35" t="s">
        <v>358</v>
      </c>
      <c r="C56" s="36" t="s">
        <v>359</v>
      </c>
      <c r="D56" s="36" t="s">
        <v>360</v>
      </c>
      <c r="E56" s="7" t="s">
        <v>361</v>
      </c>
    </row>
    <row r="57" customFormat="false" ht="19.5" hidden="false" customHeight="true" outlineLevel="0" collapsed="false">
      <c r="B57" s="35" t="s">
        <v>362</v>
      </c>
      <c r="C57" s="36" t="s">
        <v>363</v>
      </c>
      <c r="D57" s="36" t="s">
        <v>364</v>
      </c>
      <c r="E57" s="7" t="s">
        <v>365</v>
      </c>
    </row>
    <row r="58" customFormat="false" ht="19.5" hidden="false" customHeight="true" outlineLevel="0" collapsed="false">
      <c r="B58" s="35" t="s">
        <v>328</v>
      </c>
      <c r="C58" s="36" t="s">
        <v>366</v>
      </c>
      <c r="D58" s="36" t="s">
        <v>367</v>
      </c>
      <c r="E58" s="7" t="s">
        <v>368</v>
      </c>
    </row>
    <row r="59" customFormat="false" ht="19.5" hidden="false" customHeight="true" outlineLevel="0" collapsed="false">
      <c r="B59" s="35" t="s">
        <v>331</v>
      </c>
      <c r="C59" s="36" t="s">
        <v>369</v>
      </c>
      <c r="D59" s="36" t="s">
        <v>370</v>
      </c>
      <c r="E59" s="7" t="s">
        <v>371</v>
      </c>
    </row>
    <row r="60" customFormat="false" ht="19.5" hidden="false" customHeight="true" outlineLevel="0" collapsed="false">
      <c r="B60" s="35" t="s">
        <v>339</v>
      </c>
      <c r="C60" s="36" t="s">
        <v>372</v>
      </c>
      <c r="D60" s="36" t="s">
        <v>373</v>
      </c>
      <c r="E60" s="7" t="s">
        <v>374</v>
      </c>
    </row>
    <row r="62" customFormat="false" ht="21.75" hidden="false" customHeight="true" outlineLevel="0" collapsed="false">
      <c r="B62" s="14" t="s">
        <v>375</v>
      </c>
      <c r="C62" s="14"/>
      <c r="D62" s="14"/>
      <c r="E62" s="14"/>
    </row>
    <row r="63" customFormat="false" ht="21.75" hidden="false" customHeight="true" outlineLevel="0" collapsed="false">
      <c r="B63" s="8" t="s">
        <v>163</v>
      </c>
      <c r="C63" s="8" t="s">
        <v>376</v>
      </c>
      <c r="D63" s="8" t="s">
        <v>377</v>
      </c>
      <c r="E63" s="8" t="s">
        <v>90</v>
      </c>
    </row>
    <row r="64" customFormat="false" ht="19.5" hidden="false" customHeight="true" outlineLevel="0" collapsed="false">
      <c r="B64" s="35" t="s">
        <v>378</v>
      </c>
      <c r="C64" s="36" t="s">
        <v>379</v>
      </c>
      <c r="D64" s="36" t="s">
        <v>380</v>
      </c>
      <c r="E64" s="7" t="s">
        <v>381</v>
      </c>
    </row>
    <row r="65" customFormat="false" ht="19.5" hidden="false" customHeight="true" outlineLevel="0" collapsed="false">
      <c r="B65" s="35" t="s">
        <v>382</v>
      </c>
      <c r="C65" s="36" t="s">
        <v>383</v>
      </c>
      <c r="D65" s="36" t="s">
        <v>384</v>
      </c>
      <c r="E65" s="7" t="s">
        <v>385</v>
      </c>
    </row>
    <row r="66" customFormat="false" ht="19.5" hidden="false" customHeight="true" outlineLevel="0" collapsed="false">
      <c r="B66" s="35" t="s">
        <v>386</v>
      </c>
      <c r="C66" s="36" t="s">
        <v>387</v>
      </c>
      <c r="D66" s="36" t="s">
        <v>388</v>
      </c>
      <c r="E66" s="7" t="s">
        <v>389</v>
      </c>
    </row>
    <row r="67" customFormat="false" ht="19.5" hidden="false" customHeight="true" outlineLevel="0" collapsed="false">
      <c r="B67" s="35" t="s">
        <v>390</v>
      </c>
      <c r="C67" s="36" t="s">
        <v>391</v>
      </c>
      <c r="D67" s="36" t="s">
        <v>392</v>
      </c>
      <c r="E67" s="7" t="s">
        <v>393</v>
      </c>
    </row>
    <row r="69" customFormat="false" ht="21.75" hidden="false" customHeight="true" outlineLevel="0" collapsed="false">
      <c r="B69" s="14" t="s">
        <v>394</v>
      </c>
      <c r="C69" s="14"/>
      <c r="D69" s="14"/>
      <c r="E69" s="14"/>
    </row>
    <row r="70" customFormat="false" ht="21.75" hidden="false" customHeight="true" outlineLevel="0" collapsed="false">
      <c r="B70" s="8" t="s">
        <v>144</v>
      </c>
      <c r="C70" s="8" t="s">
        <v>376</v>
      </c>
      <c r="D70" s="8" t="s">
        <v>377</v>
      </c>
      <c r="E70" s="8" t="s">
        <v>90</v>
      </c>
    </row>
    <row r="71" customFormat="false" ht="19.5" hidden="false" customHeight="true" outlineLevel="0" collapsed="false">
      <c r="B71" s="35" t="s">
        <v>395</v>
      </c>
      <c r="C71" s="36" t="s">
        <v>396</v>
      </c>
      <c r="D71" s="36" t="s">
        <v>397</v>
      </c>
      <c r="E71" s="7" t="s">
        <v>398</v>
      </c>
    </row>
    <row r="72" customFormat="false" ht="19.5" hidden="false" customHeight="true" outlineLevel="0" collapsed="false">
      <c r="B72" s="35" t="s">
        <v>399</v>
      </c>
      <c r="C72" s="36" t="s">
        <v>400</v>
      </c>
      <c r="D72" s="36" t="s">
        <v>401</v>
      </c>
      <c r="E72" s="7" t="s">
        <v>402</v>
      </c>
    </row>
    <row r="73" customFormat="false" ht="19.5" hidden="false" customHeight="true" outlineLevel="0" collapsed="false">
      <c r="B73" s="35" t="s">
        <v>403</v>
      </c>
      <c r="C73" s="36" t="s">
        <v>404</v>
      </c>
      <c r="D73" s="36" t="s">
        <v>405</v>
      </c>
      <c r="E73" s="7" t="s">
        <v>406</v>
      </c>
    </row>
    <row r="74" customFormat="false" ht="19.5" hidden="false" customHeight="true" outlineLevel="0" collapsed="false">
      <c r="B74" s="35" t="s">
        <v>407</v>
      </c>
      <c r="C74" s="36" t="s">
        <v>408</v>
      </c>
      <c r="D74" s="36" t="s">
        <v>409</v>
      </c>
      <c r="E74" s="7" t="s">
        <v>410</v>
      </c>
    </row>
    <row r="76" customFormat="false" ht="21.75" hidden="false" customHeight="true" outlineLevel="0" collapsed="false">
      <c r="B76" s="14" t="s">
        <v>411</v>
      </c>
      <c r="C76" s="14"/>
      <c r="D76" s="14"/>
      <c r="E76" s="14"/>
    </row>
    <row r="77" customFormat="false" ht="21.75" hidden="false" customHeight="true" outlineLevel="0" collapsed="false">
      <c r="B77" s="8" t="s">
        <v>412</v>
      </c>
      <c r="C77" s="8" t="s">
        <v>413</v>
      </c>
      <c r="D77" s="8" t="s">
        <v>414</v>
      </c>
      <c r="E77" s="8" t="s">
        <v>90</v>
      </c>
    </row>
    <row r="78" customFormat="false" ht="31.5" hidden="false" customHeight="true" outlineLevel="0" collapsed="false">
      <c r="B78" s="35" t="s">
        <v>182</v>
      </c>
      <c r="C78" s="36" t="s">
        <v>415</v>
      </c>
      <c r="D78" s="36" t="s">
        <v>416</v>
      </c>
      <c r="E78" s="7" t="s">
        <v>417</v>
      </c>
    </row>
    <row r="79" customFormat="false" ht="31.5" hidden="false" customHeight="true" outlineLevel="0" collapsed="false">
      <c r="B79" s="35" t="s">
        <v>418</v>
      </c>
      <c r="C79" s="36" t="s">
        <v>419</v>
      </c>
      <c r="D79" s="36" t="s">
        <v>420</v>
      </c>
      <c r="E79" s="7" t="s">
        <v>421</v>
      </c>
    </row>
    <row r="80" customFormat="false" ht="31.5" hidden="false" customHeight="true" outlineLevel="0" collapsed="false">
      <c r="B80" s="35" t="s">
        <v>422</v>
      </c>
      <c r="C80" s="36" t="s">
        <v>423</v>
      </c>
      <c r="D80" s="36" t="s">
        <v>424</v>
      </c>
      <c r="E80" s="7" t="s">
        <v>425</v>
      </c>
    </row>
    <row r="81" customFormat="false" ht="31.5" hidden="false" customHeight="true" outlineLevel="0" collapsed="false">
      <c r="B81" s="35" t="s">
        <v>426</v>
      </c>
      <c r="C81" s="36" t="s">
        <v>427</v>
      </c>
      <c r="D81" s="36" t="s">
        <v>428</v>
      </c>
      <c r="E81" s="7" t="s">
        <v>429</v>
      </c>
    </row>
    <row r="82" customFormat="false" ht="31.5" hidden="false" customHeight="true" outlineLevel="0" collapsed="false">
      <c r="B82" s="35" t="s">
        <v>430</v>
      </c>
      <c r="C82" s="36" t="s">
        <v>431</v>
      </c>
      <c r="D82" s="36" t="s">
        <v>432</v>
      </c>
      <c r="E82" s="7" t="s">
        <v>433</v>
      </c>
    </row>
    <row r="83" customFormat="false" ht="31.5" hidden="false" customHeight="true" outlineLevel="0" collapsed="false">
      <c r="B83" s="35" t="s">
        <v>434</v>
      </c>
      <c r="C83" s="36" t="s">
        <v>435</v>
      </c>
      <c r="D83" s="36" t="s">
        <v>436</v>
      </c>
      <c r="E83" s="7" t="s">
        <v>437</v>
      </c>
    </row>
    <row r="84" customFormat="false" ht="15" hidden="false" customHeight="true" outlineLevel="0" collapsed="false">
      <c r="B84" s="10" t="s">
        <v>438</v>
      </c>
      <c r="C84" s="10"/>
      <c r="D84" s="10"/>
      <c r="E84" s="10"/>
    </row>
  </sheetData>
  <mergeCells count="13">
    <mergeCell ref="B1:E1"/>
    <mergeCell ref="B2:E2"/>
    <mergeCell ref="B4:E4"/>
    <mergeCell ref="B10:E10"/>
    <mergeCell ref="B18:E18"/>
    <mergeCell ref="B24:E24"/>
    <mergeCell ref="B31:E31"/>
    <mergeCell ref="B39:E39"/>
    <mergeCell ref="B51:E51"/>
    <mergeCell ref="B62:E62"/>
    <mergeCell ref="B69:E69"/>
    <mergeCell ref="B76:E76"/>
    <mergeCell ref="B84:E8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439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440</v>
      </c>
      <c r="C2" s="2"/>
      <c r="D2" s="2"/>
      <c r="E2" s="2"/>
      <c r="F2" s="2"/>
    </row>
    <row r="4" customFormat="false" ht="21.75" hidden="false" customHeight="true" outlineLevel="0" collapsed="false">
      <c r="B4" s="15" t="s">
        <v>140</v>
      </c>
      <c r="C4" s="15" t="s">
        <v>441</v>
      </c>
      <c r="D4" s="15" t="s">
        <v>442</v>
      </c>
      <c r="E4" s="15" t="s">
        <v>116</v>
      </c>
      <c r="F4" s="15" t="s">
        <v>90</v>
      </c>
    </row>
    <row r="5" customFormat="false" ht="31.5" hidden="false" customHeight="true" outlineLevel="0" collapsed="false">
      <c r="B5" s="19" t="n">
        <v>1</v>
      </c>
      <c r="C5" s="6" t="s">
        <v>443</v>
      </c>
      <c r="D5" s="7" t="s">
        <v>444</v>
      </c>
      <c r="E5" s="20"/>
      <c r="F5" s="5"/>
    </row>
    <row r="6" customFormat="false" ht="31.5" hidden="false" customHeight="true" outlineLevel="0" collapsed="false">
      <c r="B6" s="19" t="n">
        <v>2</v>
      </c>
      <c r="C6" s="6" t="s">
        <v>44</v>
      </c>
      <c r="D6" s="7" t="s">
        <v>445</v>
      </c>
      <c r="E6" s="20"/>
      <c r="F6" s="5"/>
    </row>
    <row r="7" customFormat="false" ht="31.5" hidden="false" customHeight="true" outlineLevel="0" collapsed="false">
      <c r="B7" s="19" t="n">
        <v>3</v>
      </c>
      <c r="C7" s="6" t="s">
        <v>84</v>
      </c>
      <c r="D7" s="7" t="s">
        <v>446</v>
      </c>
      <c r="E7" s="20"/>
      <c r="F7" s="5"/>
    </row>
    <row r="8" customFormat="false" ht="19.5" hidden="false" customHeight="true" outlineLevel="0" collapsed="false">
      <c r="B8" s="19" t="n">
        <v>4</v>
      </c>
      <c r="C8" s="6" t="s">
        <v>84</v>
      </c>
      <c r="D8" s="7" t="s">
        <v>447</v>
      </c>
      <c r="E8" s="20"/>
      <c r="F8" s="5"/>
    </row>
    <row r="9" customFormat="false" ht="31.5" hidden="false" customHeight="true" outlineLevel="0" collapsed="false">
      <c r="B9" s="19" t="n">
        <v>5</v>
      </c>
      <c r="C9" s="6" t="s">
        <v>83</v>
      </c>
      <c r="D9" s="7" t="s">
        <v>448</v>
      </c>
      <c r="E9" s="20"/>
      <c r="F9" s="5"/>
    </row>
    <row r="10" customFormat="false" ht="31.5" hidden="false" customHeight="true" outlineLevel="0" collapsed="false">
      <c r="B10" s="19" t="n">
        <v>6</v>
      </c>
      <c r="C10" s="6" t="s">
        <v>449</v>
      </c>
      <c r="D10" s="7" t="s">
        <v>450</v>
      </c>
      <c r="E10" s="20"/>
      <c r="F10" s="5"/>
    </row>
    <row r="11" customFormat="false" ht="31.5" hidden="false" customHeight="true" outlineLevel="0" collapsed="false">
      <c r="B11" s="19" t="n">
        <v>7</v>
      </c>
      <c r="C11" s="6" t="s">
        <v>449</v>
      </c>
      <c r="D11" s="7" t="s">
        <v>451</v>
      </c>
      <c r="E11" s="20"/>
      <c r="F11" s="5"/>
    </row>
    <row r="12" customFormat="false" ht="31.5" hidden="false" customHeight="true" outlineLevel="0" collapsed="false">
      <c r="B12" s="19" t="n">
        <v>8</v>
      </c>
      <c r="C12" s="6" t="s">
        <v>452</v>
      </c>
      <c r="D12" s="7" t="s">
        <v>453</v>
      </c>
      <c r="E12" s="20"/>
      <c r="F12" s="5"/>
    </row>
    <row r="13" customFormat="false" ht="31.5" hidden="false" customHeight="true" outlineLevel="0" collapsed="false">
      <c r="B13" s="19" t="n">
        <v>9</v>
      </c>
      <c r="C13" s="6" t="s">
        <v>268</v>
      </c>
      <c r="D13" s="7" t="s">
        <v>454</v>
      </c>
      <c r="E13" s="20"/>
      <c r="F13" s="5"/>
    </row>
    <row r="14" customFormat="false" ht="31.5" hidden="false" customHeight="true" outlineLevel="0" collapsed="false">
      <c r="B14" s="19" t="n">
        <v>10</v>
      </c>
      <c r="C14" s="6" t="s">
        <v>455</v>
      </c>
      <c r="D14" s="7" t="s">
        <v>456</v>
      </c>
      <c r="E14" s="20"/>
      <c r="F14" s="5"/>
    </row>
    <row r="15" customFormat="false" ht="31.5" hidden="false" customHeight="true" outlineLevel="0" collapsed="false">
      <c r="B15" s="19" t="n">
        <v>11</v>
      </c>
      <c r="C15" s="6" t="s">
        <v>35</v>
      </c>
      <c r="D15" s="7" t="s">
        <v>457</v>
      </c>
      <c r="E15" s="20"/>
      <c r="F15" s="5"/>
    </row>
    <row r="16" customFormat="false" ht="31.5" hidden="false" customHeight="true" outlineLevel="0" collapsed="false">
      <c r="B16" s="19" t="n">
        <v>12</v>
      </c>
      <c r="C16" s="6" t="s">
        <v>458</v>
      </c>
      <c r="D16" s="7" t="s">
        <v>459</v>
      </c>
      <c r="E16" s="20"/>
      <c r="F16" s="5"/>
    </row>
    <row r="18" customFormat="false" ht="19.5" hidden="false" customHeight="true" outlineLevel="0" collapsed="false">
      <c r="B18" s="27" t="s">
        <v>460</v>
      </c>
      <c r="C18" s="27"/>
      <c r="D18" s="27"/>
      <c r="E18" s="8" t="n">
        <f aca="false">COUNTA(E5:E16)</f>
        <v>0</v>
      </c>
    </row>
    <row r="19" customFormat="false" ht="19.5" hidden="false" customHeight="true" outlineLevel="0" collapsed="false">
      <c r="B19" s="27" t="s">
        <v>461</v>
      </c>
      <c r="C19" s="27"/>
      <c r="D19" s="27"/>
      <c r="E19" s="31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7" t="s">
        <v>116</v>
      </c>
      <c r="C20" s="27"/>
      <c r="D20" s="27"/>
      <c r="E20" s="28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U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10" min="9" style="0" width="11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5" min="14" style="0" width="9"/>
    <col collapsed="false" customWidth="true" hidden="false" outlineLevel="0" max="16" min="16" style="0" width="13"/>
    <col collapsed="false" customWidth="true" hidden="false" outlineLevel="0" max="17" min="17" style="0" width="42"/>
    <col collapsed="false" customWidth="true" hidden="false" outlineLevel="0" max="18" min="18" style="0" width="24"/>
    <col collapsed="false" customWidth="true" hidden="false" outlineLevel="0" max="19" min="19" style="0" width="2"/>
    <col collapsed="false" customWidth="true" hidden="true" outlineLevel="0" max="21" min="21" style="0" width="13"/>
  </cols>
  <sheetData>
    <row r="1" customFormat="false" ht="31.5" hidden="false" customHeight="true" outlineLevel="0" collapsed="false">
      <c r="B1" s="1" t="s">
        <v>57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462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B4" s="4" t="s">
        <v>59</v>
      </c>
      <c r="C4" s="4"/>
      <c r="D4" s="37" t="s">
        <v>463</v>
      </c>
      <c r="E4" s="37"/>
      <c r="F4" s="37"/>
      <c r="G4" s="37"/>
      <c r="H4" s="4" t="s">
        <v>60</v>
      </c>
      <c r="I4" s="4"/>
      <c r="J4" s="4"/>
      <c r="K4" s="38" t="n">
        <v>5600</v>
      </c>
      <c r="L4" s="10" t="s">
        <v>61</v>
      </c>
      <c r="M4" s="10"/>
      <c r="N4" s="10"/>
      <c r="O4" s="10"/>
      <c r="P4" s="10"/>
      <c r="Q4" s="10"/>
      <c r="R4" s="10"/>
      <c r="U4" s="11" t="s">
        <v>62</v>
      </c>
    </row>
    <row r="5" customFormat="false" ht="21.75" hidden="false" customHeight="true" outlineLevel="0" collapsed="false">
      <c r="B5" s="4" t="s">
        <v>63</v>
      </c>
      <c r="C5" s="4"/>
      <c r="D5" s="37" t="s">
        <v>464</v>
      </c>
      <c r="E5" s="37"/>
      <c r="F5" s="37"/>
      <c r="G5" s="37"/>
      <c r="H5" s="4" t="s">
        <v>64</v>
      </c>
      <c r="I5" s="4"/>
      <c r="J5" s="4"/>
      <c r="K5" s="38" t="n">
        <v>300</v>
      </c>
      <c r="L5" s="10" t="s">
        <v>65</v>
      </c>
      <c r="M5" s="10"/>
      <c r="N5" s="10"/>
      <c r="O5" s="10"/>
      <c r="P5" s="10"/>
      <c r="Q5" s="10"/>
      <c r="R5" s="10"/>
      <c r="U5" s="11" t="n">
        <v>0.008727</v>
      </c>
    </row>
    <row r="6" customFormat="false" ht="21.75" hidden="false" customHeight="true" outlineLevel="0" collapsed="false">
      <c r="B6" s="4" t="s">
        <v>66</v>
      </c>
      <c r="C6" s="4"/>
      <c r="D6" s="39" t="n">
        <v>46299</v>
      </c>
      <c r="E6" s="39"/>
      <c r="F6" s="39"/>
      <c r="G6" s="39"/>
      <c r="H6" s="4" t="s">
        <v>67</v>
      </c>
      <c r="I6" s="4"/>
      <c r="J6" s="4"/>
      <c r="K6" s="38" t="n">
        <v>90</v>
      </c>
      <c r="L6" s="10" t="s">
        <v>68</v>
      </c>
      <c r="M6" s="10"/>
      <c r="N6" s="10"/>
      <c r="O6" s="10"/>
      <c r="P6" s="10"/>
      <c r="Q6" s="10"/>
      <c r="R6" s="10"/>
      <c r="U6" s="11" t="n">
        <v>0.026186</v>
      </c>
    </row>
    <row r="7" customFormat="false" ht="21.75" hidden="false" customHeight="true" outlineLevel="0" collapsed="false">
      <c r="B7" s="4" t="s">
        <v>69</v>
      </c>
      <c r="C7" s="4"/>
      <c r="D7" s="37" t="s">
        <v>465</v>
      </c>
      <c r="E7" s="37"/>
      <c r="F7" s="37"/>
      <c r="G7" s="37"/>
      <c r="H7" s="4" t="s">
        <v>70</v>
      </c>
      <c r="I7" s="4"/>
      <c r="J7" s="4"/>
      <c r="K7" s="38" t="n">
        <v>500</v>
      </c>
      <c r="L7" s="10" t="s">
        <v>71</v>
      </c>
      <c r="M7" s="10"/>
      <c r="N7" s="10"/>
      <c r="O7" s="10"/>
      <c r="P7" s="10"/>
      <c r="Q7" s="10"/>
      <c r="R7" s="10"/>
      <c r="U7" s="11" t="n">
        <v>0.043661</v>
      </c>
    </row>
    <row r="8" customFormat="false" ht="21.75" hidden="false" customHeight="true" outlineLevel="0" collapsed="false">
      <c r="B8" s="4" t="s">
        <v>72</v>
      </c>
      <c r="C8" s="4"/>
      <c r="D8" s="37" t="s">
        <v>466</v>
      </c>
      <c r="E8" s="37"/>
      <c r="F8" s="37"/>
      <c r="G8" s="37"/>
      <c r="H8" s="4" t="s">
        <v>73</v>
      </c>
      <c r="I8" s="4"/>
      <c r="J8" s="4"/>
      <c r="K8" s="40" t="n">
        <v>3</v>
      </c>
      <c r="L8" s="10" t="s">
        <v>74</v>
      </c>
      <c r="M8" s="10"/>
      <c r="N8" s="10"/>
      <c r="O8" s="10"/>
      <c r="P8" s="10"/>
      <c r="Q8" s="10"/>
      <c r="R8" s="10"/>
      <c r="U8" s="11" t="n">
        <v>0.061163</v>
      </c>
    </row>
    <row r="9" customFormat="false" ht="15" hidden="false" customHeight="false" outlineLevel="0" collapsed="false">
      <c r="U9" s="11" t="n">
        <v>0.078702</v>
      </c>
    </row>
    <row r="10" customFormat="false" ht="21.75" hidden="false" customHeight="true" outlineLevel="0" collapsed="false">
      <c r="B10" s="14" t="s">
        <v>75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U10" s="11" t="n">
        <v>0.096289</v>
      </c>
    </row>
    <row r="11" customFormat="false" ht="30" hidden="false" customHeight="true" outlineLevel="0" collapsed="false">
      <c r="B11" s="15" t="s">
        <v>76</v>
      </c>
      <c r="C11" s="15" t="s">
        <v>77</v>
      </c>
      <c r="D11" s="15" t="s">
        <v>78</v>
      </c>
      <c r="E11" s="15" t="s">
        <v>79</v>
      </c>
      <c r="F11" s="15" t="s">
        <v>80</v>
      </c>
      <c r="G11" s="16" t="s">
        <v>81</v>
      </c>
      <c r="H11" s="16" t="s">
        <v>82</v>
      </c>
      <c r="I11" s="16" t="s">
        <v>83</v>
      </c>
      <c r="J11" s="16" t="s">
        <v>84</v>
      </c>
      <c r="K11" s="16" t="s">
        <v>85</v>
      </c>
      <c r="L11" s="17" t="s">
        <v>44</v>
      </c>
      <c r="M11" s="17" t="s">
        <v>86</v>
      </c>
      <c r="N11" s="17" t="s">
        <v>87</v>
      </c>
      <c r="O11" s="17" t="s">
        <v>88</v>
      </c>
      <c r="P11" s="17" t="s">
        <v>48</v>
      </c>
      <c r="Q11" s="17" t="s">
        <v>89</v>
      </c>
      <c r="R11" s="15" t="s">
        <v>90</v>
      </c>
      <c r="U11" s="11" t="n">
        <v>0.113936</v>
      </c>
    </row>
    <row r="12" customFormat="false" ht="27" hidden="false" customHeight="true" outlineLevel="0" collapsed="false">
      <c r="B12" s="18"/>
      <c r="C12" s="18" t="s">
        <v>91</v>
      </c>
      <c r="D12" s="18" t="s">
        <v>92</v>
      </c>
      <c r="E12" s="18" t="s">
        <v>93</v>
      </c>
      <c r="F12" s="18" t="s">
        <v>94</v>
      </c>
      <c r="G12" s="18" t="s">
        <v>95</v>
      </c>
      <c r="H12" s="18" t="s">
        <v>96</v>
      </c>
      <c r="I12" s="18" t="s">
        <v>97</v>
      </c>
      <c r="J12" s="18" t="s">
        <v>98</v>
      </c>
      <c r="K12" s="18" t="s">
        <v>99</v>
      </c>
      <c r="L12" s="18" t="s">
        <v>100</v>
      </c>
      <c r="M12" s="18"/>
      <c r="N12" s="18" t="s">
        <v>101</v>
      </c>
      <c r="O12" s="18" t="s">
        <v>101</v>
      </c>
      <c r="P12" s="18" t="s">
        <v>102</v>
      </c>
      <c r="Q12" s="18"/>
      <c r="R12" s="18"/>
      <c r="U12" s="11" t="n">
        <v>0.131652</v>
      </c>
    </row>
    <row r="13" customFormat="false" ht="24" hidden="false" customHeight="true" outlineLevel="0" collapsed="false">
      <c r="B13" s="10" t="s">
        <v>467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U13" s="11" t="n">
        <v>0.149451</v>
      </c>
    </row>
    <row r="14" customFormat="false" ht="27" hidden="false" customHeight="true" outlineLevel="0" collapsed="false">
      <c r="B14" s="19" t="n">
        <v>1</v>
      </c>
      <c r="C14" s="37" t="s">
        <v>468</v>
      </c>
      <c r="D14" s="37" t="s">
        <v>469</v>
      </c>
      <c r="E14" s="37" t="s">
        <v>106</v>
      </c>
      <c r="F14" s="41" t="s">
        <v>107</v>
      </c>
      <c r="G14" s="40" t="n">
        <v>1.5</v>
      </c>
      <c r="H14" s="40" t="n">
        <v>3.2</v>
      </c>
      <c r="I14" s="38" t="n">
        <v>100</v>
      </c>
      <c r="J14" s="38" t="n">
        <v>6500</v>
      </c>
      <c r="K14" s="38" t="n">
        <v>72</v>
      </c>
      <c r="L14" s="21" t="n">
        <f aca="false">IF(OR(G14="",H14=""),"",IF(G14&lt;=0,90,IFERROR(MATCH(H14/G14,$U$5:$U$93,1),0)))</f>
        <v>65</v>
      </c>
      <c r="M14" s="22" t="str">
        <f aca="false">IF(OR(F14="",L14=""),"",IF(F14="Principal",IF(L14&lt;25,"Baixa",IF(L14&lt;30,"Atenção",IF(L14&lt;=45,"OK",IF(L14&lt;=50,"Atenção","Íngreme")))),IF(F14="Preenchimento",IF(L14&lt;20,"Baixa",IF(L14&lt;25,"Atenção",IF(L14&lt;=45,"OK",IF(L14&lt;=50,"Atenção","Íngreme")))),IF(F14="Contraluz",IF(L14&lt;40,"Baixa",IF(L14&lt;45,"Atenção",IF(L14&lt;=60,"OK",IF(L14&lt;=70,"Atenção","Íngreme")))),"–"))))</f>
        <v>Íngreme</v>
      </c>
      <c r="N14" s="23" t="n">
        <f aca="false">IF(H14="","",IF(OR(F14="Principal",F14="Preenchimento",F14="Contraluz"),ROUND(H14*IF(F14="Contraluz",0.577,1),1),""))</f>
        <v>3.2</v>
      </c>
      <c r="O14" s="23" t="n">
        <f aca="false">IF(H14="","",IF(OR(F14="Principal",F14="Preenchimento",F14="Contraluz"),ROUND(H14*IF(F14="Principal",1.732,IF(F14="Preenchimento",2.145,1)),1),""))</f>
        <v>5.5</v>
      </c>
      <c r="P14" s="22" t="str">
        <f aca="false">IF(F14="","",IF(OR(F14="Principal",F14="Preenchimento"),IF(AND(J14="",K14=""),"",IF(IF(J14="",FALSE(),ABS(J14-$K$4)&gt;$K$5),IF(IF(K14="",FALSE(),K14&lt;$K$6),"Cor e IRC","Cor diferente"),IF(IF(K14="",FALSE(),K14&lt;$K$6),"IRC baixo","OK"))),"–"))</f>
        <v>Cor e IRC</v>
      </c>
      <c r="Q14" s="24" t="str">
        <f aca="false">IF(AND(M14="",P14=""),"",IF(AND(OR(M14="–",M14=""),OR(P14="–",P14="")),"Não avaliado: não é luz de rosto",IF(IF(M14="Íngreme","Íngreme: afaste o refletor do alvo ou baixe-o",IF(M14="Baixa",IF(F14="Contraluz","Baixa: suba a contraluz, para não entrar na lente","Baixa: suba o refletor ou aproxime-o do alvo"),IF(M14="Atenção","No limite da faixa: confira na câmera","")))&amp;IF(P14="Cor diferente","Iguale a cor à referência",IF(P14="IRC baixo","IRC baixo para rosto: use em contraluz ou fundo",IF(P14="Cor e IRC","Cor e IRC fora: passe para contraluz ou fundo","")))="","Manter",IF(M14="Íngreme","Íngreme: afaste o refletor do alvo ou baixe-o",IF(M14="Baixa",IF(F14="Contraluz","Baixa: suba a contraluz, para não entrar na lente","Baixa: suba o refletor ou aproxime-o do alvo"),IF(M14="Atenção","No limite da faixa: confira na câmera","")))&amp;IF(AND(IF(M14="Íngreme","Íngreme: afaste o refletor do alvo ou baixe-o",IF(M14="Baixa",IF(F14="Contraluz","Baixa: suba a contraluz, para não entrar na lente","Baixa: suba o refletor ou aproxime-o do alvo"),IF(M14="Atenção","No limite da faixa: confira na câmera","")))&lt;&gt;"",IF(P14="Cor diferente","Iguale a cor à referência",IF(P14="IRC baixo","IRC baixo para rosto: use em contraluz ou fundo",IF(P14="Cor e IRC","Cor e IRC fora: passe para contraluz ou fundo","")))&lt;&gt;""),". ","")&amp;IF(P14="Cor diferente","Iguale a cor à referência",IF(P14="IRC baixo","IRC baixo para rosto: use em contraluz ou fundo",IF(P14="Cor e IRC","Cor e IRC fora: passe para contraluz ou fundo",""))))))</f>
        <v>Íngreme: afaste o refletor do alvo ou baixe-o. Cor e IRC fora: passe para contraluz ou fundo</v>
      </c>
      <c r="R14" s="37"/>
      <c r="U14" s="11" t="n">
        <v>0.167343</v>
      </c>
    </row>
    <row r="15" customFormat="false" ht="27" hidden="false" customHeight="true" outlineLevel="0" collapsed="false">
      <c r="B15" s="19" t="n">
        <v>2</v>
      </c>
      <c r="C15" s="37" t="s">
        <v>470</v>
      </c>
      <c r="D15" s="37" t="s">
        <v>469</v>
      </c>
      <c r="E15" s="37" t="s">
        <v>106</v>
      </c>
      <c r="F15" s="41" t="s">
        <v>107</v>
      </c>
      <c r="G15" s="40" t="n">
        <v>1.5</v>
      </c>
      <c r="H15" s="40" t="n">
        <v>3.2</v>
      </c>
      <c r="I15" s="38" t="n">
        <v>100</v>
      </c>
      <c r="J15" s="38" t="n">
        <v>6500</v>
      </c>
      <c r="K15" s="38" t="n">
        <v>72</v>
      </c>
      <c r="L15" s="21" t="n">
        <f aca="false">IF(OR(G15="",H15=""),"",IF(G15&lt;=0,90,IFERROR(MATCH(H15/G15,$U$5:$U$93,1),0)))</f>
        <v>65</v>
      </c>
      <c r="M15" s="22" t="str">
        <f aca="false">IF(OR(F15="",L15=""),"",IF(F15="Principal",IF(L15&lt;25,"Baixa",IF(L15&lt;30,"Atenção",IF(L15&lt;=45,"OK",IF(L15&lt;=50,"Atenção","Íngreme")))),IF(F15="Preenchimento",IF(L15&lt;20,"Baixa",IF(L15&lt;25,"Atenção",IF(L15&lt;=45,"OK",IF(L15&lt;=50,"Atenção","Íngreme")))),IF(F15="Contraluz",IF(L15&lt;40,"Baixa",IF(L15&lt;45,"Atenção",IF(L15&lt;=60,"OK",IF(L15&lt;=70,"Atenção","Íngreme")))),"–"))))</f>
        <v>Íngreme</v>
      </c>
      <c r="N15" s="23" t="n">
        <f aca="false">IF(H15="","",IF(OR(F15="Principal",F15="Preenchimento",F15="Contraluz"),ROUND(H15*IF(F15="Contraluz",0.577,1),1),""))</f>
        <v>3.2</v>
      </c>
      <c r="O15" s="23" t="n">
        <f aca="false">IF(H15="","",IF(OR(F15="Principal",F15="Preenchimento",F15="Contraluz"),ROUND(H15*IF(F15="Principal",1.732,IF(F15="Preenchimento",2.145,1)),1),""))</f>
        <v>5.5</v>
      </c>
      <c r="P15" s="22" t="str">
        <f aca="false">IF(F15="","",IF(OR(F15="Principal",F15="Preenchimento"),IF(AND(J15="",K15=""),"",IF(IF(J15="",FALSE(),ABS(J15-$K$4)&gt;$K$5),IF(IF(K15="",FALSE(),K15&lt;$K$6),"Cor e IRC","Cor diferente"),IF(IF(K15="",FALSE(),K15&lt;$K$6),"IRC baixo","OK"))),"–"))</f>
        <v>Cor e IRC</v>
      </c>
      <c r="Q15" s="24" t="str">
        <f aca="false">IF(AND(M15="",P15=""),"",IF(AND(OR(M15="–",M15=""),OR(P15="–",P15="")),"Não avaliado: não é luz de rosto",IF(IF(M15="Íngreme","Íngreme: afaste o refletor do alvo ou baixe-o",IF(M15="Baixa",IF(F15="Contraluz","Baixa: suba a contraluz, para não entrar na lente","Baixa: suba o refletor ou aproxime-o do alvo"),IF(M15="Atenção","No limite da faixa: confira na câmera","")))&amp;IF(P15="Cor diferente","Iguale a cor à referência",IF(P15="IRC baixo","IRC baixo para rosto: use em contraluz ou fundo",IF(P15="Cor e IRC","Cor e IRC fora: passe para contraluz ou fundo","")))="","Manter",IF(M15="Íngreme","Íngreme: afaste o refletor do alvo ou baixe-o",IF(M15="Baixa",IF(F15="Contraluz","Baixa: suba a contraluz, para não entrar na lente","Baixa: suba o refletor ou aproxime-o do alvo"),IF(M15="Atenção","No limite da faixa: confira na câmera","")))&amp;IF(AND(IF(M15="Íngreme","Íngreme: afaste o refletor do alvo ou baixe-o",IF(M15="Baixa",IF(F15="Contraluz","Baixa: suba a contraluz, para não entrar na lente","Baixa: suba o refletor ou aproxime-o do alvo"),IF(M15="Atenção","No limite da faixa: confira na câmera","")))&lt;&gt;"",IF(P15="Cor diferente","Iguale a cor à referência",IF(P15="IRC baixo","IRC baixo para rosto: use em contraluz ou fundo",IF(P15="Cor e IRC","Cor e IRC fora: passe para contraluz ou fundo","")))&lt;&gt;""),". ","")&amp;IF(P15="Cor diferente","Iguale a cor à referência",IF(P15="IRC baixo","IRC baixo para rosto: use em contraluz ou fundo",IF(P15="Cor e IRC","Cor e IRC fora: passe para contraluz ou fundo",""))))))</f>
        <v>Íngreme: afaste o refletor do alvo ou baixe-o. Cor e IRC fora: passe para contraluz ou fundo</v>
      </c>
      <c r="R15" s="37"/>
      <c r="U15" s="11" t="n">
        <v>0.185339</v>
      </c>
    </row>
    <row r="16" customFormat="false" ht="27" hidden="false" customHeight="true" outlineLevel="0" collapsed="false">
      <c r="B16" s="19" t="n">
        <v>3</v>
      </c>
      <c r="C16" s="37" t="s">
        <v>471</v>
      </c>
      <c r="D16" s="37" t="s">
        <v>472</v>
      </c>
      <c r="E16" s="37" t="s">
        <v>106</v>
      </c>
      <c r="F16" s="41" t="s">
        <v>473</v>
      </c>
      <c r="G16" s="40" t="n">
        <v>4</v>
      </c>
      <c r="H16" s="40" t="n">
        <v>1</v>
      </c>
      <c r="I16" s="38" t="n">
        <v>100</v>
      </c>
      <c r="J16" s="38" t="n">
        <v>3000</v>
      </c>
      <c r="K16" s="38" t="n">
        <v>100</v>
      </c>
      <c r="L16" s="21" t="n">
        <f aca="false">IF(OR(G16="",H16=""),"",IF(G16&lt;=0,90,IFERROR(MATCH(H16/G16,$U$5:$U$93,1),0)))</f>
        <v>14</v>
      </c>
      <c r="M16" s="22" t="str">
        <f aca="false">IF(OR(F16="",L16=""),"",IF(F16="Principal",IF(L16&lt;25,"Baixa",IF(L16&lt;30,"Atenção",IF(L16&lt;=45,"OK",IF(L16&lt;=50,"Atenção","Íngreme")))),IF(F16="Preenchimento",IF(L16&lt;20,"Baixa",IF(L16&lt;25,"Atenção",IF(L16&lt;=45,"OK",IF(L16&lt;=50,"Atenção","Íngreme")))),IF(F16="Contraluz",IF(L16&lt;40,"Baixa",IF(L16&lt;45,"Atenção",IF(L16&lt;=60,"OK",IF(L16&lt;=70,"Atenção","Íngreme")))),"–"))))</f>
        <v>Baixa</v>
      </c>
      <c r="N16" s="23" t="n">
        <f aca="false">IF(H16="","",IF(OR(F16="Principal",F16="Preenchimento",F16="Contraluz"),ROUND(H16*IF(F16="Contraluz",0.577,1),1),""))</f>
        <v>1</v>
      </c>
      <c r="O16" s="23" t="n">
        <f aca="false">IF(H16="","",IF(OR(F16="Principal",F16="Preenchimento",F16="Contraluz"),ROUND(H16*IF(F16="Principal",1.732,IF(F16="Preenchimento",2.145,1)),1),""))</f>
        <v>2.1</v>
      </c>
      <c r="P16" s="22" t="str">
        <f aca="false">IF(F16="","",IF(OR(F16="Principal",F16="Preenchimento"),IF(AND(J16="",K16=""),"",IF(IF(J16="",FALSE(),ABS(J16-$K$4)&gt;$K$5),IF(IF(K16="",FALSE(),K16&lt;$K$6),"Cor e IRC","Cor diferente"),IF(IF(K16="",FALSE(),K16&lt;$K$6),"IRC baixo","OK"))),"–"))</f>
        <v>Cor diferente</v>
      </c>
      <c r="Q16" s="24" t="str">
        <f aca="false">IF(AND(M16="",P16=""),"",IF(AND(OR(M16="–",M16=""),OR(P16="–",P16="")),"Não avaliado: não é luz de rosto",IF(IF(M16="Íngreme","Íngreme: afaste o refletor do alvo ou baixe-o",IF(M16="Baixa",IF(F16="Contraluz","Baixa: suba a contraluz, para não entrar na lente","Baixa: suba o refletor ou aproxime-o do alvo"),IF(M16="Atenção","No limite da faixa: confira na câmera","")))&amp;IF(P16="Cor diferente","Iguale a cor à referência",IF(P16="IRC baixo","IRC baixo para rosto: use em contraluz ou fundo",IF(P16="Cor e IRC","Cor e IRC fora: passe para contraluz ou fundo","")))="","Manter",IF(M16="Íngreme","Íngreme: afaste o refletor do alvo ou baixe-o",IF(M16="Baixa",IF(F16="Contraluz","Baixa: suba a contraluz, para não entrar na lente","Baixa: suba o refletor ou aproxime-o do alvo"),IF(M16="Atenção","No limite da faixa: confira na câmera","")))&amp;IF(AND(IF(M16="Íngreme","Íngreme: afaste o refletor do alvo ou baixe-o",IF(M16="Baixa",IF(F16="Contraluz","Baixa: suba a contraluz, para não entrar na lente","Baixa: suba o refletor ou aproxime-o do alvo"),IF(M16="Atenção","No limite da faixa: confira na câmera","")))&lt;&gt;"",IF(P16="Cor diferente","Iguale a cor à referência",IF(P16="IRC baixo","IRC baixo para rosto: use em contraluz ou fundo",IF(P16="Cor e IRC","Cor e IRC fora: passe para contraluz ou fundo","")))&lt;&gt;""),". ","")&amp;IF(P16="Cor diferente","Iguale a cor à referência",IF(P16="IRC baixo","IRC baixo para rosto: use em contraluz ou fundo",IF(P16="Cor e IRC","Cor e IRC fora: passe para contraluz ou fundo",""))))))</f>
        <v>Baixa: suba o refletor ou aproxime-o do alvo. Iguale a cor à referência</v>
      </c>
      <c r="R16" s="37"/>
      <c r="U16" s="11" t="n">
        <v>0.203452</v>
      </c>
    </row>
    <row r="17" customFormat="false" ht="27" hidden="false" customHeight="true" outlineLevel="0" collapsed="false">
      <c r="B17" s="19" t="n">
        <v>4</v>
      </c>
      <c r="C17" s="37" t="s">
        <v>474</v>
      </c>
      <c r="D17" s="37" t="s">
        <v>475</v>
      </c>
      <c r="E17" s="37" t="s">
        <v>476</v>
      </c>
      <c r="F17" s="41" t="s">
        <v>52</v>
      </c>
      <c r="G17" s="40"/>
      <c r="H17" s="40"/>
      <c r="I17" s="38" t="n">
        <v>60</v>
      </c>
      <c r="J17" s="38"/>
      <c r="K17" s="38"/>
      <c r="L17" s="21" t="str">
        <f aca="false">IF(OR(G17="",H17=""),"",IF(G17&lt;=0,90,IFERROR(MATCH(H17/G17,$U$5:$U$93,1),0)))</f>
        <v/>
      </c>
      <c r="M17" s="22" t="str">
        <f aca="false">IF(OR(F17="",L17=""),"",IF(F17="Principal",IF(L17&lt;25,"Baixa",IF(L17&lt;30,"Atenção",IF(L17&lt;=45,"OK",IF(L17&lt;=50,"Atenção","Íngreme")))),IF(F17="Preenchimento",IF(L17&lt;20,"Baixa",IF(L17&lt;25,"Atenção",IF(L17&lt;=45,"OK",IF(L17&lt;=50,"Atenção","Íngreme")))),IF(F17="Contraluz",IF(L17&lt;40,"Baixa",IF(L17&lt;45,"Atenção",IF(L17&lt;=60,"OK",IF(L17&lt;=70,"Atenção","Íngreme")))),"–"))))</f>
        <v/>
      </c>
      <c r="N17" s="23" t="str">
        <f aca="false">IF(H17="","",IF(OR(F17="Principal",F17="Preenchimento",F17="Contraluz"),ROUND(H17*IF(F17="Contraluz",0.577,1),1),""))</f>
        <v/>
      </c>
      <c r="O17" s="23" t="str">
        <f aca="false">IF(H17="","",IF(OR(F17="Principal",F17="Preenchimento",F17="Contraluz"),ROUND(H17*IF(F17="Principal",1.732,IF(F17="Preenchimento",2.145,1)),1),""))</f>
        <v/>
      </c>
      <c r="P17" s="22" t="str">
        <f aca="false">IF(F17="","",IF(OR(F17="Principal",F17="Preenchimento"),IF(AND(J17="",K17=""),"",IF(IF(J17="",FALSE(),ABS(J17-$K$4)&gt;$K$5),IF(IF(K17="",FALSE(),K17&lt;$K$6),"Cor e IRC","Cor diferente"),IF(IF(K17="",FALSE(),K17&lt;$K$6),"IRC baixo","OK"))),"–"))</f>
        <v>–</v>
      </c>
      <c r="Q17" s="24" t="str">
        <f aca="false">IF(AND(M17="",P17=""),"",IF(AND(OR(M17="–",M17=""),OR(P17="–",P17="")),"Não avaliado: não é luz de rosto",IF(IF(M17="Íngreme","Íngreme: afaste o refletor do alvo ou baixe-o",IF(M17="Baixa",IF(F17="Contraluz","Baixa: suba a contraluz, para não entrar na lente","Baixa: suba o refletor ou aproxime-o do alvo"),IF(M17="Atenção","No limite da faixa: confira na câmera","")))&amp;IF(P17="Cor diferente","Iguale a cor à referência",IF(P17="IRC baixo","IRC baixo para rosto: use em contraluz ou fundo",IF(P17="Cor e IRC","Cor e IRC fora: passe para contraluz ou fundo","")))="","Manter",IF(M17="Íngreme","Íngreme: afaste o refletor do alvo ou baixe-o",IF(M17="Baixa",IF(F17="Contraluz","Baixa: suba a contraluz, para não entrar na lente","Baixa: suba o refletor ou aproxime-o do alvo"),IF(M17="Atenção","No limite da faixa: confira na câmera","")))&amp;IF(AND(IF(M17="Íngreme","Íngreme: afaste o refletor do alvo ou baixe-o",IF(M17="Baixa",IF(F17="Contraluz","Baixa: suba a contraluz, para não entrar na lente","Baixa: suba o refletor ou aproxime-o do alvo"),IF(M17="Atenção","No limite da faixa: confira na câmera","")))&lt;&gt;"",IF(P17="Cor diferente","Iguale a cor à referência",IF(P17="IRC baixo","IRC baixo para rosto: use em contraluz ou fundo",IF(P17="Cor e IRC","Cor e IRC fora: passe para contraluz ou fundo","")))&lt;&gt;""),". ","")&amp;IF(P17="Cor diferente","Iguale a cor à referência",IF(P17="IRC baixo","IRC baixo para rosto: use em contraluz ou fundo",IF(P17="Cor e IRC","Cor e IRC fora: passe para contraluz ou fundo",""))))))</f>
        <v>Não avaliado: não é luz de rosto</v>
      </c>
      <c r="R17" s="37" t="s">
        <v>477</v>
      </c>
      <c r="U17" s="11" t="n">
        <v>0.221695</v>
      </c>
    </row>
    <row r="18" customFormat="false" ht="27" hidden="false" customHeight="true" outlineLevel="0" collapsed="false">
      <c r="B18" s="19" t="n">
        <v>5</v>
      </c>
      <c r="C18" s="37"/>
      <c r="D18" s="37"/>
      <c r="E18" s="37"/>
      <c r="F18" s="41"/>
      <c r="G18" s="40"/>
      <c r="H18" s="40"/>
      <c r="I18" s="38"/>
      <c r="J18" s="38"/>
      <c r="K18" s="38"/>
      <c r="L18" s="21" t="str">
        <f aca="false">IF(OR(G18="",H18=""),"",IF(G18&lt;=0,90,IFERROR(MATCH(H18/G18,$U$5:$U$93,1),0)))</f>
        <v/>
      </c>
      <c r="M18" s="22" t="str">
        <f aca="false">IF(OR(F18="",L18=""),"",IF(F18="Principal",IF(L18&lt;25,"Baixa",IF(L18&lt;30,"Atenção",IF(L18&lt;=45,"OK",IF(L18&lt;=50,"Atenção","Íngreme")))),IF(F18="Preenchimento",IF(L18&lt;20,"Baixa",IF(L18&lt;25,"Atenção",IF(L18&lt;=45,"OK",IF(L18&lt;=50,"Atenção","Íngreme")))),IF(F18="Contraluz",IF(L18&lt;40,"Baixa",IF(L18&lt;45,"Atenção",IF(L18&lt;=60,"OK",IF(L18&lt;=70,"Atenção","Íngreme")))),"–"))))</f>
        <v/>
      </c>
      <c r="N18" s="23" t="str">
        <f aca="false">IF(H18="","",IF(OR(F18="Principal",F18="Preenchimento",F18="Contraluz"),ROUND(H18*IF(F18="Contraluz",0.577,1),1),""))</f>
        <v/>
      </c>
      <c r="O18" s="23" t="str">
        <f aca="false">IF(H18="","",IF(OR(F18="Principal",F18="Preenchimento",F18="Contraluz"),ROUND(H18*IF(F18="Principal",1.732,IF(F18="Preenchimento",2.145,1)),1),""))</f>
        <v/>
      </c>
      <c r="P18" s="22" t="str">
        <f aca="false">IF(F18="","",IF(OR(F18="Principal",F18="Preenchimento"),IF(AND(J18="",K18=""),"",IF(IF(J18="",FALSE(),ABS(J18-$K$4)&gt;$K$5),IF(IF(K18="",FALSE(),K18&lt;$K$6),"Cor e IRC","Cor diferente"),IF(IF(K18="",FALSE(),K18&lt;$K$6),"IRC baixo","OK"))),"–"))</f>
        <v/>
      </c>
      <c r="Q18" s="24" t="str">
        <f aca="false">IF(AND(M18="",P18=""),"",IF(AND(OR(M18="–",M18=""),OR(P18="–",P18="")),"Não avaliado: não é luz de rosto",IF(IF(M18="Íngreme","Íngreme: afaste o refletor do alvo ou baixe-o",IF(M18="Baixa",IF(F18="Contraluz","Baixa: suba a contraluz, para não entrar na lente","Baixa: suba o refletor ou aproxime-o do alvo"),IF(M18="Atenção","No limite da faixa: confira na câmera","")))&amp;IF(P18="Cor diferente","Iguale a cor à referência",IF(P18="IRC baixo","IRC baixo para rosto: use em contraluz ou fundo",IF(P18="Cor e IRC","Cor e IRC fora: passe para contraluz ou fundo","")))="","Manter",IF(M18="Íngreme","Íngreme: afaste o refletor do alvo ou baixe-o",IF(M18="Baixa",IF(F18="Contraluz","Baixa: suba a contraluz, para não entrar na lente","Baixa: suba o refletor ou aproxime-o do alvo"),IF(M18="Atenção","No limite da faixa: confira na câmera","")))&amp;IF(AND(IF(M18="Íngreme","Íngreme: afaste o refletor do alvo ou baixe-o",IF(M18="Baixa",IF(F18="Contraluz","Baixa: suba a contraluz, para não entrar na lente","Baixa: suba o refletor ou aproxime-o do alvo"),IF(M18="Atenção","No limite da faixa: confira na câmera","")))&lt;&gt;"",IF(P18="Cor diferente","Iguale a cor à referência",IF(P18="IRC baixo","IRC baixo para rosto: use em contraluz ou fundo",IF(P18="Cor e IRC","Cor e IRC fora: passe para contraluz ou fundo","")))&lt;&gt;""),". ","")&amp;IF(P18="Cor diferente","Iguale a cor à referência",IF(P18="IRC baixo","IRC baixo para rosto: use em contraluz ou fundo",IF(P18="Cor e IRC","Cor e IRC fora: passe para contraluz ou fundo",""))))))</f>
        <v/>
      </c>
      <c r="R18" s="37"/>
      <c r="U18" s="11" t="n">
        <v>0.240079</v>
      </c>
    </row>
    <row r="19" customFormat="false" ht="27" hidden="false" customHeight="true" outlineLevel="0" collapsed="false">
      <c r="B19" s="19" t="n">
        <v>6</v>
      </c>
      <c r="C19" s="37"/>
      <c r="D19" s="37"/>
      <c r="E19" s="37"/>
      <c r="F19" s="41"/>
      <c r="G19" s="40"/>
      <c r="H19" s="40"/>
      <c r="I19" s="38"/>
      <c r="J19" s="38"/>
      <c r="K19" s="38"/>
      <c r="L19" s="21" t="str">
        <f aca="false">IF(OR(G19="",H19=""),"",IF(G19&lt;=0,90,IFERROR(MATCH(H19/G19,$U$5:$U$93,1),0)))</f>
        <v/>
      </c>
      <c r="M19" s="22" t="str">
        <f aca="false">IF(OR(F19="",L19=""),"",IF(F19="Principal",IF(L19&lt;25,"Baixa",IF(L19&lt;30,"Atenção",IF(L19&lt;=45,"OK",IF(L19&lt;=50,"Atenção","Íngreme")))),IF(F19="Preenchimento",IF(L19&lt;20,"Baixa",IF(L19&lt;25,"Atenção",IF(L19&lt;=45,"OK",IF(L19&lt;=50,"Atenção","Íngreme")))),IF(F19="Contraluz",IF(L19&lt;40,"Baixa",IF(L19&lt;45,"Atenção",IF(L19&lt;=60,"OK",IF(L19&lt;=70,"Atenção","Íngreme")))),"–"))))</f>
        <v/>
      </c>
      <c r="N19" s="23" t="str">
        <f aca="false">IF(H19="","",IF(OR(F19="Principal",F19="Preenchimento",F19="Contraluz"),ROUND(H19*IF(F19="Contraluz",0.577,1),1),""))</f>
        <v/>
      </c>
      <c r="O19" s="23" t="str">
        <f aca="false">IF(H19="","",IF(OR(F19="Principal",F19="Preenchimento",F19="Contraluz"),ROUND(H19*IF(F19="Principal",1.732,IF(F19="Preenchimento",2.145,1)),1),""))</f>
        <v/>
      </c>
      <c r="P19" s="22" t="str">
        <f aca="false">IF(F19="","",IF(OR(F19="Principal",F19="Preenchimento"),IF(AND(J19="",K19=""),"",IF(IF(J19="",FALSE(),ABS(J19-$K$4)&gt;$K$5),IF(IF(K19="",FALSE(),K19&lt;$K$6),"Cor e IRC","Cor diferente"),IF(IF(K19="",FALSE(),K19&lt;$K$6),"IRC baixo","OK"))),"–"))</f>
        <v/>
      </c>
      <c r="Q19" s="24" t="str">
        <f aca="false">IF(AND(M19="",P19=""),"",IF(AND(OR(M19="–",M19=""),OR(P19="–",P19="")),"Não avaliado: não é luz de rosto",IF(IF(M19="Íngreme","Íngreme: afaste o refletor do alvo ou baixe-o",IF(M19="Baixa",IF(F19="Contraluz","Baixa: suba a contraluz, para não entrar na lente","Baixa: suba o refletor ou aproxime-o do alvo"),IF(M19="Atenção","No limite da faixa: confira na câmera","")))&amp;IF(P19="Cor diferente","Iguale a cor à referência",IF(P19="IRC baixo","IRC baixo para rosto: use em contraluz ou fundo",IF(P19="Cor e IRC","Cor e IRC fora: passe para contraluz ou fundo","")))="","Manter",IF(M19="Íngreme","Íngreme: afaste o refletor do alvo ou baixe-o",IF(M19="Baixa",IF(F19="Contraluz","Baixa: suba a contraluz, para não entrar na lente","Baixa: suba o refletor ou aproxime-o do alvo"),IF(M19="Atenção","No limite da faixa: confira na câmera","")))&amp;IF(AND(IF(M19="Íngreme","Íngreme: afaste o refletor do alvo ou baixe-o",IF(M19="Baixa",IF(F19="Contraluz","Baixa: suba a contraluz, para não entrar na lente","Baixa: suba o refletor ou aproxime-o do alvo"),IF(M19="Atenção","No limite da faixa: confira na câmera","")))&lt;&gt;"",IF(P19="Cor diferente","Iguale a cor à referência",IF(P19="IRC baixo","IRC baixo para rosto: use em contraluz ou fundo",IF(P19="Cor e IRC","Cor e IRC fora: passe para contraluz ou fundo","")))&lt;&gt;""),". ","")&amp;IF(P19="Cor diferente","Iguale a cor à referência",IF(P19="IRC baixo","IRC baixo para rosto: use em contraluz ou fundo",IF(P19="Cor e IRC","Cor e IRC fora: passe para contraluz ou fundo",""))))))</f>
        <v/>
      </c>
      <c r="R19" s="37"/>
      <c r="U19" s="11" t="n">
        <v>0.258618</v>
      </c>
    </row>
    <row r="20" customFormat="false" ht="27" hidden="false" customHeight="true" outlineLevel="0" collapsed="false">
      <c r="B20" s="19" t="n">
        <v>7</v>
      </c>
      <c r="C20" s="37"/>
      <c r="D20" s="37"/>
      <c r="E20" s="37"/>
      <c r="F20" s="41"/>
      <c r="G20" s="40"/>
      <c r="H20" s="40"/>
      <c r="I20" s="38"/>
      <c r="J20" s="38"/>
      <c r="K20" s="38"/>
      <c r="L20" s="21" t="str">
        <f aca="false">IF(OR(G20="",H20=""),"",IF(G20&lt;=0,90,IFERROR(MATCH(H20/G20,$U$5:$U$93,1),0)))</f>
        <v/>
      </c>
      <c r="M20" s="22" t="str">
        <f aca="false">IF(OR(F20="",L20=""),"",IF(F20="Principal",IF(L20&lt;25,"Baixa",IF(L20&lt;30,"Atenção",IF(L20&lt;=45,"OK",IF(L20&lt;=50,"Atenção","Íngreme")))),IF(F20="Preenchimento",IF(L20&lt;20,"Baixa",IF(L20&lt;25,"Atenção",IF(L20&lt;=45,"OK",IF(L20&lt;=50,"Atenção","Íngreme")))),IF(F20="Contraluz",IF(L20&lt;40,"Baixa",IF(L20&lt;45,"Atenção",IF(L20&lt;=60,"OK",IF(L20&lt;=70,"Atenção","Íngreme")))),"–"))))</f>
        <v/>
      </c>
      <c r="N20" s="23" t="str">
        <f aca="false">IF(H20="","",IF(OR(F20="Principal",F20="Preenchimento",F20="Contraluz"),ROUND(H20*IF(F20="Contraluz",0.577,1),1),""))</f>
        <v/>
      </c>
      <c r="O20" s="23" t="str">
        <f aca="false">IF(H20="","",IF(OR(F20="Principal",F20="Preenchimento",F20="Contraluz"),ROUND(H20*IF(F20="Principal",1.732,IF(F20="Preenchimento",2.145,1)),1),""))</f>
        <v/>
      </c>
      <c r="P20" s="22" t="str">
        <f aca="false">IF(F20="","",IF(OR(F20="Principal",F20="Preenchimento"),IF(AND(J20="",K20=""),"",IF(IF(J20="",FALSE(),ABS(J20-$K$4)&gt;$K$5),IF(IF(K20="",FALSE(),K20&lt;$K$6),"Cor e IRC","Cor diferente"),IF(IF(K20="",FALSE(),K20&lt;$K$6),"IRC baixo","OK"))),"–"))</f>
        <v/>
      </c>
      <c r="Q20" s="24" t="str">
        <f aca="false">IF(AND(M20="",P20=""),"",IF(AND(OR(M20="–",M20=""),OR(P20="–",P20="")),"Não avaliado: não é luz de rosto",IF(IF(M20="Íngreme","Íngreme: afaste o refletor do alvo ou baixe-o",IF(M20="Baixa",IF(F20="Contraluz","Baixa: suba a contraluz, para não entrar na lente","Baixa: suba o refletor ou aproxime-o do alvo"),IF(M20="Atenção","No limite da faixa: confira na câmera","")))&amp;IF(P20="Cor diferente","Iguale a cor à referência",IF(P20="IRC baixo","IRC baixo para rosto: use em contraluz ou fundo",IF(P20="Cor e IRC","Cor e IRC fora: passe para contraluz ou fundo","")))="","Manter",IF(M20="Íngreme","Íngreme: afaste o refletor do alvo ou baixe-o",IF(M20="Baixa",IF(F20="Contraluz","Baixa: suba a contraluz, para não entrar na lente","Baixa: suba o refletor ou aproxime-o do alvo"),IF(M20="Atenção","No limite da faixa: confira na câmera","")))&amp;IF(AND(IF(M20="Íngreme","Íngreme: afaste o refletor do alvo ou baixe-o",IF(M20="Baixa",IF(F20="Contraluz","Baixa: suba a contraluz, para não entrar na lente","Baixa: suba o refletor ou aproxime-o do alvo"),IF(M20="Atenção","No limite da faixa: confira na câmera","")))&lt;&gt;"",IF(P20="Cor diferente","Iguale a cor à referência",IF(P20="IRC baixo","IRC baixo para rosto: use em contraluz ou fundo",IF(P20="Cor e IRC","Cor e IRC fora: passe para contraluz ou fundo","")))&lt;&gt;""),". ","")&amp;IF(P20="Cor diferente","Iguale a cor à referência",IF(P20="IRC baixo","IRC baixo para rosto: use em contraluz ou fundo",IF(P20="Cor e IRC","Cor e IRC fora: passe para contraluz ou fundo",""))))))</f>
        <v/>
      </c>
      <c r="R20" s="37"/>
      <c r="U20" s="11" t="n">
        <v>0.277325</v>
      </c>
    </row>
    <row r="21" customFormat="false" ht="27" hidden="false" customHeight="true" outlineLevel="0" collapsed="false">
      <c r="B21" s="19" t="n">
        <v>8</v>
      </c>
      <c r="C21" s="37"/>
      <c r="D21" s="37"/>
      <c r="E21" s="37"/>
      <c r="F21" s="41"/>
      <c r="G21" s="40"/>
      <c r="H21" s="40"/>
      <c r="I21" s="38"/>
      <c r="J21" s="38"/>
      <c r="K21" s="38"/>
      <c r="L21" s="21" t="str">
        <f aca="false">IF(OR(G21="",H21=""),"",IF(G21&lt;=0,90,IFERROR(MATCH(H21/G21,$U$5:$U$93,1),0)))</f>
        <v/>
      </c>
      <c r="M21" s="22" t="str">
        <f aca="false">IF(OR(F21="",L21=""),"",IF(F21="Principal",IF(L21&lt;25,"Baixa",IF(L21&lt;30,"Atenção",IF(L21&lt;=45,"OK",IF(L21&lt;=50,"Atenção","Íngreme")))),IF(F21="Preenchimento",IF(L21&lt;20,"Baixa",IF(L21&lt;25,"Atenção",IF(L21&lt;=45,"OK",IF(L21&lt;=50,"Atenção","Íngreme")))),IF(F21="Contraluz",IF(L21&lt;40,"Baixa",IF(L21&lt;45,"Atenção",IF(L21&lt;=60,"OK",IF(L21&lt;=70,"Atenção","Íngreme")))),"–"))))</f>
        <v/>
      </c>
      <c r="N21" s="23" t="str">
        <f aca="false">IF(H21="","",IF(OR(F21="Principal",F21="Preenchimento",F21="Contraluz"),ROUND(H21*IF(F21="Contraluz",0.577,1),1),""))</f>
        <v/>
      </c>
      <c r="O21" s="23" t="str">
        <f aca="false">IF(H21="","",IF(OR(F21="Principal",F21="Preenchimento",F21="Contraluz"),ROUND(H21*IF(F21="Principal",1.732,IF(F21="Preenchimento",2.145,1)),1),""))</f>
        <v/>
      </c>
      <c r="P21" s="22" t="str">
        <f aca="false">IF(F21="","",IF(OR(F21="Principal",F21="Preenchimento"),IF(AND(J21="",K21=""),"",IF(IF(J21="",FALSE(),ABS(J21-$K$4)&gt;$K$5),IF(IF(K21="",FALSE(),K21&lt;$K$6),"Cor e IRC","Cor diferente"),IF(IF(K21="",FALSE(),K21&lt;$K$6),"IRC baixo","OK"))),"–"))</f>
        <v/>
      </c>
      <c r="Q21" s="24" t="str">
        <f aca="false">IF(AND(M21="",P21=""),"",IF(AND(OR(M21="–",M21=""),OR(P21="–",P21="")),"Não avaliado: não é luz de rosto",IF(IF(M21="Íngreme","Íngreme: afaste o refletor do alvo ou baixe-o",IF(M21="Baixa",IF(F21="Contraluz","Baixa: suba a contraluz, para não entrar na lente","Baixa: suba o refletor ou aproxime-o do alvo"),IF(M21="Atenção","No limite da faixa: confira na câmera","")))&amp;IF(P21="Cor diferente","Iguale a cor à referência",IF(P21="IRC baixo","IRC baixo para rosto: use em contraluz ou fundo",IF(P21="Cor e IRC","Cor e IRC fora: passe para contraluz ou fundo","")))="","Manter",IF(M21="Íngreme","Íngreme: afaste o refletor do alvo ou baixe-o",IF(M21="Baixa",IF(F21="Contraluz","Baixa: suba a contraluz, para não entrar na lente","Baixa: suba o refletor ou aproxime-o do alvo"),IF(M21="Atenção","No limite da faixa: confira na câmera","")))&amp;IF(AND(IF(M21="Íngreme","Íngreme: afaste o refletor do alvo ou baixe-o",IF(M21="Baixa",IF(F21="Contraluz","Baixa: suba a contraluz, para não entrar na lente","Baixa: suba o refletor ou aproxime-o do alvo"),IF(M21="Atenção","No limite da faixa: confira na câmera","")))&lt;&gt;"",IF(P21="Cor diferente","Iguale a cor à referência",IF(P21="IRC baixo","IRC baixo para rosto: use em contraluz ou fundo",IF(P21="Cor e IRC","Cor e IRC fora: passe para contraluz ou fundo","")))&lt;&gt;""),". ","")&amp;IF(P21="Cor diferente","Iguale a cor à referência",IF(P21="IRC baixo","IRC baixo para rosto: use em contraluz ou fundo",IF(P21="Cor e IRC","Cor e IRC fora: passe para contraluz ou fundo",""))))))</f>
        <v/>
      </c>
      <c r="R21" s="37"/>
      <c r="U21" s="11" t="n">
        <v>0.296213</v>
      </c>
    </row>
    <row r="22" customFormat="false" ht="27" hidden="false" customHeight="true" outlineLevel="0" collapsed="false">
      <c r="B22" s="19" t="n">
        <v>9</v>
      </c>
      <c r="C22" s="37"/>
      <c r="D22" s="37"/>
      <c r="E22" s="37"/>
      <c r="F22" s="41"/>
      <c r="G22" s="40"/>
      <c r="H22" s="40"/>
      <c r="I22" s="38"/>
      <c r="J22" s="38"/>
      <c r="K22" s="38"/>
      <c r="L22" s="21" t="str">
        <f aca="false">IF(OR(G22="",H22=""),"",IF(G22&lt;=0,90,IFERROR(MATCH(H22/G22,$U$5:$U$93,1),0)))</f>
        <v/>
      </c>
      <c r="M22" s="22" t="str">
        <f aca="false">IF(OR(F22="",L22=""),"",IF(F22="Principal",IF(L22&lt;25,"Baixa",IF(L22&lt;30,"Atenção",IF(L22&lt;=45,"OK",IF(L22&lt;=50,"Atenção","Íngreme")))),IF(F22="Preenchimento",IF(L22&lt;20,"Baixa",IF(L22&lt;25,"Atenção",IF(L22&lt;=45,"OK",IF(L22&lt;=50,"Atenção","Íngreme")))),IF(F22="Contraluz",IF(L22&lt;40,"Baixa",IF(L22&lt;45,"Atenção",IF(L22&lt;=60,"OK",IF(L22&lt;=70,"Atenção","Íngreme")))),"–"))))</f>
        <v/>
      </c>
      <c r="N22" s="23" t="str">
        <f aca="false">IF(H22="","",IF(OR(F22="Principal",F22="Preenchimento",F22="Contraluz"),ROUND(H22*IF(F22="Contraluz",0.577,1),1),""))</f>
        <v/>
      </c>
      <c r="O22" s="23" t="str">
        <f aca="false">IF(H22="","",IF(OR(F22="Principal",F22="Preenchimento",F22="Contraluz"),ROUND(H22*IF(F22="Principal",1.732,IF(F22="Preenchimento",2.145,1)),1),""))</f>
        <v/>
      </c>
      <c r="P22" s="22" t="str">
        <f aca="false">IF(F22="","",IF(OR(F22="Principal",F22="Preenchimento"),IF(AND(J22="",K22=""),"",IF(IF(J22="",FALSE(),ABS(J22-$K$4)&gt;$K$5),IF(IF(K22="",FALSE(),K22&lt;$K$6),"Cor e IRC","Cor diferente"),IF(IF(K22="",FALSE(),K22&lt;$K$6),"IRC baixo","OK"))),"–"))</f>
        <v/>
      </c>
      <c r="Q22" s="24" t="str">
        <f aca="false">IF(AND(M22="",P22=""),"",IF(AND(OR(M22="–",M22=""),OR(P22="–",P22="")),"Não avaliado: não é luz de rosto",IF(IF(M22="Íngreme","Íngreme: afaste o refletor do alvo ou baixe-o",IF(M22="Baixa",IF(F22="Contraluz","Baixa: suba a contraluz, para não entrar na lente","Baixa: suba o refletor ou aproxime-o do alvo"),IF(M22="Atenção","No limite da faixa: confira na câmera","")))&amp;IF(P22="Cor diferente","Iguale a cor à referência",IF(P22="IRC baixo","IRC baixo para rosto: use em contraluz ou fundo",IF(P22="Cor e IRC","Cor e IRC fora: passe para contraluz ou fundo","")))="","Manter",IF(M22="Íngreme","Íngreme: afaste o refletor do alvo ou baixe-o",IF(M22="Baixa",IF(F22="Contraluz","Baixa: suba a contraluz, para não entrar na lente","Baixa: suba o refletor ou aproxime-o do alvo"),IF(M22="Atenção","No limite da faixa: confira na câmera","")))&amp;IF(AND(IF(M22="Íngreme","Íngreme: afaste o refletor do alvo ou baixe-o",IF(M22="Baixa",IF(F22="Contraluz","Baixa: suba a contraluz, para não entrar na lente","Baixa: suba o refletor ou aproxime-o do alvo"),IF(M22="Atenção","No limite da faixa: confira na câmera","")))&lt;&gt;"",IF(P22="Cor diferente","Iguale a cor à referência",IF(P22="IRC baixo","IRC baixo para rosto: use em contraluz ou fundo",IF(P22="Cor e IRC","Cor e IRC fora: passe para contraluz ou fundo","")))&lt;&gt;""),". ","")&amp;IF(P22="Cor diferente","Iguale a cor à referência",IF(P22="IRC baixo","IRC baixo para rosto: use em contraluz ou fundo",IF(P22="Cor e IRC","Cor e IRC fora: passe para contraluz ou fundo",""))))))</f>
        <v/>
      </c>
      <c r="R22" s="37"/>
      <c r="U22" s="11" t="n">
        <v>0.315299</v>
      </c>
    </row>
    <row r="23" customFormat="false" ht="27" hidden="false" customHeight="true" outlineLevel="0" collapsed="false">
      <c r="B23" s="19" t="n">
        <v>10</v>
      </c>
      <c r="C23" s="37"/>
      <c r="D23" s="37"/>
      <c r="E23" s="37"/>
      <c r="F23" s="41"/>
      <c r="G23" s="40"/>
      <c r="H23" s="40"/>
      <c r="I23" s="38"/>
      <c r="J23" s="38"/>
      <c r="K23" s="38"/>
      <c r="L23" s="21" t="str">
        <f aca="false">IF(OR(G23="",H23=""),"",IF(G23&lt;=0,90,IFERROR(MATCH(H23/G23,$U$5:$U$93,1),0)))</f>
        <v/>
      </c>
      <c r="M23" s="22" t="str">
        <f aca="false">IF(OR(F23="",L23=""),"",IF(F23="Principal",IF(L23&lt;25,"Baixa",IF(L23&lt;30,"Atenção",IF(L23&lt;=45,"OK",IF(L23&lt;=50,"Atenção","Íngreme")))),IF(F23="Preenchimento",IF(L23&lt;20,"Baixa",IF(L23&lt;25,"Atenção",IF(L23&lt;=45,"OK",IF(L23&lt;=50,"Atenção","Íngreme")))),IF(F23="Contraluz",IF(L23&lt;40,"Baixa",IF(L23&lt;45,"Atenção",IF(L23&lt;=60,"OK",IF(L23&lt;=70,"Atenção","Íngreme")))),"–"))))</f>
        <v/>
      </c>
      <c r="N23" s="23" t="str">
        <f aca="false">IF(H23="","",IF(OR(F23="Principal",F23="Preenchimento",F23="Contraluz"),ROUND(H23*IF(F23="Contraluz",0.577,1),1),""))</f>
        <v/>
      </c>
      <c r="O23" s="23" t="str">
        <f aca="false">IF(H23="","",IF(OR(F23="Principal",F23="Preenchimento",F23="Contraluz"),ROUND(H23*IF(F23="Principal",1.732,IF(F23="Preenchimento",2.145,1)),1),""))</f>
        <v/>
      </c>
      <c r="P23" s="22" t="str">
        <f aca="false">IF(F23="","",IF(OR(F23="Principal",F23="Preenchimento"),IF(AND(J23="",K23=""),"",IF(IF(J23="",FALSE(),ABS(J23-$K$4)&gt;$K$5),IF(IF(K23="",FALSE(),K23&lt;$K$6),"Cor e IRC","Cor diferente"),IF(IF(K23="",FALSE(),K23&lt;$K$6),"IRC baixo","OK"))),"–"))</f>
        <v/>
      </c>
      <c r="Q23" s="24" t="str">
        <f aca="false">IF(AND(M23="",P23=""),"",IF(AND(OR(M23="–",M23=""),OR(P23="–",P23="")),"Não avaliado: não é luz de rosto",IF(IF(M23="Íngreme","Íngreme: afaste o refletor do alvo ou baixe-o",IF(M23="Baixa",IF(F23="Contraluz","Baixa: suba a contraluz, para não entrar na lente","Baixa: suba o refletor ou aproxime-o do alvo"),IF(M23="Atenção","No limite da faixa: confira na câmera","")))&amp;IF(P23="Cor diferente","Iguale a cor à referência",IF(P23="IRC baixo","IRC baixo para rosto: use em contraluz ou fundo",IF(P23="Cor e IRC","Cor e IRC fora: passe para contraluz ou fundo","")))="","Manter",IF(M23="Íngreme","Íngreme: afaste o refletor do alvo ou baixe-o",IF(M23="Baixa",IF(F23="Contraluz","Baixa: suba a contraluz, para não entrar na lente","Baixa: suba o refletor ou aproxime-o do alvo"),IF(M23="Atenção","No limite da faixa: confira na câmera","")))&amp;IF(AND(IF(M23="Íngreme","Íngreme: afaste o refletor do alvo ou baixe-o",IF(M23="Baixa",IF(F23="Contraluz","Baixa: suba a contraluz, para não entrar na lente","Baixa: suba o refletor ou aproxime-o do alvo"),IF(M23="Atenção","No limite da faixa: confira na câmera","")))&lt;&gt;"",IF(P23="Cor diferente","Iguale a cor à referência",IF(P23="IRC baixo","IRC baixo para rosto: use em contraluz ou fundo",IF(P23="Cor e IRC","Cor e IRC fora: passe para contraluz ou fundo","")))&lt;&gt;""),". ","")&amp;IF(P23="Cor diferente","Iguale a cor à referência",IF(P23="IRC baixo","IRC baixo para rosto: use em contraluz ou fundo",IF(P23="Cor e IRC","Cor e IRC fora: passe para contraluz ou fundo",""))))))</f>
        <v/>
      </c>
      <c r="R23" s="37"/>
      <c r="U23" s="11" t="n">
        <v>0.334595</v>
      </c>
    </row>
    <row r="24" customFormat="false" ht="27" hidden="false" customHeight="true" outlineLevel="0" collapsed="false">
      <c r="B24" s="19" t="n">
        <v>11</v>
      </c>
      <c r="C24" s="37"/>
      <c r="D24" s="37"/>
      <c r="E24" s="37"/>
      <c r="F24" s="41"/>
      <c r="G24" s="40"/>
      <c r="H24" s="40"/>
      <c r="I24" s="38"/>
      <c r="J24" s="38"/>
      <c r="K24" s="38"/>
      <c r="L24" s="21" t="str">
        <f aca="false">IF(OR(G24="",H24=""),"",IF(G24&lt;=0,90,IFERROR(MATCH(H24/G24,$U$5:$U$93,1),0)))</f>
        <v/>
      </c>
      <c r="M24" s="22" t="str">
        <f aca="false">IF(OR(F24="",L24=""),"",IF(F24="Principal",IF(L24&lt;25,"Baixa",IF(L24&lt;30,"Atenção",IF(L24&lt;=45,"OK",IF(L24&lt;=50,"Atenção","Íngreme")))),IF(F24="Preenchimento",IF(L24&lt;20,"Baixa",IF(L24&lt;25,"Atenção",IF(L24&lt;=45,"OK",IF(L24&lt;=50,"Atenção","Íngreme")))),IF(F24="Contraluz",IF(L24&lt;40,"Baixa",IF(L24&lt;45,"Atenção",IF(L24&lt;=60,"OK",IF(L24&lt;=70,"Atenção","Íngreme")))),"–"))))</f>
        <v/>
      </c>
      <c r="N24" s="23" t="str">
        <f aca="false">IF(H24="","",IF(OR(F24="Principal",F24="Preenchimento",F24="Contraluz"),ROUND(H24*IF(F24="Contraluz",0.577,1),1),""))</f>
        <v/>
      </c>
      <c r="O24" s="23" t="str">
        <f aca="false">IF(H24="","",IF(OR(F24="Principal",F24="Preenchimento",F24="Contraluz"),ROUND(H24*IF(F24="Principal",1.732,IF(F24="Preenchimento",2.145,1)),1),""))</f>
        <v/>
      </c>
      <c r="P24" s="22" t="str">
        <f aca="false">IF(F24="","",IF(OR(F24="Principal",F24="Preenchimento"),IF(AND(J24="",K24=""),"",IF(IF(J24="",FALSE(),ABS(J24-$K$4)&gt;$K$5),IF(IF(K24="",FALSE(),K24&lt;$K$6),"Cor e IRC","Cor diferente"),IF(IF(K24="",FALSE(),K24&lt;$K$6),"IRC baixo","OK"))),"–"))</f>
        <v/>
      </c>
      <c r="Q24" s="24" t="str">
        <f aca="false">IF(AND(M24="",P24=""),"",IF(AND(OR(M24="–",M24=""),OR(P24="–",P24="")),"Não avaliado: não é luz de rosto",IF(IF(M24="Íngreme","Íngreme: afaste o refletor do alvo ou baixe-o",IF(M24="Baixa",IF(F24="Contraluz","Baixa: suba a contraluz, para não entrar na lente","Baixa: suba o refletor ou aproxime-o do alvo"),IF(M24="Atenção","No limite da faixa: confira na câmera","")))&amp;IF(P24="Cor diferente","Iguale a cor à referência",IF(P24="IRC baixo","IRC baixo para rosto: use em contraluz ou fundo",IF(P24="Cor e IRC","Cor e IRC fora: passe para contraluz ou fundo","")))="","Manter",IF(M24="Íngreme","Íngreme: afaste o refletor do alvo ou baixe-o",IF(M24="Baixa",IF(F24="Contraluz","Baixa: suba a contraluz, para não entrar na lente","Baixa: suba o refletor ou aproxime-o do alvo"),IF(M24="Atenção","No limite da faixa: confira na câmera","")))&amp;IF(AND(IF(M24="Íngreme","Íngreme: afaste o refletor do alvo ou baixe-o",IF(M24="Baixa",IF(F24="Contraluz","Baixa: suba a contraluz, para não entrar na lente","Baixa: suba o refletor ou aproxime-o do alvo"),IF(M24="Atenção","No limite da faixa: confira na câmera","")))&lt;&gt;"",IF(P24="Cor diferente","Iguale a cor à referência",IF(P24="IRC baixo","IRC baixo para rosto: use em contraluz ou fundo",IF(P24="Cor e IRC","Cor e IRC fora: passe para contraluz ou fundo","")))&lt;&gt;""),". ","")&amp;IF(P24="Cor diferente","Iguale a cor à referência",IF(P24="IRC baixo","IRC baixo para rosto: use em contraluz ou fundo",IF(P24="Cor e IRC","Cor e IRC fora: passe para contraluz ou fundo",""))))))</f>
        <v/>
      </c>
      <c r="R24" s="37"/>
      <c r="U24" s="11" t="n">
        <v>0.354119</v>
      </c>
    </row>
    <row r="25" customFormat="false" ht="27" hidden="false" customHeight="true" outlineLevel="0" collapsed="false">
      <c r="B25" s="19" t="n">
        <v>12</v>
      </c>
      <c r="C25" s="37"/>
      <c r="D25" s="37"/>
      <c r="E25" s="37"/>
      <c r="F25" s="41"/>
      <c r="G25" s="40"/>
      <c r="H25" s="40"/>
      <c r="I25" s="38"/>
      <c r="J25" s="38"/>
      <c r="K25" s="38"/>
      <c r="L25" s="21" t="str">
        <f aca="false">IF(OR(G25="",H25=""),"",IF(G25&lt;=0,90,IFERROR(MATCH(H25/G25,$U$5:$U$93,1),0)))</f>
        <v/>
      </c>
      <c r="M25" s="22" t="str">
        <f aca="false">IF(OR(F25="",L25=""),"",IF(F25="Principal",IF(L25&lt;25,"Baixa",IF(L25&lt;30,"Atenção",IF(L25&lt;=45,"OK",IF(L25&lt;=50,"Atenção","Íngreme")))),IF(F25="Preenchimento",IF(L25&lt;20,"Baixa",IF(L25&lt;25,"Atenção",IF(L25&lt;=45,"OK",IF(L25&lt;=50,"Atenção","Íngreme")))),IF(F25="Contraluz",IF(L25&lt;40,"Baixa",IF(L25&lt;45,"Atenção",IF(L25&lt;=60,"OK",IF(L25&lt;=70,"Atenção","Íngreme")))),"–"))))</f>
        <v/>
      </c>
      <c r="N25" s="23" t="str">
        <f aca="false">IF(H25="","",IF(OR(F25="Principal",F25="Preenchimento",F25="Contraluz"),ROUND(H25*IF(F25="Contraluz",0.577,1),1),""))</f>
        <v/>
      </c>
      <c r="O25" s="23" t="str">
        <f aca="false">IF(H25="","",IF(OR(F25="Principal",F25="Preenchimento",F25="Contraluz"),ROUND(H25*IF(F25="Principal",1.732,IF(F25="Preenchimento",2.145,1)),1),""))</f>
        <v/>
      </c>
      <c r="P25" s="22" t="str">
        <f aca="false">IF(F25="","",IF(OR(F25="Principal",F25="Preenchimento"),IF(AND(J25="",K25=""),"",IF(IF(J25="",FALSE(),ABS(J25-$K$4)&gt;$K$5),IF(IF(K25="",FALSE(),K25&lt;$K$6),"Cor e IRC","Cor diferente"),IF(IF(K25="",FALSE(),K25&lt;$K$6),"IRC baixo","OK"))),"–"))</f>
        <v/>
      </c>
      <c r="Q25" s="24" t="str">
        <f aca="false">IF(AND(M25="",P25=""),"",IF(AND(OR(M25="–",M25=""),OR(P25="–",P25="")),"Não avaliado: não é luz de rosto",IF(IF(M25="Íngreme","Íngreme: afaste o refletor do alvo ou baixe-o",IF(M25="Baixa",IF(F25="Contraluz","Baixa: suba a contraluz, para não entrar na lente","Baixa: suba o refletor ou aproxime-o do alvo"),IF(M25="Atenção","No limite da faixa: confira na câmera","")))&amp;IF(P25="Cor diferente","Iguale a cor à referência",IF(P25="IRC baixo","IRC baixo para rosto: use em contraluz ou fundo",IF(P25="Cor e IRC","Cor e IRC fora: passe para contraluz ou fundo","")))="","Manter",IF(M25="Íngreme","Íngreme: afaste o refletor do alvo ou baixe-o",IF(M25="Baixa",IF(F25="Contraluz","Baixa: suba a contraluz, para não entrar na lente","Baixa: suba o refletor ou aproxime-o do alvo"),IF(M25="Atenção","No limite da faixa: confira na câmera","")))&amp;IF(AND(IF(M25="Íngreme","Íngreme: afaste o refletor do alvo ou baixe-o",IF(M25="Baixa",IF(F25="Contraluz","Baixa: suba a contraluz, para não entrar na lente","Baixa: suba o refletor ou aproxime-o do alvo"),IF(M25="Atenção","No limite da faixa: confira na câmera","")))&lt;&gt;"",IF(P25="Cor diferente","Iguale a cor à referência",IF(P25="IRC baixo","IRC baixo para rosto: use em contraluz ou fundo",IF(P25="Cor e IRC","Cor e IRC fora: passe para contraluz ou fundo","")))&lt;&gt;""),". ","")&amp;IF(P25="Cor diferente","Iguale a cor à referência",IF(P25="IRC baixo","IRC baixo para rosto: use em contraluz ou fundo",IF(P25="Cor e IRC","Cor e IRC fora: passe para contraluz ou fundo",""))))))</f>
        <v/>
      </c>
      <c r="R25" s="37"/>
      <c r="U25" s="11" t="n">
        <v>0.373885</v>
      </c>
    </row>
    <row r="26" customFormat="false" ht="27" hidden="false" customHeight="true" outlineLevel="0" collapsed="false">
      <c r="B26" s="19" t="n">
        <v>13</v>
      </c>
      <c r="C26" s="37"/>
      <c r="D26" s="37"/>
      <c r="E26" s="37"/>
      <c r="F26" s="41"/>
      <c r="G26" s="40"/>
      <c r="H26" s="40"/>
      <c r="I26" s="38"/>
      <c r="J26" s="38"/>
      <c r="K26" s="38"/>
      <c r="L26" s="21" t="str">
        <f aca="false">IF(OR(G26="",H26=""),"",IF(G26&lt;=0,90,IFERROR(MATCH(H26/G26,$U$5:$U$93,1),0)))</f>
        <v/>
      </c>
      <c r="M26" s="22" t="str">
        <f aca="false">IF(OR(F26="",L26=""),"",IF(F26="Principal",IF(L26&lt;25,"Baixa",IF(L26&lt;30,"Atenção",IF(L26&lt;=45,"OK",IF(L26&lt;=50,"Atenção","Íngreme")))),IF(F26="Preenchimento",IF(L26&lt;20,"Baixa",IF(L26&lt;25,"Atenção",IF(L26&lt;=45,"OK",IF(L26&lt;=50,"Atenção","Íngreme")))),IF(F26="Contraluz",IF(L26&lt;40,"Baixa",IF(L26&lt;45,"Atenção",IF(L26&lt;=60,"OK",IF(L26&lt;=70,"Atenção","Íngreme")))),"–"))))</f>
        <v/>
      </c>
      <c r="N26" s="23" t="str">
        <f aca="false">IF(H26="","",IF(OR(F26="Principal",F26="Preenchimento",F26="Contraluz"),ROUND(H26*IF(F26="Contraluz",0.577,1),1),""))</f>
        <v/>
      </c>
      <c r="O26" s="23" t="str">
        <f aca="false">IF(H26="","",IF(OR(F26="Principal",F26="Preenchimento",F26="Contraluz"),ROUND(H26*IF(F26="Principal",1.732,IF(F26="Preenchimento",2.145,1)),1),""))</f>
        <v/>
      </c>
      <c r="P26" s="22" t="str">
        <f aca="false">IF(F26="","",IF(OR(F26="Principal",F26="Preenchimento"),IF(AND(J26="",K26=""),"",IF(IF(J26="",FALSE(),ABS(J26-$K$4)&gt;$K$5),IF(IF(K26="",FALSE(),K26&lt;$K$6),"Cor e IRC","Cor diferente"),IF(IF(K26="",FALSE(),K26&lt;$K$6),"IRC baixo","OK"))),"–"))</f>
        <v/>
      </c>
      <c r="Q26" s="24" t="str">
        <f aca="false">IF(AND(M26="",P26=""),"",IF(AND(OR(M26="–",M26=""),OR(P26="–",P26="")),"Não avaliado: não é luz de rosto",IF(IF(M26="Íngreme","Íngreme: afaste o refletor do alvo ou baixe-o",IF(M26="Baixa",IF(F26="Contraluz","Baixa: suba a contraluz, para não entrar na lente","Baixa: suba o refletor ou aproxime-o do alvo"),IF(M26="Atenção","No limite da faixa: confira na câmera","")))&amp;IF(P26="Cor diferente","Iguale a cor à referência",IF(P26="IRC baixo","IRC baixo para rosto: use em contraluz ou fundo",IF(P26="Cor e IRC","Cor e IRC fora: passe para contraluz ou fundo","")))="","Manter",IF(M26="Íngreme","Íngreme: afaste o refletor do alvo ou baixe-o",IF(M26="Baixa",IF(F26="Contraluz","Baixa: suba a contraluz, para não entrar na lente","Baixa: suba o refletor ou aproxime-o do alvo"),IF(M26="Atenção","No limite da faixa: confira na câmera","")))&amp;IF(AND(IF(M26="Íngreme","Íngreme: afaste o refletor do alvo ou baixe-o",IF(M26="Baixa",IF(F26="Contraluz","Baixa: suba a contraluz, para não entrar na lente","Baixa: suba o refletor ou aproxime-o do alvo"),IF(M26="Atenção","No limite da faixa: confira na câmera","")))&lt;&gt;"",IF(P26="Cor diferente","Iguale a cor à referência",IF(P26="IRC baixo","IRC baixo para rosto: use em contraluz ou fundo",IF(P26="Cor e IRC","Cor e IRC fora: passe para contraluz ou fundo","")))&lt;&gt;""),". ","")&amp;IF(P26="Cor diferente","Iguale a cor à referência",IF(P26="IRC baixo","IRC baixo para rosto: use em contraluz ou fundo",IF(P26="Cor e IRC","Cor e IRC fora: passe para contraluz ou fundo",""))))))</f>
        <v/>
      </c>
      <c r="R26" s="37"/>
      <c r="U26" s="11" t="n">
        <v>0.39391</v>
      </c>
    </row>
    <row r="27" customFormat="false" ht="27" hidden="false" customHeight="true" outlineLevel="0" collapsed="false">
      <c r="B27" s="19" t="n">
        <v>14</v>
      </c>
      <c r="C27" s="37"/>
      <c r="D27" s="37"/>
      <c r="E27" s="37"/>
      <c r="F27" s="41"/>
      <c r="G27" s="40"/>
      <c r="H27" s="40"/>
      <c r="I27" s="38"/>
      <c r="J27" s="38"/>
      <c r="K27" s="38"/>
      <c r="L27" s="21" t="str">
        <f aca="false">IF(OR(G27="",H27=""),"",IF(G27&lt;=0,90,IFERROR(MATCH(H27/G27,$U$5:$U$93,1),0)))</f>
        <v/>
      </c>
      <c r="M27" s="22" t="str">
        <f aca="false">IF(OR(F27="",L27=""),"",IF(F27="Principal",IF(L27&lt;25,"Baixa",IF(L27&lt;30,"Atenção",IF(L27&lt;=45,"OK",IF(L27&lt;=50,"Atenção","Íngreme")))),IF(F27="Preenchimento",IF(L27&lt;20,"Baixa",IF(L27&lt;25,"Atenção",IF(L27&lt;=45,"OK",IF(L27&lt;=50,"Atenção","Íngreme")))),IF(F27="Contraluz",IF(L27&lt;40,"Baixa",IF(L27&lt;45,"Atenção",IF(L27&lt;=60,"OK",IF(L27&lt;=70,"Atenção","Íngreme")))),"–"))))</f>
        <v/>
      </c>
      <c r="N27" s="23" t="str">
        <f aca="false">IF(H27="","",IF(OR(F27="Principal",F27="Preenchimento",F27="Contraluz"),ROUND(H27*IF(F27="Contraluz",0.577,1),1),""))</f>
        <v/>
      </c>
      <c r="O27" s="23" t="str">
        <f aca="false">IF(H27="","",IF(OR(F27="Principal",F27="Preenchimento",F27="Contraluz"),ROUND(H27*IF(F27="Principal",1.732,IF(F27="Preenchimento",2.145,1)),1),""))</f>
        <v/>
      </c>
      <c r="P27" s="22" t="str">
        <f aca="false">IF(F27="","",IF(OR(F27="Principal",F27="Preenchimento"),IF(AND(J27="",K27=""),"",IF(IF(J27="",FALSE(),ABS(J27-$K$4)&gt;$K$5),IF(IF(K27="",FALSE(),K27&lt;$K$6),"Cor e IRC","Cor diferente"),IF(IF(K27="",FALSE(),K27&lt;$K$6),"IRC baixo","OK"))),"–"))</f>
        <v/>
      </c>
      <c r="Q27" s="24" t="str">
        <f aca="false">IF(AND(M27="",P27=""),"",IF(AND(OR(M27="–",M27=""),OR(P27="–",P27="")),"Não avaliado: não é luz de rosto",IF(IF(M27="Íngreme","Íngreme: afaste o refletor do alvo ou baixe-o",IF(M27="Baixa",IF(F27="Contraluz","Baixa: suba a contraluz, para não entrar na lente","Baixa: suba o refletor ou aproxime-o do alvo"),IF(M27="Atenção","No limite da faixa: confira na câmera","")))&amp;IF(P27="Cor diferente","Iguale a cor à referência",IF(P27="IRC baixo","IRC baixo para rosto: use em contraluz ou fundo",IF(P27="Cor e IRC","Cor e IRC fora: passe para contraluz ou fundo","")))="","Manter",IF(M27="Íngreme","Íngreme: afaste o refletor do alvo ou baixe-o",IF(M27="Baixa",IF(F27="Contraluz","Baixa: suba a contraluz, para não entrar na lente","Baixa: suba o refletor ou aproxime-o do alvo"),IF(M27="Atenção","No limite da faixa: confira na câmera","")))&amp;IF(AND(IF(M27="Íngreme","Íngreme: afaste o refletor do alvo ou baixe-o",IF(M27="Baixa",IF(F27="Contraluz","Baixa: suba a contraluz, para não entrar na lente","Baixa: suba o refletor ou aproxime-o do alvo"),IF(M27="Atenção","No limite da faixa: confira na câmera","")))&lt;&gt;"",IF(P27="Cor diferente","Iguale a cor à referência",IF(P27="IRC baixo","IRC baixo para rosto: use em contraluz ou fundo",IF(P27="Cor e IRC","Cor e IRC fora: passe para contraluz ou fundo","")))&lt;&gt;""),". ","")&amp;IF(P27="Cor diferente","Iguale a cor à referência",IF(P27="IRC baixo","IRC baixo para rosto: use em contraluz ou fundo",IF(P27="Cor e IRC","Cor e IRC fora: passe para contraluz ou fundo",""))))))</f>
        <v/>
      </c>
      <c r="R27" s="37"/>
      <c r="U27" s="11" t="n">
        <v>0.414214</v>
      </c>
    </row>
    <row r="28" customFormat="false" ht="27" hidden="false" customHeight="true" outlineLevel="0" collapsed="false">
      <c r="B28" s="19" t="n">
        <v>15</v>
      </c>
      <c r="C28" s="37"/>
      <c r="D28" s="37"/>
      <c r="E28" s="37"/>
      <c r="F28" s="41"/>
      <c r="G28" s="40"/>
      <c r="H28" s="40"/>
      <c r="I28" s="38"/>
      <c r="J28" s="38"/>
      <c r="K28" s="38"/>
      <c r="L28" s="21" t="str">
        <f aca="false">IF(OR(G28="",H28=""),"",IF(G28&lt;=0,90,IFERROR(MATCH(H28/G28,$U$5:$U$93,1),0)))</f>
        <v/>
      </c>
      <c r="M28" s="22" t="str">
        <f aca="false">IF(OR(F28="",L28=""),"",IF(F28="Principal",IF(L28&lt;25,"Baixa",IF(L28&lt;30,"Atenção",IF(L28&lt;=45,"OK",IF(L28&lt;=50,"Atenção","Íngreme")))),IF(F28="Preenchimento",IF(L28&lt;20,"Baixa",IF(L28&lt;25,"Atenção",IF(L28&lt;=45,"OK",IF(L28&lt;=50,"Atenção","Íngreme")))),IF(F28="Contraluz",IF(L28&lt;40,"Baixa",IF(L28&lt;45,"Atenção",IF(L28&lt;=60,"OK",IF(L28&lt;=70,"Atenção","Íngreme")))),"–"))))</f>
        <v/>
      </c>
      <c r="N28" s="23" t="str">
        <f aca="false">IF(H28="","",IF(OR(F28="Principal",F28="Preenchimento",F28="Contraluz"),ROUND(H28*IF(F28="Contraluz",0.577,1),1),""))</f>
        <v/>
      </c>
      <c r="O28" s="23" t="str">
        <f aca="false">IF(H28="","",IF(OR(F28="Principal",F28="Preenchimento",F28="Contraluz"),ROUND(H28*IF(F28="Principal",1.732,IF(F28="Preenchimento",2.145,1)),1),""))</f>
        <v/>
      </c>
      <c r="P28" s="22" t="str">
        <f aca="false">IF(F28="","",IF(OR(F28="Principal",F28="Preenchimento"),IF(AND(J28="",K28=""),"",IF(IF(J28="",FALSE(),ABS(J28-$K$4)&gt;$K$5),IF(IF(K28="",FALSE(),K28&lt;$K$6),"Cor e IRC","Cor diferente"),IF(IF(K28="",FALSE(),K28&lt;$K$6),"IRC baixo","OK"))),"–"))</f>
        <v/>
      </c>
      <c r="Q28" s="24" t="str">
        <f aca="false">IF(AND(M28="",P28=""),"",IF(AND(OR(M28="–",M28=""),OR(P28="–",P28="")),"Não avaliado: não é luz de rosto",IF(IF(M28="Íngreme","Íngreme: afaste o refletor do alvo ou baixe-o",IF(M28="Baixa",IF(F28="Contraluz","Baixa: suba a contraluz, para não entrar na lente","Baixa: suba o refletor ou aproxime-o do alvo"),IF(M28="Atenção","No limite da faixa: confira na câmera","")))&amp;IF(P28="Cor diferente","Iguale a cor à referência",IF(P28="IRC baixo","IRC baixo para rosto: use em contraluz ou fundo",IF(P28="Cor e IRC","Cor e IRC fora: passe para contraluz ou fundo","")))="","Manter",IF(M28="Íngreme","Íngreme: afaste o refletor do alvo ou baixe-o",IF(M28="Baixa",IF(F28="Contraluz","Baixa: suba a contraluz, para não entrar na lente","Baixa: suba o refletor ou aproxime-o do alvo"),IF(M28="Atenção","No limite da faixa: confira na câmera","")))&amp;IF(AND(IF(M28="Íngreme","Íngreme: afaste o refletor do alvo ou baixe-o",IF(M28="Baixa",IF(F28="Contraluz","Baixa: suba a contraluz, para não entrar na lente","Baixa: suba o refletor ou aproxime-o do alvo"),IF(M28="Atenção","No limite da faixa: confira na câmera","")))&lt;&gt;"",IF(P28="Cor diferente","Iguale a cor à referência",IF(P28="IRC baixo","IRC baixo para rosto: use em contraluz ou fundo",IF(P28="Cor e IRC","Cor e IRC fora: passe para contraluz ou fundo","")))&lt;&gt;""),". ","")&amp;IF(P28="Cor diferente","Iguale a cor à referência",IF(P28="IRC baixo","IRC baixo para rosto: use em contraluz ou fundo",IF(P28="Cor e IRC","Cor e IRC fora: passe para contraluz ou fundo",""))))))</f>
        <v/>
      </c>
      <c r="R28" s="37"/>
      <c r="U28" s="11" t="n">
        <v>0.434812</v>
      </c>
    </row>
    <row r="29" customFormat="false" ht="27" hidden="false" customHeight="true" outlineLevel="0" collapsed="false">
      <c r="B29" s="19" t="n">
        <v>16</v>
      </c>
      <c r="C29" s="37"/>
      <c r="D29" s="37"/>
      <c r="E29" s="37"/>
      <c r="F29" s="41"/>
      <c r="G29" s="40"/>
      <c r="H29" s="40"/>
      <c r="I29" s="38"/>
      <c r="J29" s="38"/>
      <c r="K29" s="38"/>
      <c r="L29" s="21" t="str">
        <f aca="false">IF(OR(G29="",H29=""),"",IF(G29&lt;=0,90,IFERROR(MATCH(H29/G29,$U$5:$U$93,1),0)))</f>
        <v/>
      </c>
      <c r="M29" s="22" t="str">
        <f aca="false">IF(OR(F29="",L29=""),"",IF(F29="Principal",IF(L29&lt;25,"Baixa",IF(L29&lt;30,"Atenção",IF(L29&lt;=45,"OK",IF(L29&lt;=50,"Atenção","Íngreme")))),IF(F29="Preenchimento",IF(L29&lt;20,"Baixa",IF(L29&lt;25,"Atenção",IF(L29&lt;=45,"OK",IF(L29&lt;=50,"Atenção","Íngreme")))),IF(F29="Contraluz",IF(L29&lt;40,"Baixa",IF(L29&lt;45,"Atenção",IF(L29&lt;=60,"OK",IF(L29&lt;=70,"Atenção","Íngreme")))),"–"))))</f>
        <v/>
      </c>
      <c r="N29" s="23" t="str">
        <f aca="false">IF(H29="","",IF(OR(F29="Principal",F29="Preenchimento",F29="Contraluz"),ROUND(H29*IF(F29="Contraluz",0.577,1),1),""))</f>
        <v/>
      </c>
      <c r="O29" s="23" t="str">
        <f aca="false">IF(H29="","",IF(OR(F29="Principal",F29="Preenchimento",F29="Contraluz"),ROUND(H29*IF(F29="Principal",1.732,IF(F29="Preenchimento",2.145,1)),1),""))</f>
        <v/>
      </c>
      <c r="P29" s="22" t="str">
        <f aca="false">IF(F29="","",IF(OR(F29="Principal",F29="Preenchimento"),IF(AND(J29="",K29=""),"",IF(IF(J29="",FALSE(),ABS(J29-$K$4)&gt;$K$5),IF(IF(K29="",FALSE(),K29&lt;$K$6),"Cor e IRC","Cor diferente"),IF(IF(K29="",FALSE(),K29&lt;$K$6),"IRC baixo","OK"))),"–"))</f>
        <v/>
      </c>
      <c r="Q29" s="24" t="str">
        <f aca="false">IF(AND(M29="",P29=""),"",IF(AND(OR(M29="–",M29=""),OR(P29="–",P29="")),"Não avaliado: não é luz de rosto",IF(IF(M29="Íngreme","Íngreme: afaste o refletor do alvo ou baixe-o",IF(M29="Baixa",IF(F29="Contraluz","Baixa: suba a contraluz, para não entrar na lente","Baixa: suba o refletor ou aproxime-o do alvo"),IF(M29="Atenção","No limite da faixa: confira na câmera","")))&amp;IF(P29="Cor diferente","Iguale a cor à referência",IF(P29="IRC baixo","IRC baixo para rosto: use em contraluz ou fundo",IF(P29="Cor e IRC","Cor e IRC fora: passe para contraluz ou fundo","")))="","Manter",IF(M29="Íngreme","Íngreme: afaste o refletor do alvo ou baixe-o",IF(M29="Baixa",IF(F29="Contraluz","Baixa: suba a contraluz, para não entrar na lente","Baixa: suba o refletor ou aproxime-o do alvo"),IF(M29="Atenção","No limite da faixa: confira na câmera","")))&amp;IF(AND(IF(M29="Íngreme","Íngreme: afaste o refletor do alvo ou baixe-o",IF(M29="Baixa",IF(F29="Contraluz","Baixa: suba a contraluz, para não entrar na lente","Baixa: suba o refletor ou aproxime-o do alvo"),IF(M29="Atenção","No limite da faixa: confira na câmera","")))&lt;&gt;"",IF(P29="Cor diferente","Iguale a cor à referência",IF(P29="IRC baixo","IRC baixo para rosto: use em contraluz ou fundo",IF(P29="Cor e IRC","Cor e IRC fora: passe para contraluz ou fundo","")))&lt;&gt;""),". ","")&amp;IF(P29="Cor diferente","Iguale a cor à referência",IF(P29="IRC baixo","IRC baixo para rosto: use em contraluz ou fundo",IF(P29="Cor e IRC","Cor e IRC fora: passe para contraluz ou fundo",""))))))</f>
        <v/>
      </c>
      <c r="R29" s="37"/>
      <c r="U29" s="11" t="n">
        <v>0.455726</v>
      </c>
    </row>
    <row r="30" customFormat="false" ht="27" hidden="false" customHeight="true" outlineLevel="0" collapsed="false">
      <c r="B30" s="19" t="n">
        <v>17</v>
      </c>
      <c r="C30" s="37"/>
      <c r="D30" s="37"/>
      <c r="E30" s="37"/>
      <c r="F30" s="41"/>
      <c r="G30" s="40"/>
      <c r="H30" s="40"/>
      <c r="I30" s="38"/>
      <c r="J30" s="38"/>
      <c r="K30" s="38"/>
      <c r="L30" s="21" t="str">
        <f aca="false">IF(OR(G30="",H30=""),"",IF(G30&lt;=0,90,IFERROR(MATCH(H30/G30,$U$5:$U$93,1),0)))</f>
        <v/>
      </c>
      <c r="M30" s="22" t="str">
        <f aca="false">IF(OR(F30="",L30=""),"",IF(F30="Principal",IF(L30&lt;25,"Baixa",IF(L30&lt;30,"Atenção",IF(L30&lt;=45,"OK",IF(L30&lt;=50,"Atenção","Íngreme")))),IF(F30="Preenchimento",IF(L30&lt;20,"Baixa",IF(L30&lt;25,"Atenção",IF(L30&lt;=45,"OK",IF(L30&lt;=50,"Atenção","Íngreme")))),IF(F30="Contraluz",IF(L30&lt;40,"Baixa",IF(L30&lt;45,"Atenção",IF(L30&lt;=60,"OK",IF(L30&lt;=70,"Atenção","Íngreme")))),"–"))))</f>
        <v/>
      </c>
      <c r="N30" s="23" t="str">
        <f aca="false">IF(H30="","",IF(OR(F30="Principal",F30="Preenchimento",F30="Contraluz"),ROUND(H30*IF(F30="Contraluz",0.577,1),1),""))</f>
        <v/>
      </c>
      <c r="O30" s="23" t="str">
        <f aca="false">IF(H30="","",IF(OR(F30="Principal",F30="Preenchimento",F30="Contraluz"),ROUND(H30*IF(F30="Principal",1.732,IF(F30="Preenchimento",2.145,1)),1),""))</f>
        <v/>
      </c>
      <c r="P30" s="22" t="str">
        <f aca="false">IF(F30="","",IF(OR(F30="Principal",F30="Preenchimento"),IF(AND(J30="",K30=""),"",IF(IF(J30="",FALSE(),ABS(J30-$K$4)&gt;$K$5),IF(IF(K30="",FALSE(),K30&lt;$K$6),"Cor e IRC","Cor diferente"),IF(IF(K30="",FALSE(),K30&lt;$K$6),"IRC baixo","OK"))),"–"))</f>
        <v/>
      </c>
      <c r="Q30" s="24" t="str">
        <f aca="false">IF(AND(M30="",P30=""),"",IF(AND(OR(M30="–",M30=""),OR(P30="–",P30="")),"Não avaliado: não é luz de rosto",IF(IF(M30="Íngreme","Íngreme: afaste o refletor do alvo ou baixe-o",IF(M30="Baixa",IF(F30="Contraluz","Baixa: suba a contraluz, para não entrar na lente","Baixa: suba o refletor ou aproxime-o do alvo"),IF(M30="Atenção","No limite da faixa: confira na câmera","")))&amp;IF(P30="Cor diferente","Iguale a cor à referência",IF(P30="IRC baixo","IRC baixo para rosto: use em contraluz ou fundo",IF(P30="Cor e IRC","Cor e IRC fora: passe para contraluz ou fundo","")))="","Manter",IF(M30="Íngreme","Íngreme: afaste o refletor do alvo ou baixe-o",IF(M30="Baixa",IF(F30="Contraluz","Baixa: suba a contraluz, para não entrar na lente","Baixa: suba o refletor ou aproxime-o do alvo"),IF(M30="Atenção","No limite da faixa: confira na câmera","")))&amp;IF(AND(IF(M30="Íngreme","Íngreme: afaste o refletor do alvo ou baixe-o",IF(M30="Baixa",IF(F30="Contraluz","Baixa: suba a contraluz, para não entrar na lente","Baixa: suba o refletor ou aproxime-o do alvo"),IF(M30="Atenção","No limite da faixa: confira na câmera","")))&lt;&gt;"",IF(P30="Cor diferente","Iguale a cor à referência",IF(P30="IRC baixo","IRC baixo para rosto: use em contraluz ou fundo",IF(P30="Cor e IRC","Cor e IRC fora: passe para contraluz ou fundo","")))&lt;&gt;""),". ","")&amp;IF(P30="Cor diferente","Iguale a cor à referência",IF(P30="IRC baixo","IRC baixo para rosto: use em contraluz ou fundo",IF(P30="Cor e IRC","Cor e IRC fora: passe para contraluz ou fundo",""))))))</f>
        <v/>
      </c>
      <c r="R30" s="37"/>
      <c r="U30" s="11" t="n">
        <v>0.476976</v>
      </c>
    </row>
    <row r="31" customFormat="false" ht="27" hidden="false" customHeight="true" outlineLevel="0" collapsed="false">
      <c r="B31" s="19" t="n">
        <v>18</v>
      </c>
      <c r="C31" s="37"/>
      <c r="D31" s="37"/>
      <c r="E31" s="37"/>
      <c r="F31" s="41"/>
      <c r="G31" s="40"/>
      <c r="H31" s="40"/>
      <c r="I31" s="38"/>
      <c r="J31" s="38"/>
      <c r="K31" s="38"/>
      <c r="L31" s="21" t="str">
        <f aca="false">IF(OR(G31="",H31=""),"",IF(G31&lt;=0,90,IFERROR(MATCH(H31/G31,$U$5:$U$93,1),0)))</f>
        <v/>
      </c>
      <c r="M31" s="22" t="str">
        <f aca="false">IF(OR(F31="",L31=""),"",IF(F31="Principal",IF(L31&lt;25,"Baixa",IF(L31&lt;30,"Atenção",IF(L31&lt;=45,"OK",IF(L31&lt;=50,"Atenção","Íngreme")))),IF(F31="Preenchimento",IF(L31&lt;20,"Baixa",IF(L31&lt;25,"Atenção",IF(L31&lt;=45,"OK",IF(L31&lt;=50,"Atenção","Íngreme")))),IF(F31="Contraluz",IF(L31&lt;40,"Baixa",IF(L31&lt;45,"Atenção",IF(L31&lt;=60,"OK",IF(L31&lt;=70,"Atenção","Íngreme")))),"–"))))</f>
        <v/>
      </c>
      <c r="N31" s="23" t="str">
        <f aca="false">IF(H31="","",IF(OR(F31="Principal",F31="Preenchimento",F31="Contraluz"),ROUND(H31*IF(F31="Contraluz",0.577,1),1),""))</f>
        <v/>
      </c>
      <c r="O31" s="23" t="str">
        <f aca="false">IF(H31="","",IF(OR(F31="Principal",F31="Preenchimento",F31="Contraluz"),ROUND(H31*IF(F31="Principal",1.732,IF(F31="Preenchimento",2.145,1)),1),""))</f>
        <v/>
      </c>
      <c r="P31" s="22" t="str">
        <f aca="false">IF(F31="","",IF(OR(F31="Principal",F31="Preenchimento"),IF(AND(J31="",K31=""),"",IF(IF(J31="",FALSE(),ABS(J31-$K$4)&gt;$K$5),IF(IF(K31="",FALSE(),K31&lt;$K$6),"Cor e IRC","Cor diferente"),IF(IF(K31="",FALSE(),K31&lt;$K$6),"IRC baixo","OK"))),"–"))</f>
        <v/>
      </c>
      <c r="Q31" s="24" t="str">
        <f aca="false">IF(AND(M31="",P31=""),"",IF(AND(OR(M31="–",M31=""),OR(P31="–",P31="")),"Não avaliado: não é luz de rosto",IF(IF(M31="Íngreme","Íngreme: afaste o refletor do alvo ou baixe-o",IF(M31="Baixa",IF(F31="Contraluz","Baixa: suba a contraluz, para não entrar na lente","Baixa: suba o refletor ou aproxime-o do alvo"),IF(M31="Atenção","No limite da faixa: confira na câmera","")))&amp;IF(P31="Cor diferente","Iguale a cor à referência",IF(P31="IRC baixo","IRC baixo para rosto: use em contraluz ou fundo",IF(P31="Cor e IRC","Cor e IRC fora: passe para contraluz ou fundo","")))="","Manter",IF(M31="Íngreme","Íngreme: afaste o refletor do alvo ou baixe-o",IF(M31="Baixa",IF(F31="Contraluz","Baixa: suba a contraluz, para não entrar na lente","Baixa: suba o refletor ou aproxime-o do alvo"),IF(M31="Atenção","No limite da faixa: confira na câmera","")))&amp;IF(AND(IF(M31="Íngreme","Íngreme: afaste o refletor do alvo ou baixe-o",IF(M31="Baixa",IF(F31="Contraluz","Baixa: suba a contraluz, para não entrar na lente","Baixa: suba o refletor ou aproxime-o do alvo"),IF(M31="Atenção","No limite da faixa: confira na câmera","")))&lt;&gt;"",IF(P31="Cor diferente","Iguale a cor à referência",IF(P31="IRC baixo","IRC baixo para rosto: use em contraluz ou fundo",IF(P31="Cor e IRC","Cor e IRC fora: passe para contraluz ou fundo","")))&lt;&gt;""),". ","")&amp;IF(P31="Cor diferente","Iguale a cor à referência",IF(P31="IRC baixo","IRC baixo para rosto: use em contraluz ou fundo",IF(P31="Cor e IRC","Cor e IRC fora: passe para contraluz ou fundo",""))))))</f>
        <v/>
      </c>
      <c r="R31" s="37"/>
      <c r="U31" s="11" t="n">
        <v>0.498582</v>
      </c>
    </row>
    <row r="32" customFormat="false" ht="27" hidden="false" customHeight="true" outlineLevel="0" collapsed="false">
      <c r="B32" s="19" t="n">
        <v>19</v>
      </c>
      <c r="C32" s="37"/>
      <c r="D32" s="37"/>
      <c r="E32" s="37"/>
      <c r="F32" s="41"/>
      <c r="G32" s="40"/>
      <c r="H32" s="40"/>
      <c r="I32" s="38"/>
      <c r="J32" s="38"/>
      <c r="K32" s="38"/>
      <c r="L32" s="21" t="str">
        <f aca="false">IF(OR(G32="",H32=""),"",IF(G32&lt;=0,90,IFERROR(MATCH(H32/G32,$U$5:$U$93,1),0)))</f>
        <v/>
      </c>
      <c r="M32" s="22" t="str">
        <f aca="false">IF(OR(F32="",L32=""),"",IF(F32="Principal",IF(L32&lt;25,"Baixa",IF(L32&lt;30,"Atenção",IF(L32&lt;=45,"OK",IF(L32&lt;=50,"Atenção","Íngreme")))),IF(F32="Preenchimento",IF(L32&lt;20,"Baixa",IF(L32&lt;25,"Atenção",IF(L32&lt;=45,"OK",IF(L32&lt;=50,"Atenção","Íngreme")))),IF(F32="Contraluz",IF(L32&lt;40,"Baixa",IF(L32&lt;45,"Atenção",IF(L32&lt;=60,"OK",IF(L32&lt;=70,"Atenção","Íngreme")))),"–"))))</f>
        <v/>
      </c>
      <c r="N32" s="23" t="str">
        <f aca="false">IF(H32="","",IF(OR(F32="Principal",F32="Preenchimento",F32="Contraluz"),ROUND(H32*IF(F32="Contraluz",0.577,1),1),""))</f>
        <v/>
      </c>
      <c r="O32" s="23" t="str">
        <f aca="false">IF(H32="","",IF(OR(F32="Principal",F32="Preenchimento",F32="Contraluz"),ROUND(H32*IF(F32="Principal",1.732,IF(F32="Preenchimento",2.145,1)),1),""))</f>
        <v/>
      </c>
      <c r="P32" s="22" t="str">
        <f aca="false">IF(F32="","",IF(OR(F32="Principal",F32="Preenchimento"),IF(AND(J32="",K32=""),"",IF(IF(J32="",FALSE(),ABS(J32-$K$4)&gt;$K$5),IF(IF(K32="",FALSE(),K32&lt;$K$6),"Cor e IRC","Cor diferente"),IF(IF(K32="",FALSE(),K32&lt;$K$6),"IRC baixo","OK"))),"–"))</f>
        <v/>
      </c>
      <c r="Q32" s="24" t="str">
        <f aca="false">IF(AND(M32="",P32=""),"",IF(AND(OR(M32="–",M32=""),OR(P32="–",P32="")),"Não avaliado: não é luz de rosto",IF(IF(M32="Íngreme","Íngreme: afaste o refletor do alvo ou baixe-o",IF(M32="Baixa",IF(F32="Contraluz","Baixa: suba a contraluz, para não entrar na lente","Baixa: suba o refletor ou aproxime-o do alvo"),IF(M32="Atenção","No limite da faixa: confira na câmera","")))&amp;IF(P32="Cor diferente","Iguale a cor à referência",IF(P32="IRC baixo","IRC baixo para rosto: use em contraluz ou fundo",IF(P32="Cor e IRC","Cor e IRC fora: passe para contraluz ou fundo","")))="","Manter",IF(M32="Íngreme","Íngreme: afaste o refletor do alvo ou baixe-o",IF(M32="Baixa",IF(F32="Contraluz","Baixa: suba a contraluz, para não entrar na lente","Baixa: suba o refletor ou aproxime-o do alvo"),IF(M32="Atenção","No limite da faixa: confira na câmera","")))&amp;IF(AND(IF(M32="Íngreme","Íngreme: afaste o refletor do alvo ou baixe-o",IF(M32="Baixa",IF(F32="Contraluz","Baixa: suba a contraluz, para não entrar na lente","Baixa: suba o refletor ou aproxime-o do alvo"),IF(M32="Atenção","No limite da faixa: confira na câmera","")))&lt;&gt;"",IF(P32="Cor diferente","Iguale a cor à referência",IF(P32="IRC baixo","IRC baixo para rosto: use em contraluz ou fundo",IF(P32="Cor e IRC","Cor e IRC fora: passe para contraluz ou fundo","")))&lt;&gt;""),". ","")&amp;IF(P32="Cor diferente","Iguale a cor à referência",IF(P32="IRC baixo","IRC baixo para rosto: use em contraluz ou fundo",IF(P32="Cor e IRC","Cor e IRC fora: passe para contraluz ou fundo",""))))))</f>
        <v/>
      </c>
      <c r="R32" s="37"/>
      <c r="U32" s="11" t="n">
        <v>0.520567</v>
      </c>
    </row>
    <row r="33" customFormat="false" ht="27" hidden="false" customHeight="true" outlineLevel="0" collapsed="false">
      <c r="B33" s="19" t="n">
        <v>20</v>
      </c>
      <c r="C33" s="37"/>
      <c r="D33" s="37"/>
      <c r="E33" s="37"/>
      <c r="F33" s="41"/>
      <c r="G33" s="40"/>
      <c r="H33" s="40"/>
      <c r="I33" s="38"/>
      <c r="J33" s="38"/>
      <c r="K33" s="38"/>
      <c r="L33" s="21" t="str">
        <f aca="false">IF(OR(G33="",H33=""),"",IF(G33&lt;=0,90,IFERROR(MATCH(H33/G33,$U$5:$U$93,1),0)))</f>
        <v/>
      </c>
      <c r="M33" s="22" t="str">
        <f aca="false">IF(OR(F33="",L33=""),"",IF(F33="Principal",IF(L33&lt;25,"Baixa",IF(L33&lt;30,"Atenção",IF(L33&lt;=45,"OK",IF(L33&lt;=50,"Atenção","Íngreme")))),IF(F33="Preenchimento",IF(L33&lt;20,"Baixa",IF(L33&lt;25,"Atenção",IF(L33&lt;=45,"OK",IF(L33&lt;=50,"Atenção","Íngreme")))),IF(F33="Contraluz",IF(L33&lt;40,"Baixa",IF(L33&lt;45,"Atenção",IF(L33&lt;=60,"OK",IF(L33&lt;=70,"Atenção","Íngreme")))),"–"))))</f>
        <v/>
      </c>
      <c r="N33" s="23" t="str">
        <f aca="false">IF(H33="","",IF(OR(F33="Principal",F33="Preenchimento",F33="Contraluz"),ROUND(H33*IF(F33="Contraluz",0.577,1),1),""))</f>
        <v/>
      </c>
      <c r="O33" s="23" t="str">
        <f aca="false">IF(H33="","",IF(OR(F33="Principal",F33="Preenchimento",F33="Contraluz"),ROUND(H33*IF(F33="Principal",1.732,IF(F33="Preenchimento",2.145,1)),1),""))</f>
        <v/>
      </c>
      <c r="P33" s="22" t="str">
        <f aca="false">IF(F33="","",IF(OR(F33="Principal",F33="Preenchimento"),IF(AND(J33="",K33=""),"",IF(IF(J33="",FALSE(),ABS(J33-$K$4)&gt;$K$5),IF(IF(K33="",FALSE(),K33&lt;$K$6),"Cor e IRC","Cor diferente"),IF(IF(K33="",FALSE(),K33&lt;$K$6),"IRC baixo","OK"))),"–"))</f>
        <v/>
      </c>
      <c r="Q33" s="24" t="str">
        <f aca="false">IF(AND(M33="",P33=""),"",IF(AND(OR(M33="–",M33=""),OR(P33="–",P33="")),"Não avaliado: não é luz de rosto",IF(IF(M33="Íngreme","Íngreme: afaste o refletor do alvo ou baixe-o",IF(M33="Baixa",IF(F33="Contraluz","Baixa: suba a contraluz, para não entrar na lente","Baixa: suba o refletor ou aproxime-o do alvo"),IF(M33="Atenção","No limite da faixa: confira na câmera","")))&amp;IF(P33="Cor diferente","Iguale a cor à referência",IF(P33="IRC baixo","IRC baixo para rosto: use em contraluz ou fundo",IF(P33="Cor e IRC","Cor e IRC fora: passe para contraluz ou fundo","")))="","Manter",IF(M33="Íngreme","Íngreme: afaste o refletor do alvo ou baixe-o",IF(M33="Baixa",IF(F33="Contraluz","Baixa: suba a contraluz, para não entrar na lente","Baixa: suba o refletor ou aproxime-o do alvo"),IF(M33="Atenção","No limite da faixa: confira na câmera","")))&amp;IF(AND(IF(M33="Íngreme","Íngreme: afaste o refletor do alvo ou baixe-o",IF(M33="Baixa",IF(F33="Contraluz","Baixa: suba a contraluz, para não entrar na lente","Baixa: suba o refletor ou aproxime-o do alvo"),IF(M33="Atenção","No limite da faixa: confira na câmera","")))&lt;&gt;"",IF(P33="Cor diferente","Iguale a cor à referência",IF(P33="IRC baixo","IRC baixo para rosto: use em contraluz ou fundo",IF(P33="Cor e IRC","Cor e IRC fora: passe para contraluz ou fundo","")))&lt;&gt;""),". ","")&amp;IF(P33="Cor diferente","Iguale a cor à referência",IF(P33="IRC baixo","IRC baixo para rosto: use em contraluz ou fundo",IF(P33="Cor e IRC","Cor e IRC fora: passe para contraluz ou fundo",""))))))</f>
        <v/>
      </c>
      <c r="R33" s="37"/>
      <c r="U33" s="11" t="n">
        <v>0.542956</v>
      </c>
    </row>
    <row r="34" customFormat="false" ht="15" hidden="false" customHeight="false" outlineLevel="0" collapsed="false">
      <c r="U34" s="11" t="n">
        <v>0.565773</v>
      </c>
    </row>
    <row r="35" customFormat="false" ht="21.75" hidden="false" customHeight="true" outlineLevel="0" collapsed="false">
      <c r="B35" s="14" t="s">
        <v>110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U35" s="11" t="n">
        <v>0.589045</v>
      </c>
    </row>
    <row r="36" customFormat="false" ht="30" hidden="false" customHeight="true" outlineLevel="0" collapsed="false">
      <c r="B36" s="15" t="s">
        <v>76</v>
      </c>
      <c r="C36" s="15" t="s">
        <v>79</v>
      </c>
      <c r="D36" s="16" t="s">
        <v>111</v>
      </c>
      <c r="E36" s="25" t="s">
        <v>112</v>
      </c>
      <c r="F36" s="15" t="s">
        <v>52</v>
      </c>
      <c r="G36" s="17" t="s">
        <v>113</v>
      </c>
      <c r="H36" s="17" t="s">
        <v>114</v>
      </c>
      <c r="I36" s="17" t="s">
        <v>115</v>
      </c>
      <c r="J36" s="17" t="s">
        <v>116</v>
      </c>
      <c r="K36" s="17" t="s">
        <v>89</v>
      </c>
      <c r="L36" s="17"/>
      <c r="M36" s="17"/>
      <c r="N36" s="17"/>
      <c r="O36" s="17"/>
      <c r="P36" s="17"/>
      <c r="Q36" s="17"/>
      <c r="R36" s="15" t="s">
        <v>90</v>
      </c>
      <c r="U36" s="11" t="n">
        <v>0.612801</v>
      </c>
    </row>
    <row r="37" customFormat="false" ht="27" hidden="false" customHeight="true" outlineLevel="0" collapsed="false">
      <c r="B37" s="18"/>
      <c r="C37" s="18"/>
      <c r="D37" s="18" t="s">
        <v>117</v>
      </c>
      <c r="E37" s="18" t="s">
        <v>118</v>
      </c>
      <c r="F37" s="18" t="s">
        <v>119</v>
      </c>
      <c r="G37" s="18" t="s">
        <v>120</v>
      </c>
      <c r="H37" s="18" t="s">
        <v>121</v>
      </c>
      <c r="I37" s="18" t="s">
        <v>121</v>
      </c>
      <c r="J37" s="18"/>
      <c r="K37" s="18"/>
      <c r="L37" s="18"/>
      <c r="M37" s="18"/>
      <c r="N37" s="18"/>
      <c r="O37" s="18"/>
      <c r="P37" s="18"/>
      <c r="Q37" s="18"/>
      <c r="R37" s="18"/>
      <c r="U37" s="11" t="n">
        <v>0.63707</v>
      </c>
    </row>
    <row r="38" customFormat="false" ht="21.75" hidden="false" customHeight="true" outlineLevel="0" collapsed="false">
      <c r="B38" s="19" t="n">
        <v>1</v>
      </c>
      <c r="C38" s="37" t="s">
        <v>478</v>
      </c>
      <c r="D38" s="38" t="n">
        <v>520</v>
      </c>
      <c r="E38" s="38" t="n">
        <v>65</v>
      </c>
      <c r="F38" s="38" t="n">
        <v>300</v>
      </c>
      <c r="G38" s="26" t="n">
        <f aca="false">IF(OR(D38="",E38=""),"",IF(OR(D38&lt;=0,E38&lt;=0),"",ROUND(D38/E38,1)))</f>
        <v>8</v>
      </c>
      <c r="H38" s="23" t="n">
        <f aca="false">IF(G38="","",ROUND(LOG10(D38/E38)/LOG10(2),1))</f>
        <v>3</v>
      </c>
      <c r="I38" s="23" t="n">
        <f aca="false">IF(OR(D38="",F38=""),"",IF(OR(D38&lt;=0,F38&lt;=0),"",ROUND(LOG10(D38/F38)/LOG10(2),1)))</f>
        <v>0.8</v>
      </c>
      <c r="J38" s="22" t="str">
        <f aca="false">IF(D38="","",IF(D38&lt;$K$7,"Luz baixa",IF(G38="",IF(I38="","OK",IF(I38&lt;1,"Fundo claro","OK")),IF(G38&gt;$K$8,"Contraste alto",IF(G38&lt;1.5,"Chapado",IF(I38="","OK",IF(I38&lt;1,"Fundo claro","OK")))))))</f>
        <v>Contraste alto</v>
      </c>
      <c r="K38" s="24" t="str">
        <f aca="false">IF(J38="","",IF(J38="Luz baixa","Suba a principal ou aproxime-a até a luz mínima de referência",IF(J38="Contraste alto","Suba o preenchimento até a razão chegar perto de 2:1",IF(J38="Chapado","Baixe o preenchimento até a razão chegar perto de 2:1",IF(J38="Fundo claro","Baixe a luz do fundo ou o brilho do telão: de 1 a 2 stops abaixo do rosto","Manter")))))</f>
        <v>Suba o preenchimento até a razão chegar perto de 2:1</v>
      </c>
      <c r="L38" s="24"/>
      <c r="M38" s="24"/>
      <c r="N38" s="24"/>
      <c r="O38" s="24"/>
      <c r="P38" s="24"/>
      <c r="Q38" s="24"/>
      <c r="R38" s="37"/>
      <c r="U38" s="11" t="n">
        <v>0.661886</v>
      </c>
    </row>
    <row r="39" customFormat="false" ht="21.75" hidden="false" customHeight="true" outlineLevel="0" collapsed="false">
      <c r="B39" s="19" t="n">
        <v>2</v>
      </c>
      <c r="C39" s="37" t="s">
        <v>479</v>
      </c>
      <c r="D39" s="38" t="n">
        <v>800</v>
      </c>
      <c r="E39" s="38" t="n">
        <v>400</v>
      </c>
      <c r="F39" s="38" t="n">
        <v>200</v>
      </c>
      <c r="G39" s="26" t="n">
        <f aca="false">IF(OR(D39="",E39=""),"",IF(OR(D39&lt;=0,E39&lt;=0),"",ROUND(D39/E39,1)))</f>
        <v>2</v>
      </c>
      <c r="H39" s="23" t="n">
        <f aca="false">IF(G39="","",ROUND(LOG10(D39/E39)/LOG10(2),1))</f>
        <v>1</v>
      </c>
      <c r="I39" s="23" t="n">
        <f aca="false">IF(OR(D39="",F39=""),"",IF(OR(D39&lt;=0,F39&lt;=0),"",ROUND(LOG10(D39/F39)/LOG10(2),1)))</f>
        <v>2</v>
      </c>
      <c r="J39" s="22" t="str">
        <f aca="false">IF(D39="","",IF(D39&lt;$K$7,"Luz baixa",IF(G39="",IF(I39="","OK",IF(I39&lt;1,"Fundo claro","OK")),IF(G39&gt;$K$8,"Contraste alto",IF(G39&lt;1.5,"Chapado",IF(I39="","OK",IF(I39&lt;1,"Fundo claro","OK")))))))</f>
        <v>OK</v>
      </c>
      <c r="K39" s="24" t="str">
        <f aca="false">IF(J39="","",IF(J39="Luz baixa","Suba a principal ou aproxime-a até a luz mínima de referência",IF(J39="Contraste alto","Suba o preenchimento até a razão chegar perto de 2:1",IF(J39="Chapado","Baixe o preenchimento até a razão chegar perto de 2:1",IF(J39="Fundo claro","Baixe a luz do fundo ou o brilho do telão: de 1 a 2 stops abaixo do rosto","Manter")))))</f>
        <v>Manter</v>
      </c>
      <c r="L39" s="24"/>
      <c r="M39" s="24"/>
      <c r="N39" s="24"/>
      <c r="O39" s="24"/>
      <c r="P39" s="24"/>
      <c r="Q39" s="24"/>
      <c r="R39" s="37"/>
      <c r="U39" s="11" t="n">
        <v>0.687281</v>
      </c>
    </row>
    <row r="40" customFormat="false" ht="21.75" hidden="false" customHeight="true" outlineLevel="0" collapsed="false">
      <c r="B40" s="19" t="n">
        <v>3</v>
      </c>
      <c r="C40" s="37"/>
      <c r="D40" s="38"/>
      <c r="E40" s="38"/>
      <c r="F40" s="38"/>
      <c r="G40" s="26" t="str">
        <f aca="false">IF(OR(D40="",E40=""),"",IF(OR(D40&lt;=0,E40&lt;=0),"",ROUND(D40/E40,1)))</f>
        <v/>
      </c>
      <c r="H40" s="23" t="str">
        <f aca="false">IF(G40="","",ROUND(LOG10(D40/E40)/LOG10(2),1))</f>
        <v/>
      </c>
      <c r="I40" s="23" t="str">
        <f aca="false">IF(OR(D40="",F40=""),"",IF(OR(D40&lt;=0,F40&lt;=0),"",ROUND(LOG10(D40/F40)/LOG10(2),1)))</f>
        <v/>
      </c>
      <c r="J40" s="22" t="str">
        <f aca="false">IF(D40="","",IF(D40&lt;$K$7,"Luz baixa",IF(G40="",IF(I40="","OK",IF(I40&lt;1,"Fundo claro","OK")),IF(G40&gt;$K$8,"Contraste alto",IF(G40&lt;1.5,"Chapado",IF(I40="","OK",IF(I40&lt;1,"Fundo claro","OK")))))))</f>
        <v/>
      </c>
      <c r="K40" s="24" t="str">
        <f aca="false">IF(J40="","",IF(J40="Luz baixa","Suba a principal ou aproxime-a até a luz mínima de referência",IF(J40="Contraste alto","Suba o preenchimento até a razão chegar perto de 2:1",IF(J40="Chapado","Baixe o preenchimento até a razão chegar perto de 2:1",IF(J40="Fundo claro","Baixe a luz do fundo ou o brilho do telão: de 1 a 2 stops abaixo do rosto","Manter")))))</f>
        <v/>
      </c>
      <c r="L40" s="24"/>
      <c r="M40" s="24"/>
      <c r="N40" s="24"/>
      <c r="O40" s="24"/>
      <c r="P40" s="24"/>
      <c r="Q40" s="24"/>
      <c r="R40" s="37"/>
      <c r="U40" s="11" t="n">
        <v>0.713293</v>
      </c>
    </row>
    <row r="41" customFormat="false" ht="21.75" hidden="false" customHeight="true" outlineLevel="0" collapsed="false">
      <c r="B41" s="19" t="n">
        <v>4</v>
      </c>
      <c r="C41" s="37"/>
      <c r="D41" s="38"/>
      <c r="E41" s="38"/>
      <c r="F41" s="38"/>
      <c r="G41" s="26" t="str">
        <f aca="false">IF(OR(D41="",E41=""),"",IF(OR(D41&lt;=0,E41&lt;=0),"",ROUND(D41/E41,1)))</f>
        <v/>
      </c>
      <c r="H41" s="23" t="str">
        <f aca="false">IF(G41="","",ROUND(LOG10(D41/E41)/LOG10(2),1))</f>
        <v/>
      </c>
      <c r="I41" s="23" t="str">
        <f aca="false">IF(OR(D41="",F41=""),"",IF(OR(D41&lt;=0,F41&lt;=0),"",ROUND(LOG10(D41/F41)/LOG10(2),1)))</f>
        <v/>
      </c>
      <c r="J41" s="22" t="str">
        <f aca="false">IF(D41="","",IF(D41&lt;$K$7,"Luz baixa",IF(G41="",IF(I41="","OK",IF(I41&lt;1,"Fundo claro","OK")),IF(G41&gt;$K$8,"Contraste alto",IF(G41&lt;1.5,"Chapado",IF(I41="","OK",IF(I41&lt;1,"Fundo claro","OK")))))))</f>
        <v/>
      </c>
      <c r="K41" s="24" t="str">
        <f aca="false">IF(J41="","",IF(J41="Luz baixa","Suba a principal ou aproxime-a até a luz mínima de referência",IF(J41="Contraste alto","Suba o preenchimento até a razão chegar perto de 2:1",IF(J41="Chapado","Baixe o preenchimento até a razão chegar perto de 2:1",IF(J41="Fundo claro","Baixe a luz do fundo ou o brilho do telão: de 1 a 2 stops abaixo do rosto","Manter")))))</f>
        <v/>
      </c>
      <c r="L41" s="24"/>
      <c r="M41" s="24"/>
      <c r="N41" s="24"/>
      <c r="O41" s="24"/>
      <c r="P41" s="24"/>
      <c r="Q41" s="24"/>
      <c r="R41" s="37"/>
      <c r="U41" s="11" t="n">
        <v>0.739961</v>
      </c>
    </row>
    <row r="42" customFormat="false" ht="21.75" hidden="false" customHeight="true" outlineLevel="0" collapsed="false">
      <c r="B42" s="19" t="n">
        <v>5</v>
      </c>
      <c r="C42" s="37"/>
      <c r="D42" s="38"/>
      <c r="E42" s="38"/>
      <c r="F42" s="38"/>
      <c r="G42" s="26" t="str">
        <f aca="false">IF(OR(D42="",E42=""),"",IF(OR(D42&lt;=0,E42&lt;=0),"",ROUND(D42/E42,1)))</f>
        <v/>
      </c>
      <c r="H42" s="23" t="str">
        <f aca="false">IF(G42="","",ROUND(LOG10(D42/E42)/LOG10(2),1))</f>
        <v/>
      </c>
      <c r="I42" s="23" t="str">
        <f aca="false">IF(OR(D42="",F42=""),"",IF(OR(D42&lt;=0,F42&lt;=0),"",ROUND(LOG10(D42/F42)/LOG10(2),1)))</f>
        <v/>
      </c>
      <c r="J42" s="22" t="str">
        <f aca="false">IF(D42="","",IF(D42&lt;$K$7,"Luz baixa",IF(G42="",IF(I42="","OK",IF(I42&lt;1,"Fundo claro","OK")),IF(G42&gt;$K$8,"Contraste alto",IF(G42&lt;1.5,"Chapado",IF(I42="","OK",IF(I42&lt;1,"Fundo claro","OK")))))))</f>
        <v/>
      </c>
      <c r="K42" s="24" t="str">
        <f aca="false">IF(J42="","",IF(J42="Luz baixa","Suba a principal ou aproxime-a até a luz mínima de referência",IF(J42="Contraste alto","Suba o preenchimento até a razão chegar perto de 2:1",IF(J42="Chapado","Baixe o preenchimento até a razão chegar perto de 2:1",IF(J42="Fundo claro","Baixe a luz do fundo ou o brilho do telão: de 1 a 2 stops abaixo do rosto","Manter")))))</f>
        <v/>
      </c>
      <c r="L42" s="24"/>
      <c r="M42" s="24"/>
      <c r="N42" s="24"/>
      <c r="O42" s="24"/>
      <c r="P42" s="24"/>
      <c r="Q42" s="24"/>
      <c r="R42" s="37"/>
      <c r="U42" s="11" t="n">
        <v>0.767327</v>
      </c>
    </row>
    <row r="43" customFormat="false" ht="21.75" hidden="false" customHeight="true" outlineLevel="0" collapsed="false">
      <c r="B43" s="19" t="n">
        <v>6</v>
      </c>
      <c r="C43" s="37"/>
      <c r="D43" s="38"/>
      <c r="E43" s="38"/>
      <c r="F43" s="38"/>
      <c r="G43" s="26" t="str">
        <f aca="false">IF(OR(D43="",E43=""),"",IF(OR(D43&lt;=0,E43&lt;=0),"",ROUND(D43/E43,1)))</f>
        <v/>
      </c>
      <c r="H43" s="23" t="str">
        <f aca="false">IF(G43="","",ROUND(LOG10(D43/E43)/LOG10(2),1))</f>
        <v/>
      </c>
      <c r="I43" s="23" t="str">
        <f aca="false">IF(OR(D43="",F43=""),"",IF(OR(D43&lt;=0,F43&lt;=0),"",ROUND(LOG10(D43/F43)/LOG10(2),1)))</f>
        <v/>
      </c>
      <c r="J43" s="22" t="str">
        <f aca="false">IF(D43="","",IF(D43&lt;$K$7,"Luz baixa",IF(G43="",IF(I43="","OK",IF(I43&lt;1,"Fundo claro","OK")),IF(G43&gt;$K$8,"Contraste alto",IF(G43&lt;1.5,"Chapado",IF(I43="","OK",IF(I43&lt;1,"Fundo claro","OK")))))))</f>
        <v/>
      </c>
      <c r="K43" s="24" t="str">
        <f aca="false">IF(J43="","",IF(J43="Luz baixa","Suba a principal ou aproxime-a até a luz mínima de referência",IF(J43="Contraste alto","Suba o preenchimento até a razão chegar perto de 2:1",IF(J43="Chapado","Baixe o preenchimento até a razão chegar perto de 2:1",IF(J43="Fundo claro","Baixe a luz do fundo ou o brilho do telão: de 1 a 2 stops abaixo do rosto","Manter")))))</f>
        <v/>
      </c>
      <c r="L43" s="24"/>
      <c r="M43" s="24"/>
      <c r="N43" s="24"/>
      <c r="O43" s="24"/>
      <c r="P43" s="24"/>
      <c r="Q43" s="24"/>
      <c r="R43" s="37"/>
      <c r="U43" s="11" t="n">
        <v>0.795436</v>
      </c>
    </row>
    <row r="44" customFormat="false" ht="15" hidden="false" customHeight="false" outlineLevel="0" collapsed="false">
      <c r="U44" s="11" t="n">
        <v>0.824336</v>
      </c>
    </row>
    <row r="45" customFormat="false" ht="21.75" hidden="false" customHeight="true" outlineLevel="0" collapsed="false">
      <c r="B45" s="14" t="s">
        <v>122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U45" s="11" t="n">
        <v>0.854081</v>
      </c>
    </row>
    <row r="46" customFormat="false" ht="19.5" hidden="false" customHeight="true" outlineLevel="0" collapsed="false">
      <c r="B46" s="27" t="s">
        <v>123</v>
      </c>
      <c r="C46" s="27"/>
      <c r="D46" s="27"/>
      <c r="E46" s="27"/>
      <c r="F46" s="27"/>
      <c r="G46" s="28" t="n">
        <f aca="false">COUNTA(C14:C33)</f>
        <v>4</v>
      </c>
      <c r="H46" s="28"/>
      <c r="U46" s="11" t="n">
        <v>0.884725</v>
      </c>
    </row>
    <row r="47" customFormat="false" ht="19.5" hidden="false" customHeight="true" outlineLevel="0" collapsed="false">
      <c r="B47" s="27" t="s">
        <v>124</v>
      </c>
      <c r="C47" s="27"/>
      <c r="D47" s="27"/>
      <c r="E47" s="27"/>
      <c r="F47" s="27"/>
      <c r="G47" s="28" t="n">
        <f aca="false">COUNTIF(F14:F33,"Principal")+COUNTIF(F14:F33,"Preenchimento")</f>
        <v>3</v>
      </c>
      <c r="H47" s="28"/>
      <c r="U47" s="11" t="n">
        <v>0.916331</v>
      </c>
    </row>
    <row r="48" customFormat="false" ht="19.5" hidden="false" customHeight="true" outlineLevel="0" collapsed="false">
      <c r="B48" s="27" t="s">
        <v>125</v>
      </c>
      <c r="C48" s="27"/>
      <c r="D48" s="27"/>
      <c r="E48" s="27"/>
      <c r="F48" s="27"/>
      <c r="G48" s="28" t="n">
        <f aca="false">COUNTIF(F14:F33,"Contraluz")</f>
        <v>0</v>
      </c>
      <c r="H48" s="28"/>
      <c r="U48" s="11" t="n">
        <v>0.948965</v>
      </c>
    </row>
    <row r="49" customFormat="false" ht="19.5" hidden="false" customHeight="true" outlineLevel="0" collapsed="false">
      <c r="B49" s="27" t="s">
        <v>126</v>
      </c>
      <c r="C49" s="27"/>
      <c r="D49" s="27"/>
      <c r="E49" s="27"/>
      <c r="F49" s="27"/>
      <c r="G49" s="28" t="n">
        <f aca="false">COUNTIF(M14:M33,"OK")</f>
        <v>0</v>
      </c>
      <c r="H49" s="28"/>
      <c r="U49" s="11" t="n">
        <v>0.982697</v>
      </c>
    </row>
    <row r="50" customFormat="false" ht="19.5" hidden="false" customHeight="true" outlineLevel="0" collapsed="false">
      <c r="B50" s="27" t="s">
        <v>127</v>
      </c>
      <c r="C50" s="27"/>
      <c r="D50" s="27"/>
      <c r="E50" s="27"/>
      <c r="F50" s="27"/>
      <c r="G50" s="28" t="n">
        <f aca="false">COUNTIF(M14:M33,"Atenção")+COUNTIF(M14:M33,"Baixa")+COUNTIF(M14:M33,"Íngreme")</f>
        <v>3</v>
      </c>
      <c r="H50" s="28"/>
      <c r="U50" s="11" t="n">
        <v>1.017607</v>
      </c>
    </row>
    <row r="51" customFormat="false" ht="19.5" hidden="false" customHeight="true" outlineLevel="0" collapsed="false">
      <c r="B51" s="27" t="s">
        <v>128</v>
      </c>
      <c r="C51" s="27"/>
      <c r="D51" s="27"/>
      <c r="E51" s="27"/>
      <c r="F51" s="27"/>
      <c r="G51" s="28" t="n">
        <f aca="false">COUNTIF(P14:P33,"Cor diferente")+COUNTIF(P14:P33,"IRC baixo")+COUNTIF(P14:P33,"Cor e IRC")</f>
        <v>3</v>
      </c>
      <c r="H51" s="28"/>
      <c r="U51" s="11" t="n">
        <v>1.05378</v>
      </c>
    </row>
    <row r="52" customFormat="false" ht="19.5" hidden="false" customHeight="true" outlineLevel="0" collapsed="false">
      <c r="B52" s="27" t="s">
        <v>129</v>
      </c>
      <c r="C52" s="27"/>
      <c r="D52" s="27"/>
      <c r="E52" s="27"/>
      <c r="F52" s="27"/>
      <c r="G52" s="28" t="n">
        <f aca="false">COUNT(D38:D43)</f>
        <v>2</v>
      </c>
      <c r="H52" s="28"/>
      <c r="U52" s="11" t="n">
        <v>1.091309</v>
      </c>
    </row>
    <row r="53" customFormat="false" ht="19.5" hidden="false" customHeight="true" outlineLevel="0" collapsed="false">
      <c r="B53" s="27" t="s">
        <v>130</v>
      </c>
      <c r="C53" s="27"/>
      <c r="D53" s="27"/>
      <c r="E53" s="27"/>
      <c r="F53" s="27"/>
      <c r="G53" s="28" t="n">
        <f aca="false">COUNT(D38:D43)-COUNTIF(J38:J43,"OK")</f>
        <v>1</v>
      </c>
      <c r="H53" s="28"/>
      <c r="U53" s="11" t="n">
        <v>1.130294</v>
      </c>
    </row>
    <row r="54" customFormat="false" ht="21.75" hidden="false" customHeight="true" outlineLevel="0" collapsed="false">
      <c r="B54" s="27" t="s">
        <v>131</v>
      </c>
      <c r="C54" s="27"/>
      <c r="D54" s="27"/>
      <c r="E54" s="27"/>
      <c r="F54" s="27"/>
      <c r="G54" s="29" t="str">
        <f aca="false">IF(COUNT($K$4,$K$5,$K$6,$K$7,$K$8)&lt;5,"Informe os cinco valores de referência",IF(G46=0,"Liste os refletores",IF(COUNTIF(F14:F33,"Principal")=0,"Não há luz principal no plano",IF(G50+G51&gt;0,"Há refletor de rosto a corrigir: veja a coluna O que fazer",IF(G52=0,"Meça a luz no rosto de cada alvo",IF(G53&gt;0,"Há alvo fora da referência na medição",IF(G48=0,"OK, mas não há contraluz no plano","OK")))))))</f>
        <v>Há refletor de rosto a corrigir: veja a coluna O que fazer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U54" s="11" t="n">
        <v>1.17085</v>
      </c>
    </row>
    <row r="55" customFormat="false" ht="15" hidden="false" customHeight="false" outlineLevel="0" collapsed="false">
      <c r="U55" s="11" t="n">
        <v>1.213097</v>
      </c>
    </row>
    <row r="56" customFormat="false" ht="21.75" hidden="false" customHeight="true" outlineLevel="0" collapsed="false">
      <c r="B56" s="14" t="s">
        <v>480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U56" s="11" t="n">
        <v>1.257172</v>
      </c>
    </row>
    <row r="57" customFormat="false" ht="21.75" hidden="false" customHeight="true" outlineLevel="0" collapsed="false">
      <c r="B57" s="28" t="s">
        <v>213</v>
      </c>
      <c r="C57" s="28"/>
      <c r="D57" s="8" t="s">
        <v>481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U57" s="11" t="n">
        <v>1.303225</v>
      </c>
    </row>
    <row r="58" customFormat="false" ht="21.75" hidden="false" customHeight="true" outlineLevel="0" collapsed="false">
      <c r="B58" s="4" t="s">
        <v>107</v>
      </c>
      <c r="C58" s="4"/>
      <c r="D58" s="7" t="s">
        <v>482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U58" s="11" t="n">
        <v>1.351422</v>
      </c>
    </row>
    <row r="59" customFormat="false" ht="21.75" hidden="false" customHeight="true" outlineLevel="0" collapsed="false">
      <c r="B59" s="4" t="s">
        <v>473</v>
      </c>
      <c r="C59" s="4"/>
      <c r="D59" s="7" t="s">
        <v>483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U59" s="11" t="n">
        <v>1.401948</v>
      </c>
    </row>
    <row r="60" customFormat="false" ht="21.75" hidden="false" customHeight="true" outlineLevel="0" collapsed="false">
      <c r="B60" s="4" t="s">
        <v>484</v>
      </c>
      <c r="C60" s="4"/>
      <c r="D60" s="7" t="s">
        <v>485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U60" s="11" t="n">
        <v>1.455009</v>
      </c>
    </row>
    <row r="61" customFormat="false" ht="21.75" hidden="false" customHeight="true" outlineLevel="0" collapsed="false">
      <c r="B61" s="4" t="s">
        <v>72</v>
      </c>
      <c r="C61" s="4"/>
      <c r="D61" s="7" t="s">
        <v>486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U61" s="11" t="n">
        <v>1.510835</v>
      </c>
    </row>
    <row r="62" customFormat="false" ht="21.75" hidden="false" customHeight="true" outlineLevel="0" collapsed="false">
      <c r="B62" s="4" t="s">
        <v>487</v>
      </c>
      <c r="C62" s="4"/>
      <c r="D62" s="7" t="s">
        <v>488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U62" s="11" t="n">
        <v>1.569686</v>
      </c>
    </row>
    <row r="63" customFormat="false" ht="15" hidden="false" customHeight="false" outlineLevel="0" collapsed="false">
      <c r="U63" s="11" t="n">
        <v>1.631852</v>
      </c>
    </row>
    <row r="64" customFormat="false" ht="15" hidden="false" customHeight="false" outlineLevel="0" collapsed="false">
      <c r="U64" s="11" t="n">
        <v>1.697663</v>
      </c>
    </row>
    <row r="65" customFormat="false" ht="15" hidden="false" customHeight="false" outlineLevel="0" collapsed="false">
      <c r="U65" s="11" t="n">
        <v>1.767494</v>
      </c>
    </row>
    <row r="66" customFormat="false" ht="15" hidden="false" customHeight="false" outlineLevel="0" collapsed="false">
      <c r="U66" s="11" t="n">
        <v>1.841771</v>
      </c>
    </row>
    <row r="67" customFormat="false" ht="15" hidden="false" customHeight="false" outlineLevel="0" collapsed="false">
      <c r="U67" s="11" t="n">
        <v>1.920982</v>
      </c>
    </row>
    <row r="68" customFormat="false" ht="15" hidden="false" customHeight="false" outlineLevel="0" collapsed="false">
      <c r="U68" s="11" t="n">
        <v>2.00569</v>
      </c>
    </row>
    <row r="69" customFormat="false" ht="15" hidden="false" customHeight="false" outlineLevel="0" collapsed="false">
      <c r="U69" s="11" t="n">
        <v>2.096544</v>
      </c>
    </row>
    <row r="70" customFormat="false" ht="15" hidden="false" customHeight="false" outlineLevel="0" collapsed="false">
      <c r="U70" s="11" t="n">
        <v>2.1943</v>
      </c>
    </row>
    <row r="71" customFormat="false" ht="15" hidden="false" customHeight="false" outlineLevel="0" collapsed="false">
      <c r="U71" s="11" t="n">
        <v>2.299843</v>
      </c>
    </row>
    <row r="72" customFormat="false" ht="15" hidden="false" customHeight="false" outlineLevel="0" collapsed="false">
      <c r="U72" s="11" t="n">
        <v>2.414214</v>
      </c>
    </row>
    <row r="73" customFormat="false" ht="15" hidden="false" customHeight="false" outlineLevel="0" collapsed="false">
      <c r="U73" s="11" t="n">
        <v>2.538648</v>
      </c>
    </row>
    <row r="74" customFormat="false" ht="15" hidden="false" customHeight="false" outlineLevel="0" collapsed="false">
      <c r="U74" s="11" t="n">
        <v>2.674621</v>
      </c>
    </row>
    <row r="75" customFormat="false" ht="15" hidden="false" customHeight="false" outlineLevel="0" collapsed="false">
      <c r="U75" s="11" t="n">
        <v>2.823913</v>
      </c>
    </row>
    <row r="76" customFormat="false" ht="15" hidden="false" customHeight="false" outlineLevel="0" collapsed="false">
      <c r="U76" s="11" t="n">
        <v>2.988685</v>
      </c>
    </row>
    <row r="77" customFormat="false" ht="15" hidden="false" customHeight="false" outlineLevel="0" collapsed="false">
      <c r="U77" s="11" t="n">
        <v>3.171595</v>
      </c>
    </row>
    <row r="78" customFormat="false" ht="15" hidden="false" customHeight="false" outlineLevel="0" collapsed="false">
      <c r="U78" s="11" t="n">
        <v>3.375943</v>
      </c>
    </row>
    <row r="79" customFormat="false" ht="15" hidden="false" customHeight="false" outlineLevel="0" collapsed="false">
      <c r="U79" s="11" t="n">
        <v>3.605884</v>
      </c>
    </row>
    <row r="80" customFormat="false" ht="15" hidden="false" customHeight="false" outlineLevel="0" collapsed="false">
      <c r="U80" s="11" t="n">
        <v>3.866713</v>
      </c>
    </row>
    <row r="81" customFormat="false" ht="15" hidden="false" customHeight="false" outlineLevel="0" collapsed="false">
      <c r="U81" s="11" t="n">
        <v>4.1653</v>
      </c>
    </row>
    <row r="82" customFormat="false" ht="15" hidden="false" customHeight="false" outlineLevel="0" collapsed="false">
      <c r="U82" s="11" t="n">
        <v>4.510709</v>
      </c>
    </row>
    <row r="83" customFormat="false" ht="15" hidden="false" customHeight="false" outlineLevel="0" collapsed="false">
      <c r="U83" s="11" t="n">
        <v>4.915157</v>
      </c>
    </row>
    <row r="84" customFormat="false" ht="15" hidden="false" customHeight="false" outlineLevel="0" collapsed="false">
      <c r="U84" s="11" t="n">
        <v>5.395517</v>
      </c>
    </row>
    <row r="85" customFormat="false" ht="15" hidden="false" customHeight="false" outlineLevel="0" collapsed="false">
      <c r="U85" s="11" t="n">
        <v>5.975764</v>
      </c>
    </row>
    <row r="86" customFormat="false" ht="15" hidden="false" customHeight="false" outlineLevel="0" collapsed="false">
      <c r="U86" s="11" t="n">
        <v>6.691156</v>
      </c>
    </row>
    <row r="87" customFormat="false" ht="15" hidden="false" customHeight="false" outlineLevel="0" collapsed="false">
      <c r="U87" s="11" t="n">
        <v>7.595754</v>
      </c>
    </row>
    <row r="88" customFormat="false" ht="15" hidden="false" customHeight="false" outlineLevel="0" collapsed="false">
      <c r="U88" s="11" t="n">
        <v>8.776887</v>
      </c>
    </row>
    <row r="89" customFormat="false" ht="15" hidden="false" customHeight="false" outlineLevel="0" collapsed="false">
      <c r="U89" s="11" t="n">
        <v>10.385397</v>
      </c>
    </row>
    <row r="90" customFormat="false" ht="15" hidden="false" customHeight="false" outlineLevel="0" collapsed="false">
      <c r="U90" s="11" t="n">
        <v>12.706205</v>
      </c>
    </row>
    <row r="91" customFormat="false" ht="15" hidden="false" customHeight="false" outlineLevel="0" collapsed="false">
      <c r="U91" s="11" t="n">
        <v>16.349855</v>
      </c>
    </row>
    <row r="92" customFormat="false" ht="15" hidden="false" customHeight="false" outlineLevel="0" collapsed="false">
      <c r="U92" s="11" t="n">
        <v>22.903766</v>
      </c>
    </row>
    <row r="93" customFormat="false" ht="15" hidden="false" customHeight="false" outlineLevel="0" collapsed="false">
      <c r="U93" s="11" t="n">
        <v>38.188459</v>
      </c>
    </row>
  </sheetData>
  <mergeCells count="65">
    <mergeCell ref="B1:R1"/>
    <mergeCell ref="B2:R2"/>
    <mergeCell ref="B4:C4"/>
    <mergeCell ref="D4:G4"/>
    <mergeCell ref="H4:J4"/>
    <mergeCell ref="L4:R4"/>
    <mergeCell ref="B5:C5"/>
    <mergeCell ref="D5:G5"/>
    <mergeCell ref="H5:J5"/>
    <mergeCell ref="L5:R5"/>
    <mergeCell ref="B6:C6"/>
    <mergeCell ref="D6:G6"/>
    <mergeCell ref="H6:J6"/>
    <mergeCell ref="L6:R6"/>
    <mergeCell ref="B7:C7"/>
    <mergeCell ref="D7:G7"/>
    <mergeCell ref="H7:J7"/>
    <mergeCell ref="L7:R7"/>
    <mergeCell ref="B8:C8"/>
    <mergeCell ref="D8:G8"/>
    <mergeCell ref="H8:J8"/>
    <mergeCell ref="L8:R8"/>
    <mergeCell ref="B10:R10"/>
    <mergeCell ref="B13:R13"/>
    <mergeCell ref="B35:R35"/>
    <mergeCell ref="K36:Q36"/>
    <mergeCell ref="K37:Q37"/>
    <mergeCell ref="K38:Q38"/>
    <mergeCell ref="K39:Q39"/>
    <mergeCell ref="K40:Q40"/>
    <mergeCell ref="K41:Q41"/>
    <mergeCell ref="K42:Q42"/>
    <mergeCell ref="K43:Q43"/>
    <mergeCell ref="B45:R45"/>
    <mergeCell ref="B46:F46"/>
    <mergeCell ref="G46:H46"/>
    <mergeCell ref="B47:F47"/>
    <mergeCell ref="G47:H47"/>
    <mergeCell ref="B48:F48"/>
    <mergeCell ref="G48:H48"/>
    <mergeCell ref="B49:F49"/>
    <mergeCell ref="G49:H49"/>
    <mergeCell ref="B50:F50"/>
    <mergeCell ref="G50:H50"/>
    <mergeCell ref="B51:F51"/>
    <mergeCell ref="G51:H51"/>
    <mergeCell ref="B52:F52"/>
    <mergeCell ref="G52:H52"/>
    <mergeCell ref="B53:F53"/>
    <mergeCell ref="G53:H53"/>
    <mergeCell ref="B54:F54"/>
    <mergeCell ref="G54:Q54"/>
    <mergeCell ref="B56:R56"/>
    <mergeCell ref="B57:C57"/>
    <mergeCell ref="D57:R57"/>
    <mergeCell ref="B58:C58"/>
    <mergeCell ref="D58:R58"/>
    <mergeCell ref="B59:C59"/>
    <mergeCell ref="D59:R59"/>
    <mergeCell ref="B60:C60"/>
    <mergeCell ref="D60:R60"/>
    <mergeCell ref="B61:C61"/>
    <mergeCell ref="D61:R61"/>
    <mergeCell ref="B62:C62"/>
    <mergeCell ref="D62:R62"/>
  </mergeCells>
  <conditionalFormatting sqref="M14:M33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"Atenção"</formula>
    </cfRule>
    <cfRule type="cellIs" priority="4" operator="equal" aboveAverage="0" equalAverage="0" bottom="0" percent="0" rank="0" text="" dxfId="2">
      <formula>"Baixa"</formula>
    </cfRule>
    <cfRule type="cellIs" priority="5" operator="equal" aboveAverage="0" equalAverage="0" bottom="0" percent="0" rank="0" text="" dxfId="2">
      <formula>"Íngreme"</formula>
    </cfRule>
  </conditionalFormatting>
  <conditionalFormatting sqref="P14:P33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"Cor diferente"</formula>
    </cfRule>
    <cfRule type="cellIs" priority="8" operator="equal" aboveAverage="0" equalAverage="0" bottom="0" percent="0" rank="0" text="" dxfId="1">
      <formula>"IRC baixo"</formula>
    </cfRule>
    <cfRule type="cellIs" priority="9" operator="equal" aboveAverage="0" equalAverage="0" bottom="0" percent="0" rank="0" text="" dxfId="2">
      <formula>"Cor e IRC"</formula>
    </cfRule>
  </conditionalFormatting>
  <conditionalFormatting sqref="J38:J43">
    <cfRule type="cellIs" priority="10" operator="equal" aboveAverage="0" equalAverage="0" bottom="0" percent="0" rank="0" text="" dxfId="0">
      <formula>"OK"</formula>
    </cfRule>
    <cfRule type="cellIs" priority="11" operator="equal" aboveAverage="0" equalAverage="0" bottom="0" percent="0" rank="0" text="" dxfId="1">
      <formula>"Luz baixa"</formula>
    </cfRule>
    <cfRule type="cellIs" priority="12" operator="equal" aboveAverage="0" equalAverage="0" bottom="0" percent="0" rank="0" text="" dxfId="1">
      <formula>"Contraste alto"</formula>
    </cfRule>
    <cfRule type="cellIs" priority="13" operator="equal" aboveAverage="0" equalAverage="0" bottom="0" percent="0" rank="0" text="" dxfId="1">
      <formula>"Chapado"</formula>
    </cfRule>
    <cfRule type="cellIs" priority="14" operator="equal" aboveAverage="0" equalAverage="0" bottom="0" percent="0" rank="0" text="" dxfId="1">
      <formula>"Fundo claro"</formula>
    </cfRule>
  </conditionalFormatting>
  <conditionalFormatting sqref="G54:Q54">
    <cfRule type="cellIs" priority="15" operator="equal" aboveAverage="0" equalAverage="0" bottom="0" percent="0" rank="0" text="" dxfId="0">
      <formula>"OK"</formula>
    </cfRule>
    <cfRule type="cellIs" priority="16" operator="notEqual" aboveAverage="0" equalAverage="0" bottom="0" percent="0" rank="0" text="" dxfId="1">
      <formula>"OK"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K4:K8" type="decimal">
      <formula1>-1000000000</formula1>
      <formula2>1000000000</formula2>
    </dataValidation>
    <dataValidation allowBlank="true" error="Escolha uma das opções da lista." errorStyle="stop" errorTitle="Valor inválido" operator="between" prompt="Principal, Preenchimento, Contraluz, Fundo, Plateia ou Efeito." promptTitle="Opções" showDropDown="false" showErrorMessage="true" showInputMessage="true" sqref="F14:F33" type="list">
      <formula1>"Principal,Preenchimento,Contraluz,Fundo,Plateia,Efeito"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G14:K33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38:F43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2026-10-01T12:59:27Z</dcterms:created>
  <dc:creator>Estudos: Técnico em áudio e vídeo</dc:creator>
  <dc:description/>
  <dc:language>pt-BR</dc:language>
  <cp:lastModifiedBy/>
  <dcterms:modified xsi:type="dcterms:W3CDTF">2026-10-01T12:59:27Z</dcterms:modified>
  <cp:revision>0</cp:revision>
  <dc:subject/>
  <dc:title>Iluminação — modelo de plano de luz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