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Calculadora de stops" sheetId="2" state="visible" r:id="rId4"/>
    <sheet name="Ficha por câmera" sheetId="3" state="visible" r:id="rId5"/>
    <sheet name="Referência" sheetId="4" state="visible" r:id="rId6"/>
    <sheet name="Checklist" sheetId="5" state="visible" r:id="rId7"/>
    <sheet name="Exemplo - Calculadora" sheetId="6" state="visible" r:id="rId8"/>
    <sheet name="Exemplo - Ficha" sheetId="7" state="visible" r:id="rId9"/>
  </sheets>
  <definedNames>
    <definedName function="false" hidden="false" localSheetId="1" name="_xlnm.Print_Area" vbProcedure="false">'Calculadora de stops'!$B$1:$G$33</definedName>
    <definedName function="false" hidden="false" localSheetId="4" name="_xlnm.Print_Area" vbProcedure="false">Checklist!$B$1:$F$20</definedName>
    <definedName function="false" hidden="false" localSheetId="5" name="_xlnm.Print_Area" vbProcedure="false">'Exemplo - Calculadora'!$B$1:$G$34</definedName>
    <definedName function="false" hidden="false" localSheetId="6" name="_xlnm.Print_Area" vbProcedure="false">'Exemplo - Ficha'!$B$1:$Q$40</definedName>
    <definedName function="false" hidden="false" localSheetId="2" name="_xlnm.Print_Area" vbProcedure="false">'Ficha por câmera'!$B$1:$Q$33</definedName>
    <definedName function="false" hidden="false" localSheetId="0" name="_xlnm.Print_Area" vbProcedure="false">Instruções!$B$1:$C$38</definedName>
    <definedName function="false" hidden="false" localSheetId="3" name="_xlnm.Print_Area" vbProcedure="false">Referência!$B$1:$F$51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10" authorId="0">
      <text>
        <r>
          <rPr>
            <sz val="10"/>
            <rFont val="Arial"/>
            <family val="2"/>
          </rPr>
          <t xml:space="preserve">f: digite 2.8 para f/2,8</t>
        </r>
      </text>
    </comment>
    <comment ref="B11" authorId="0">
      <text>
        <r>
          <rPr>
            <sz val="10"/>
            <rFont val="Arial"/>
            <family val="2"/>
          </rPr>
          <t xml:space="preserve">digite só o x: 60 para 1/60</t>
        </r>
      </text>
    </comment>
    <comment ref="B12" authorId="0">
      <text>
        <r>
          <rPr>
            <sz val="10"/>
            <rFont val="Arial"/>
            <family val="2"/>
          </rPr>
          <t xml:space="preserve">use esta linha ou a do ganho</t>
        </r>
      </text>
    </comment>
    <comment ref="B13" authorId="0">
      <text>
        <r>
          <rPr>
            <sz val="10"/>
            <rFont val="Arial"/>
            <family val="2"/>
          </rPr>
          <t xml:space="preserve">filmadoras e PTZ: 6 dB = 1 stop</t>
        </r>
      </text>
    </comment>
    <comment ref="B14" authorId="0">
      <text>
        <r>
          <rPr>
            <sz val="10"/>
            <rFont val="Arial"/>
            <family val="2"/>
          </rPr>
          <t xml:space="preserve">0 sem filtro; ND8 = 3 stops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13" authorId="0">
      <text>
        <r>
          <rPr>
            <sz val="10"/>
            <rFont val="Arial"/>
            <family val="2"/>
          </rPr>
          <t xml:space="preserve">Digite só o denominador: 60 para 1/60.</t>
        </r>
      </text>
    </comment>
    <comment ref="G13" authorId="0">
      <text>
        <r>
          <rPr>
            <sz val="10"/>
            <rFont val="Arial"/>
            <family val="2"/>
          </rPr>
          <t xml:space="preserve">Preencha o ISO ou o ganho, conforme o que a câmera mostra.</t>
        </r>
      </text>
    </comment>
    <comment ref="J13" authorId="0">
      <text>
        <r>
          <rPr>
            <sz val="10"/>
            <rFont val="Arial"/>
            <family val="2"/>
          </rPr>
          <t xml:space="preserve">Nível da parte mais iluminada do rosto, em %, lido na forma de onda.
Sem forma de onda, anote o nível da zebra em que as listras começam a aparecer.</t>
        </r>
      </text>
    </comment>
    <comment ref="K13" authorId="0">
      <text>
        <r>
          <rPr>
            <sz val="10"/>
            <rFont val="Arial"/>
            <family val="2"/>
          </rPr>
          <t xml:space="preserve">A zebra de 100% aparece no rosto, na roupa clara ou no papel? Telão e refletor no quadro não contam.</t>
        </r>
      </text>
    </comment>
    <comment ref="N13" authorId="0">
      <text>
        <r>
          <rPr>
            <sz val="10"/>
            <rFont val="Arial"/>
            <family val="2"/>
          </rPr>
          <t xml:space="preserve">Diferença entre o rosto desta câmera e o da câmera 1, a referência.</t>
        </r>
      </text>
    </comment>
  </commentList>
</comments>
</file>

<file path=xl/sharedStrings.xml><?xml version="1.0" encoding="utf-8"?>
<sst xmlns="http://schemas.openxmlformats.org/spreadsheetml/2006/main" count="544" uniqueCount="374">
  <si>
    <t xml:space="preserve">Exposição — como usar esta planilha</t>
  </si>
  <si>
    <t xml:space="preserve">Calculadora de stops e ficha de ajuste por câmera, para usar na preparação das câmeras.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</si>
  <si>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</si>
  <si>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</si>
  <si>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</si>
  <si>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</si>
  <si>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</si>
  <si>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</si>
  <si>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</si>
  <si>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</si>
  <si>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Modo da câmera e zebra de 100% aceitam só as opções da lista.</t>
  </si>
  <si>
    <t xml:space="preserve">Números</t>
  </si>
  <si>
    <t xml:space="preserve">Digite só o número. Obturador: o x de 1/x (60 para 1/60). Abertura: 2.8 ou 2,8, conforme o separador do seu computador.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</si>
  <si>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</si>
  <si>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</si>
  <si>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</si>
  <si>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</si>
  <si>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Confira, no alto de cada aba, a taxa de quadros do sistema e a rede elétrica (60 Hz no Brasil).</t>
  </si>
  <si>
    <t xml:space="preserve">2</t>
  </si>
  <si>
    <t xml:space="preserve">Na câmera: exposição em manual, obturador no dobro da taxa de quadros, ISO no mínimo.</t>
  </si>
  <si>
    <t xml:space="preserve">3</t>
  </si>
  <si>
    <t xml:space="preserve">Com a luz do evento e alguém no palco, abra a íris até o rosto chegar ao nível; suba o ISO só se a íris acabar.</t>
  </si>
  <si>
    <t xml:space="preserve">4</t>
  </si>
  <si>
    <t xml:space="preserve">Aba Ficha por câmera: anote o ajuste e o nível do rosto de cada câmera. A câmera 1 é a referência.</t>
  </si>
  <si>
    <t xml:space="preserve">5</t>
  </si>
  <si>
    <t xml:space="preserve">Veja a situação e o que fazer. Corrija na câmera, meça de novo e troque os números pela nova leitura.</t>
  </si>
  <si>
    <t xml:space="preserve">6</t>
  </si>
  <si>
    <t xml:space="preserve">Aba Calculadora de stops: use quando quiser trocar um controle por outro sem mudar o brilho.</t>
  </si>
  <si>
    <t xml:space="preserve">7</t>
  </si>
  <si>
    <t xml:space="preserve">Aba Checklist: confira os doze itens antes do evento.</t>
  </si>
  <si>
    <t xml:space="preserve">Abas da planilha</t>
  </si>
  <si>
    <t xml:space="preserve">Calculadora de stops</t>
  </si>
  <si>
    <t xml:space="preserve">Compara dois ajustes e mostra a diferença em stops, o valor que compensa, o ângulo e a cintilação.</t>
  </si>
  <si>
    <t xml:space="preserve">Ficha por câmera</t>
  </si>
  <si>
    <t xml:space="preserve">Registro de até 8 câmeras, com situação calculada: OK, Cintilação, Estouro, Automático, Igualar e outras.</t>
  </si>
  <si>
    <t xml:space="preserve">Referência</t>
  </si>
  <si>
    <t xml:space="preserve">Obturador por taxa de quadros e por rede, escalas de stops, ganho, filtros ND e níveis de medição.</t>
  </si>
  <si>
    <t xml:space="preserve">Checklist</t>
  </si>
  <si>
    <t xml:space="preserve">Os doze itens do treinamento, com percentual atendido.</t>
  </si>
  <si>
    <t xml:space="preserve">Exemplo - Calculadora</t>
  </si>
  <si>
    <t xml:space="preserve">A conta do exemplo 1 do treinamento: palco escuro com imagem granulada.</t>
  </si>
  <si>
    <t xml:space="preserve">Exemplo - Ficha</t>
  </si>
  <si>
    <t xml:space="preserve">As quatro câmeras do exemplo 2 do treinamento, em uma formatura.</t>
  </si>
  <si>
    <t xml:space="preserve">Regras e premissas do modelo</t>
  </si>
  <si>
    <t xml:space="preserve">Stops</t>
  </si>
  <si>
    <t xml:space="preserve">1 stop dobra ou corta pela metade a luz. Abertura: 2 × log2 da razão dos números f. Obturador e ISO: log2 da razão. Ganho: 6 dB por stop.</t>
  </si>
  <si>
    <t xml:space="preserve">Valor que compensa</t>
  </si>
  <si>
    <t xml:space="preserve">É o valor que aquele controle de B precisaria ter para a diferença total ficar em zero, com os outros controles de B como estão.</t>
  </si>
  <si>
    <t xml:space="preserve">Cintilação</t>
  </si>
  <si>
    <t xml:space="preserve">OK quando o tempo do obturador cobre um número inteiro de pulsos da luz (2 × a frequência da rede). LED com dimmer e telões podem piscar em outra frequência: teste sempre.</t>
  </si>
  <si>
    <t xml:space="preserve">Movimento</t>
  </si>
  <si>
    <t xml:space="preserve">De 160° a 220°, regra dos 180°. Acima de 360° ou abaixo de 90°, a ficha pede para voltar ao dobro da taxa de quadros.</t>
  </si>
  <si>
    <t xml:space="preserve">Nível do rosto</t>
  </si>
  <si>
    <t xml:space="preserve">Medido na parte mais iluminada da pele, em % na forma de onda, no perfil de imagem padrão. A faixa inicial (45 a 70%) cobre pele morena e clara; para pele negra, baixe o mínimo para perto de 30.</t>
  </si>
  <si>
    <t xml:space="preserve">Situação</t>
  </si>
  <si>
    <t xml:space="preserve">A ficha mostra o problema mais grave de cada câmera: cintilação, obturador, estouro, automático, ganho alto, rosto fora da faixa, e por último a diferença para a câmera 1.</t>
  </si>
  <si>
    <t xml:space="preserve">Exemplos</t>
  </si>
  <si>
    <t xml:space="preserve">Os dados das abas de exemplo são ilustrativos, criados para este material.</t>
  </si>
  <si>
    <t xml:space="preserve">Calculadora de stops — equivalência entre f, obturador e ISO</t>
  </si>
  <si>
    <t xml:space="preserve">Digite o ajuste atual (A) e o novo ajuste (B). A planilha mostra a diferença de luz e o que compensa.</t>
  </si>
  <si>
    <t xml:space="preserve">Taxa de quadros (fps)</t>
  </si>
  <si>
    <t xml:space="preserve">A do sistema inteiro: 30 ou 60 é o mais comum. Use 30 para 29,97 e 60 para 59,94.</t>
  </si>
  <si>
    <t xml:space="preserve">Rede elétrica (Hz)</t>
  </si>
  <si>
    <t xml:space="preserve">60 no Brasil. Serve para conferir a cintilação da luz ligada na rede.</t>
  </si>
  <si>
    <t xml:space="preserve">Comparação de dois ajustes</t>
  </si>
  <si>
    <t xml:space="preserve">Controle</t>
  </si>
  <si>
    <t xml:space="preserve">Ajuste atual (A)</t>
  </si>
  <si>
    <t xml:space="preserve">Novo ajuste (B)</t>
  </si>
  <si>
    <t xml:space="preserve">Diferença</t>
  </si>
  <si>
    <t xml:space="preserve">Valor de B que compensa</t>
  </si>
  <si>
    <t xml:space="preserve">O que muda de A para B</t>
  </si>
  <si>
    <t xml:space="preserve">stops; + = B mais clara</t>
  </si>
  <si>
    <t xml:space="preserve">mantendo os outros de B</t>
  </si>
  <si>
    <t xml:space="preserve">Abertura (número f)</t>
  </si>
  <si>
    <t xml:space="preserve">Obturador (1/x de segundo)</t>
  </si>
  <si>
    <t xml:space="preserve">ISO</t>
  </si>
  <si>
    <t xml:space="preserve">Ganho (dB)</t>
  </si>
  <si>
    <t xml:space="preserve">Filtro ND (stops que corta)</t>
  </si>
  <si>
    <t xml:space="preserve">Diferença total (stops)</t>
  </si>
  <si>
    <t xml:space="preserve">Leitura</t>
  </si>
  <si>
    <t xml:space="preserve">OK quando a diferença total fica abaixo de 1/3 de stop, que não se vê na imagem.</t>
  </si>
  <si>
    <t xml:space="preserve">O obturador de cada ajuste</t>
  </si>
  <si>
    <t xml:space="preserve">Conferência</t>
  </si>
  <si>
    <t xml:space="preserve">A</t>
  </si>
  <si>
    <t xml:space="preserve">B</t>
  </si>
  <si>
    <t xml:space="preserve">Como é lida</t>
  </si>
  <si>
    <t xml:space="preserve">Ângulo do obturador (°)</t>
  </si>
  <si>
    <t xml:space="preserve">360 × taxa de quadros ÷ x. A regra dos 180° é o ponto de partida.</t>
  </si>
  <si>
    <t xml:space="preserve">Regra dos 180°: de 160° a 220°. Acima, mais borrão; abaixo de 90°, movimento picotado.</t>
  </si>
  <si>
    <t xml:space="preserve">Cintilação com luz da rede</t>
  </si>
  <si>
    <t xml:space="preserve">OK quando o tempo cobre um número inteiro de pulsos (2 × a rede). LED com dimmer pode piscar mesmo assim: teste.</t>
  </si>
  <si>
    <t xml:space="preserve">Conversores rápidos</t>
  </si>
  <si>
    <t xml:space="preserve">Converter</t>
  </si>
  <si>
    <t xml:space="preserve">Digite</t>
  </si>
  <si>
    <t xml:space="preserve">Resultado</t>
  </si>
  <si>
    <t xml:space="preserve">Unidade do resultado</t>
  </si>
  <si>
    <t xml:space="preserve">Ganho em dB → stops</t>
  </si>
  <si>
    <t xml:space="preserve">stops (6 dB = 1 stop)</t>
  </si>
  <si>
    <t xml:space="preserve">Stops → ganho em dB</t>
  </si>
  <si>
    <t xml:space="preserve">dB</t>
  </si>
  <si>
    <t xml:space="preserve">Filtro ND pelo fator (ND8 → 8) → stops</t>
  </si>
  <si>
    <t xml:space="preserve">stops que o filtro corta</t>
  </si>
  <si>
    <t xml:space="preserve">Filtro ND pela densidade (0,9) → stops</t>
  </si>
  <si>
    <t xml:space="preserve">Ângulo do obturador (°) → 1/x</t>
  </si>
  <si>
    <t xml:space="preserve">x de 1/x, na taxa de quadros do alto</t>
  </si>
  <si>
    <t xml:space="preserve">Obturador 1/x → ângulo (°)</t>
  </si>
  <si>
    <t xml:space="preserve">graus, na taxa de quadros do alto</t>
  </si>
  <si>
    <t xml:space="preserve">Valores de referência. A conta de stops é exata; o ISO de base, o ruído aceitável e a abertura real da lente mudam com a câmera.</t>
  </si>
  <si>
    <t xml:space="preserve">Ficha de ajuste por câmera</t>
  </si>
  <si>
    <t xml:space="preserve">Com a luz do evento e alguém no palco, anote o ajuste e o nível do rosto de cada câmera. As células cinza são calculadas.</t>
  </si>
  <si>
    <t xml:space="preserve">Evento</t>
  </si>
  <si>
    <t xml:space="preserve">A do sistema. Use 30 para 29,97 e 60 para 59,94.</t>
  </si>
  <si>
    <t xml:space="preserve">Local e luz</t>
  </si>
  <si>
    <t xml:space="preserve">60 no Brasil.</t>
  </si>
  <si>
    <t xml:space="preserve">Data</t>
  </si>
  <si>
    <t xml:space="preserve">Rosto: nível mínimo (%)</t>
  </si>
  <si>
    <t xml:space="preserve">Parte mais iluminada da pele. Pele negra: perto de 30. Morena: 45.</t>
  </si>
  <si>
    <t xml:space="preserve">Responsável</t>
  </si>
  <si>
    <t xml:space="preserve">Rosto: nível máximo (%)</t>
  </si>
  <si>
    <t xml:space="preserve">Pele clara: perto de 70. Ajuste a faixa à pessoa de referência.</t>
  </si>
  <si>
    <t xml:space="preserve">Pessoa de referência</t>
  </si>
  <si>
    <t xml:space="preserve">Tolerância entre câmeras</t>
  </si>
  <si>
    <t xml:space="preserve">Diferença de nível do rosto, em pontos de %, que ainda conta como igual.</t>
  </si>
  <si>
    <t xml:space="preserve">ISO máximo aceitável</t>
  </si>
  <si>
    <t xml:space="preserve">O que a sua câmera aguenta sem ruído incômodo. Teste.</t>
  </si>
  <si>
    <t xml:space="preserve">Ganho máximo aceitável (dB)</t>
  </si>
  <si>
    <t xml:space="preserve">Para câmeras que mostram ganho em dB.</t>
  </si>
  <si>
    <t xml:space="preserve">Ajuste e medição de cada câmera</t>
  </si>
  <si>
    <t xml:space="preserve">nº</t>
  </si>
  <si>
    <t xml:space="preserve">Câmera e posição</t>
  </si>
  <si>
    <t xml:space="preserve">Modo</t>
  </si>
  <si>
    <t xml:space="preserve">Obturador</t>
  </si>
  <si>
    <t xml:space="preserve">Abertura</t>
  </si>
  <si>
    <t xml:space="preserve">Ganho</t>
  </si>
  <si>
    <t xml:space="preserve">ND</t>
  </si>
  <si>
    <t xml:space="preserve">Rosto</t>
  </si>
  <si>
    <t xml:space="preserve">Zebra 100%</t>
  </si>
  <si>
    <t xml:space="preserve">Ângulo</t>
  </si>
  <si>
    <t xml:space="preserve">Rosto − câm. 1</t>
  </si>
  <si>
    <t xml:space="preserve">O que fazer</t>
  </si>
  <si>
    <t xml:space="preserve">Observação</t>
  </si>
  <si>
    <t xml:space="preserve">a câmera 1 é a referência</t>
  </si>
  <si>
    <t xml:space="preserve">Manual / Auto</t>
  </si>
  <si>
    <t xml:space="preserve">x de 1/x</t>
  </si>
  <si>
    <t xml:space="preserve">número f</t>
  </si>
  <si>
    <t xml:space="preserve">ou ganho</t>
  </si>
  <si>
    <t xml:space="preserve">stops</t>
  </si>
  <si>
    <t xml:space="preserve">% na forma de onda</t>
  </si>
  <si>
    <t xml:space="preserve">no que importa?</t>
  </si>
  <si>
    <t xml:space="preserve">graus</t>
  </si>
  <si>
    <t xml:space="preserve">luz da rede</t>
  </si>
  <si>
    <t xml:space="preserve">pontos de %</t>
  </si>
  <si>
    <t xml:space="preserve">Ex.</t>
  </si>
  <si>
    <t xml:space="preserve">Câmera lateral, close</t>
  </si>
  <si>
    <t xml:space="preserve">Manual</t>
  </si>
  <si>
    <t xml:space="preserve">Não</t>
  </si>
  <si>
    <t xml:space="preserve">OK</t>
  </si>
  <si>
    <t xml:space="preserve">Igualar</t>
  </si>
  <si>
    <t xml:space="preserve">Mais escuro que a câmera 1: abra a íris. Se acabou, suba o ISO</t>
  </si>
  <si>
    <t xml:space="preserve">Resumo automático</t>
  </si>
  <si>
    <t xml:space="preserve">Câmeras registradas</t>
  </si>
  <si>
    <t xml:space="preserve">Na faixa (OK)</t>
  </si>
  <si>
    <t xml:space="preserve">A corrigir</t>
  </si>
  <si>
    <t xml:space="preserve">Maior nível do rosto (%)</t>
  </si>
  <si>
    <t xml:space="preserve">Menor nível do rosto (%)</t>
  </si>
  <si>
    <t xml:space="preserve">Diferença entre câmeras (pontos)</t>
  </si>
  <si>
    <t xml:space="preserve">Aviso</t>
  </si>
  <si>
    <t xml:space="preserve">Faixas de ângulo (90° a 360°) e de rosto são regra prática deste material, e não norma. Iguale as câmeras pelo resultado, e não pelos números.</t>
  </si>
  <si>
    <t xml:space="preserve">Referência — valores típicos de exposição</t>
  </si>
  <si>
    <t xml:space="preserve">Valores de referência, para servir de ponto de partida. Confira o manual da sua câmera e da sua lente.</t>
  </si>
  <si>
    <t xml:space="preserve">Obturador por taxa de quadros</t>
  </si>
  <si>
    <t xml:space="preserve">Taxa de quadros</t>
  </si>
  <si>
    <t xml:space="preserve">Regra dos 180°</t>
  </si>
  <si>
    <t xml:space="preserve">Mais lento, não</t>
  </si>
  <si>
    <t xml:space="preserve">Na rede de 60 Hz</t>
  </si>
  <si>
    <t xml:space="preserve">24 fps</t>
  </si>
  <si>
    <t xml:space="preserve">1/48 ou 1/50</t>
  </si>
  <si>
    <t xml:space="preserve">1/24</t>
  </si>
  <si>
    <t xml:space="preserve">1/60</t>
  </si>
  <si>
    <t xml:space="preserve">Em 60 Hz, 1/50 pode cintilar: prefira 1/60 (144°).</t>
  </si>
  <si>
    <t xml:space="preserve">25 fps</t>
  </si>
  <si>
    <t xml:space="preserve">1/50</t>
  </si>
  <si>
    <t xml:space="preserve">1/25</t>
  </si>
  <si>
    <t xml:space="preserve">Taxa de países com rede de 50 Hz. Em 60 Hz, use 1/60.</t>
  </si>
  <si>
    <t xml:space="preserve">30 fps (29,97)</t>
  </si>
  <si>
    <t xml:space="preserve">1/30</t>
  </si>
  <si>
    <t xml:space="preserve">O caso mais comum em culto e palestra.</t>
  </si>
  <si>
    <t xml:space="preserve">50 fps</t>
  </si>
  <si>
    <t xml:space="preserve">1/100</t>
  </si>
  <si>
    <t xml:space="preserve">1/60 ou 1/120</t>
  </si>
  <si>
    <t xml:space="preserve">Taxa de países com rede de 50 Hz.</t>
  </si>
  <si>
    <t xml:space="preserve">60 fps (59,94)</t>
  </si>
  <si>
    <t xml:space="preserve">1/120</t>
  </si>
  <si>
    <t xml:space="preserve">1/120 ou 1/60</t>
  </si>
  <si>
    <t xml:space="preserve">Algumas câmeras oferecem 1/125. Com pouca luz, 1/60 dá 1 stop a mais.</t>
  </si>
  <si>
    <t xml:space="preserve">Obturador e cintilação da luz ligada na rede</t>
  </si>
  <si>
    <t xml:space="preserve">Rede elétrica</t>
  </si>
  <si>
    <t xml:space="preserve">Pulsos da luz</t>
  </si>
  <si>
    <t xml:space="preserve">Obturadores seguros</t>
  </si>
  <si>
    <t xml:space="preserve">Evite</t>
  </si>
  <si>
    <t xml:space="preserve">60 Hz (Brasil)</t>
  </si>
  <si>
    <t xml:space="preserve">120 por segundo</t>
  </si>
  <si>
    <t xml:space="preserve">1/30, 1/40, 1/60, 1/120</t>
  </si>
  <si>
    <t xml:space="preserve">1/50, 1/100, mais rápido que 1/120</t>
  </si>
  <si>
    <t xml:space="preserve">LED com dimmer e painel de LED podem piscar em outra frequência: teste.</t>
  </si>
  <si>
    <t xml:space="preserve">50 Hz</t>
  </si>
  <si>
    <t xml:space="preserve">100 por segundo</t>
  </si>
  <si>
    <t xml:space="preserve">1/25, 1/50, 1/100</t>
  </si>
  <si>
    <t xml:space="preserve">1/60, 1/120, mais rápido que 1/100</t>
  </si>
  <si>
    <t xml:space="preserve">Cuidado com ajustes copiados de tutoriais desses países.</t>
  </si>
  <si>
    <t xml:space="preserve">Escalas de stops (cada linha para baixo: 1 stop a mais de luz)</t>
  </si>
  <si>
    <t xml:space="preserve">Stop</t>
  </si>
  <si>
    <t xml:space="preserve">Terços de stop entre esta linha e a de baixo</t>
  </si>
  <si>
    <t xml:space="preserve">−3</t>
  </si>
  <si>
    <t xml:space="preserve">f/11</t>
  </si>
  <si>
    <t xml:space="preserve">1/500</t>
  </si>
  <si>
    <t xml:space="preserve">100</t>
  </si>
  <si>
    <t xml:space="preserve">f/10 e f/9; ISO 125 e 160</t>
  </si>
  <si>
    <t xml:space="preserve">−2</t>
  </si>
  <si>
    <t xml:space="preserve">f/8</t>
  </si>
  <si>
    <t xml:space="preserve">1/250</t>
  </si>
  <si>
    <t xml:space="preserve">200</t>
  </si>
  <si>
    <t xml:space="preserve">f/7,1 e f/6,3; ISO 250 e 320</t>
  </si>
  <si>
    <t xml:space="preserve">−1</t>
  </si>
  <si>
    <t xml:space="preserve">f/5,6</t>
  </si>
  <si>
    <t xml:space="preserve">1/125</t>
  </si>
  <si>
    <t xml:space="preserve">400</t>
  </si>
  <si>
    <t xml:space="preserve">f/5 e f/4,5; ISO 500 e 640</t>
  </si>
  <si>
    <t xml:space="preserve">0</t>
  </si>
  <si>
    <t xml:space="preserve">f/4</t>
  </si>
  <si>
    <t xml:space="preserve">800</t>
  </si>
  <si>
    <t xml:space="preserve">f/3,5 e f/3,2; ISO 1000 e 1250</t>
  </si>
  <si>
    <t xml:space="preserve">+1</t>
  </si>
  <si>
    <t xml:space="preserve">f/2,8</t>
  </si>
  <si>
    <t xml:space="preserve">1600</t>
  </si>
  <si>
    <t xml:space="preserve">f/2,5 e f/2,2; ISO 2000 e 2500</t>
  </si>
  <si>
    <t xml:space="preserve">+2</t>
  </si>
  <si>
    <t xml:space="preserve">f/2</t>
  </si>
  <si>
    <t xml:space="preserve">1/15</t>
  </si>
  <si>
    <t xml:space="preserve">3200</t>
  </si>
  <si>
    <t xml:space="preserve">f/1,8 e f/1,6; ISO 4000 e 5000</t>
  </si>
  <si>
    <t xml:space="preserve">+3</t>
  </si>
  <si>
    <t xml:space="preserve">f/1,4</t>
  </si>
  <si>
    <t xml:space="preserve">1/8</t>
  </si>
  <si>
    <t xml:space="preserve">6400</t>
  </si>
  <si>
    <t xml:space="preserve">Obturador abaixo de 1/30 não serve para vídeo em 30 fps.</t>
  </si>
  <si>
    <t xml:space="preserve">Ganho em dB e ISO</t>
  </si>
  <si>
    <t xml:space="preserve">Multiplica o sinal por</t>
  </si>
  <si>
    <t xml:space="preserve">Se 0 dB = ISO 800</t>
  </si>
  <si>
    <t xml:space="preserve">Na imagem (varia com o sensor)</t>
  </si>
  <si>
    <t xml:space="preserve">0 dB</t>
  </si>
  <si>
    <t xml:space="preserve">ISO 800</t>
  </si>
  <si>
    <t xml:space="preserve">O melhor que a câmera entrega.</t>
  </si>
  <si>
    <t xml:space="preserve">+6 dB</t>
  </si>
  <si>
    <t xml:space="preserve">ISO 1600</t>
  </si>
  <si>
    <t xml:space="preserve">Em geral ainda limpa.</t>
  </si>
  <si>
    <t xml:space="preserve">+12 dB</t>
  </si>
  <si>
    <t xml:space="preserve">ISO 3200</t>
  </si>
  <si>
    <t xml:space="preserve">Ruído começa nas sombras em sensores pequenos.</t>
  </si>
  <si>
    <t xml:space="preserve">+18 dB</t>
  </si>
  <si>
    <t xml:space="preserve">8</t>
  </si>
  <si>
    <t xml:space="preserve">ISO 6400</t>
  </si>
  <si>
    <t xml:space="preserve">Ruído visível em sensores pequenos.</t>
  </si>
  <si>
    <t xml:space="preserve">+24 dB</t>
  </si>
  <si>
    <t xml:space="preserve">16</t>
  </si>
  <si>
    <t xml:space="preserve">ISO 12800</t>
  </si>
  <si>
    <t xml:space="preserve">Ruído evidente na maioria das câmeras.</t>
  </si>
  <si>
    <t xml:space="preserve">Filtros ND</t>
  </si>
  <si>
    <t xml:space="preserve">Nome pelo fator</t>
  </si>
  <si>
    <t xml:space="preserve">Luz que passa</t>
  </si>
  <si>
    <t xml:space="preserve">Nome pela densidade</t>
  </si>
  <si>
    <t xml:space="preserve">Stops que corta</t>
  </si>
  <si>
    <t xml:space="preserve">Uso típico</t>
  </si>
  <si>
    <t xml:space="preserve">ND2</t>
  </si>
  <si>
    <t xml:space="preserve">1/2</t>
  </si>
  <si>
    <t xml:space="preserve">ND 0,3</t>
  </si>
  <si>
    <t xml:space="preserve">Ajuste fino.</t>
  </si>
  <si>
    <t xml:space="preserve">ND4</t>
  </si>
  <si>
    <t xml:space="preserve">1/4</t>
  </si>
  <si>
    <t xml:space="preserve">ND 0,6</t>
  </si>
  <si>
    <t xml:space="preserve">Dia nublado, ou sombra.</t>
  </si>
  <si>
    <t xml:space="preserve">ND8</t>
  </si>
  <si>
    <t xml:space="preserve">ND 0,9</t>
  </si>
  <si>
    <t xml:space="preserve">Dia claro com câmera de ISO de base baixo.</t>
  </si>
  <si>
    <t xml:space="preserve">ND16</t>
  </si>
  <si>
    <t xml:space="preserve">1/16</t>
  </si>
  <si>
    <t xml:space="preserve">ND 1,2</t>
  </si>
  <si>
    <t xml:space="preserve">Sol, com íris entre f/4 e f/8.</t>
  </si>
  <si>
    <t xml:space="preserve">ND64</t>
  </si>
  <si>
    <t xml:space="preserve">1/64</t>
  </si>
  <si>
    <t xml:space="preserve">ND 1,8</t>
  </si>
  <si>
    <t xml:space="preserve">Sol forte, ou câmera de ISO de base alto.</t>
  </si>
  <si>
    <t xml:space="preserve">Níveis na forma de onda (perfil de imagem padrão)</t>
  </si>
  <si>
    <t xml:space="preserve">O que</t>
  </si>
  <si>
    <t xml:space="preserve">Nível</t>
  </si>
  <si>
    <t xml:space="preserve">Zebra</t>
  </si>
  <si>
    <t xml:space="preserve">False color</t>
  </si>
  <si>
    <t xml:space="preserve">Estouro</t>
  </si>
  <si>
    <t xml:space="preserve">100% ou mais</t>
  </si>
  <si>
    <t xml:space="preserve">zebra de 100%</t>
  </si>
  <si>
    <t xml:space="preserve">em geral, vermelho</t>
  </si>
  <si>
    <t xml:space="preserve">Nada importante deve ficar aqui. Telão e refletor podem.</t>
  </si>
  <si>
    <t xml:space="preserve">Branco com detalhe</t>
  </si>
  <si>
    <t xml:space="preserve">80 a 90%</t>
  </si>
  <si>
    <t xml:space="preserve">–</t>
  </si>
  <si>
    <t xml:space="preserve">Camisa, papel, toalha da mesa.</t>
  </si>
  <si>
    <t xml:space="preserve">Rosto de pele clara</t>
  </si>
  <si>
    <t xml:space="preserve">60 a 70%</t>
  </si>
  <si>
    <t xml:space="preserve">zebra de 70% começa a riscar</t>
  </si>
  <si>
    <t xml:space="preserve">faixa da pele</t>
  </si>
  <si>
    <t xml:space="preserve">Parte mais iluminada do rosto.</t>
  </si>
  <si>
    <t xml:space="preserve">Rosto de pele morena</t>
  </si>
  <si>
    <t xml:space="preserve">45 a 60%</t>
  </si>
  <si>
    <t xml:space="preserve">faixa da pele ou abaixo</t>
  </si>
  <si>
    <t xml:space="preserve">Use a forma de onda, ou baixe o nível da zebra.</t>
  </si>
  <si>
    <t xml:space="preserve">Rosto de pele negra</t>
  </si>
  <si>
    <t xml:space="preserve">30 a 45%</t>
  </si>
  <si>
    <t xml:space="preserve">abaixo da faixa da pele</t>
  </si>
  <si>
    <t xml:space="preserve">Bem exposto mesmo sem nenhuma listra de zebra.</t>
  </si>
  <si>
    <t xml:space="preserve">Preto sem detalhe</t>
  </si>
  <si>
    <t xml:space="preserve">abaixo de 5%</t>
  </si>
  <si>
    <t xml:space="preserve">em geral, roxo ou azul</t>
  </si>
  <si>
    <t xml:space="preserve">Normal no fundo de um palco escuro.</t>
  </si>
  <si>
    <t xml:space="preserve">Faixas típicas. Mudam com a câmera, a lente, o perfil de imagem e a pessoa. Em perfis log, todos os níveis ficam mais baixos.</t>
  </si>
  <si>
    <t xml:space="preserve">Checklist da exposição</t>
  </si>
  <si>
    <t xml:space="preserve">Confira na preparação, com a luz do evento ligada e alguém no palco. Escolha a situação de cada item na lista suspensa.</t>
  </si>
  <si>
    <t xml:space="preserve">#</t>
  </si>
  <si>
    <t xml:space="preserve">Grupo</t>
  </si>
  <si>
    <t xml:space="preserve">Item</t>
  </si>
  <si>
    <t xml:space="preserve">Sistema</t>
  </si>
  <si>
    <t xml:space="preserve">Todas as câmeras estão na mesma taxa de quadros, a do sistema.</t>
  </si>
  <si>
    <t xml:space="preserve">A exposição está em manual: íris, obturador e ISO ou ganho, sem nenhum automático ligado.</t>
  </si>
  <si>
    <t xml:space="preserve">O obturador está no dobro da taxa de quadros (1/60 em 30 fps; 1/120 ou 1/60 em 60 fps).</t>
  </si>
  <si>
    <t xml:space="preserve">Não há cintilação nem faixas na imagem, com a luz do evento, o telão e o projetor ligados.</t>
  </si>
  <si>
    <t xml:space="preserve">Exposição</t>
  </si>
  <si>
    <t xml:space="preserve">A íris foi ajustada com a luz do evento e uma pessoa no palco, e não com a luz de serviço.</t>
  </si>
  <si>
    <t xml:space="preserve">O ISO ou ganho é o menor que dá a exposição certa, e o ruído foi conferido em um monitor grande.</t>
  </si>
  <si>
    <t xml:space="preserve">Ao ar livre, o filtro ND está ligado e a íris não passa de f/11. Em local fechado, o ND está desligado.</t>
  </si>
  <si>
    <t xml:space="preserve">Medição</t>
  </si>
  <si>
    <t xml:space="preserve">O rosto da pessoa principal está no nível certo na forma de onda ou na zebra.</t>
  </si>
  <si>
    <t xml:space="preserve">Nada importante estoura: não há zebra de 100% no rosto, na roupa clara nem no papel.</t>
  </si>
  <si>
    <t xml:space="preserve">A exposição foi conferida com o zoom nas duas pontas.</t>
  </si>
  <si>
    <t xml:space="preserve">Câmeras</t>
  </si>
  <si>
    <t xml:space="preserve">O rosto tem o mesmo nível em todas as câmeras, comparadas lado a lado no multiview.</t>
  </si>
  <si>
    <t xml:space="preserve">Os ajustes de cada câmera estão anotados, e a equipe sabe que a correção durante o evento é na íris.</t>
  </si>
  <si>
    <t xml:space="preserve">Itens respondidos</t>
  </si>
  <si>
    <t xml:space="preserve">Percentual atendido (Parcial vale metade)</t>
  </si>
  <si>
    <t xml:space="preserve">Exemplo preenchido (exemplo 1 do treinamento). Use a aba Calculadora de stops para as suas contas.</t>
  </si>
  <si>
    <t xml:space="preserve">O que observar</t>
  </si>
  <si>
    <t xml:space="preserve">A íris (+1,0) e o obturador (+2,1) devolveram 3 stops de luz de verdade, e o ISO pôde descer os mesmos 3 stops, de 12800 para 1600. A sobra de 0,1 stop não se vê. O ajuste A tinha o obturador fora da regra e com risco de cintilação.</t>
  </si>
  <si>
    <t xml:space="preserve">Exemplo preenchido: as câmeras do exemplo 2 do treinamento, como foram encontradas.</t>
  </si>
  <si>
    <t xml:space="preserve">Formatura no auditório da escola</t>
  </si>
  <si>
    <t xml:space="preserve">Auditório, luz de palco e telão de LED</t>
  </si>
  <si>
    <t xml:space="preserve">Diretor de imagem</t>
  </si>
  <si>
    <t xml:space="preserve">Orador no púlpito</t>
  </si>
  <si>
    <t xml:space="preserve">Ajustes encontrados antes da correção. Rosto medido na forma de onda, com o orador no púlpito e a luz do evento. As colunas de L a P são calculadas.</t>
  </si>
  <si>
    <t xml:space="preserve">1. Central, plano geral</t>
  </si>
  <si>
    <t xml:space="preserve">2. Lateral, close do orador</t>
  </si>
  <si>
    <t xml:space="preserve">3. PTZ no fundo</t>
  </si>
  <si>
    <t xml:space="preserve">Automático</t>
  </si>
  <si>
    <t xml:space="preserve">Sim</t>
  </si>
  <si>
    <t xml:space="preserve">4. Câmera móvel, zoom fechado</t>
  </si>
  <si>
    <t xml:space="preserve">O que foi ajustado</t>
  </si>
  <si>
    <t xml:space="preserve">Câm.</t>
  </si>
  <si>
    <t xml:space="preserve">O que foi feito</t>
  </si>
  <si>
    <t xml:space="preserve">Leitura depois</t>
  </si>
  <si>
    <t xml:space="preserve">Nada. As outras câmeras foram igualadas a ela.</t>
  </si>
  <si>
    <t xml:space="preserve">rosto em 62%</t>
  </si>
  <si>
    <t xml:space="preserve">Obturador de 1/100 para 1/60. Íris fechada de f/2,8 para f/3,5, para compensar.</t>
  </si>
  <si>
    <t xml:space="preserve">rosto em 61%, sem faixas</t>
  </si>
  <si>
    <t xml:space="preserve">Exposição em manual. ISO de 6400 para 1600, com a íris em f/2,8.</t>
  </si>
  <si>
    <t xml:space="preserve">rosto em 63%</t>
  </si>
  <si>
    <t xml:space="preserve">A lente fecha para f/5,6 no fim do zoom: ISO de 1600 para 3200.</t>
  </si>
  <si>
    <t xml:space="preserve">rosto em 61%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</si>
</sst>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+0.0;\-0.0;0.0"/>
    <numFmt numFmtId="166" formatCode="General"/>
    <numFmt numFmtId="167" formatCode="dd/mm/yyyy"/>
    <numFmt numFmtId="168" formatCode="\+0;\-0;0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10"/>
      <color rgb="FF5B6B7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A96A12"/>
        <bgColor rgb="FF993300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993366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5"/>
    <col collapsed="false" customWidth="true" hidden="false" outlineLevel="0" max="6" min="6" style="0" width="17"/>
    <col collapsed="false" customWidth="true" hidden="false" outlineLevel="0" max="7" min="7" style="0" width="54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58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59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4" t="s">
        <v>60</v>
      </c>
      <c r="C4" s="4"/>
      <c r="D4" s="9" t="n">
        <v>30</v>
      </c>
      <c r="E4" s="10" t="s">
        <v>61</v>
      </c>
      <c r="F4" s="10"/>
      <c r="G4" s="10"/>
    </row>
    <row r="5" customFormat="false" ht="21.75" hidden="false" customHeight="true" outlineLevel="0" collapsed="false">
      <c r="B5" s="4" t="s">
        <v>62</v>
      </c>
      <c r="C5" s="4"/>
      <c r="D5" s="9" t="n">
        <v>60</v>
      </c>
      <c r="E5" s="10" t="s">
        <v>63</v>
      </c>
      <c r="F5" s="10"/>
      <c r="G5" s="10"/>
    </row>
    <row r="7" customFormat="false" ht="21.75" hidden="false" customHeight="true" outlineLevel="0" collapsed="false">
      <c r="B7" s="11" t="s">
        <v>64</v>
      </c>
      <c r="C7" s="11"/>
      <c r="D7" s="11"/>
      <c r="E7" s="11"/>
      <c r="F7" s="11"/>
      <c r="G7" s="11"/>
    </row>
    <row r="8" customFormat="false" ht="30" hidden="false" customHeight="true" outlineLevel="0" collapsed="false">
      <c r="B8" s="12" t="s">
        <v>65</v>
      </c>
      <c r="C8" s="13" t="s">
        <v>66</v>
      </c>
      <c r="D8" s="13" t="s">
        <v>67</v>
      </c>
      <c r="E8" s="14" t="s">
        <v>68</v>
      </c>
      <c r="F8" s="14" t="s">
        <v>69</v>
      </c>
      <c r="G8" s="14" t="s">
        <v>70</v>
      </c>
    </row>
    <row r="9" customFormat="false" ht="24" hidden="false" customHeight="true" outlineLevel="0" collapsed="false">
      <c r="B9" s="15"/>
      <c r="C9" s="15"/>
      <c r="D9" s="15"/>
      <c r="E9" s="15" t="s">
        <v>71</v>
      </c>
      <c r="F9" s="15" t="s">
        <v>72</v>
      </c>
      <c r="G9" s="15"/>
    </row>
    <row r="10" customFormat="false" ht="24" hidden="false" customHeight="true" outlineLevel="0" collapsed="false">
      <c r="B10" s="4" t="s">
        <v>73</v>
      </c>
      <c r="C10" s="9"/>
      <c r="D10" s="9"/>
      <c r="E10" s="16" t="str">
        <f aca="false">IF(OR(C10="",D10="",C10&lt;=0,D10&lt;=0),"",IFERROR(2*LOG10(C10/D10)/LOG10(2),""))</f>
        <v/>
      </c>
      <c r="F10" s="17" t="str">
        <f aca="false">IF(OR(E10="",$E$15=""),"",IFERROR(ROUND(D10*2^($E$15/2),1),""))</f>
        <v/>
      </c>
      <c r="G10" s="18" t="str">
        <f aca="false">IF(E10="","",IF(D10&lt;C10,"Íris mais aberta: mais luz e fundo mais desfocado",IF(D10&gt;C10,"Íris mais fechada: menos luz e mais profundidade de campo","Sem mudança")))</f>
        <v/>
      </c>
    </row>
    <row r="11" customFormat="false" ht="24" hidden="false" customHeight="true" outlineLevel="0" collapsed="false">
      <c r="B11" s="4" t="s">
        <v>74</v>
      </c>
      <c r="C11" s="9"/>
      <c r="D11" s="9"/>
      <c r="E11" s="16" t="str">
        <f aca="false">IF(OR(C11="",D11="",C11&lt;=0,D11&lt;=0),"",IFERROR(LOG10(C11/D11)/LOG10(2),""))</f>
        <v/>
      </c>
      <c r="F11" s="17" t="str">
        <f aca="false">IF(OR(E11="",$E$15=""),"",IFERROR(ROUND(D11*2^$E$15,0),""))</f>
        <v/>
      </c>
      <c r="G11" s="18" t="str">
        <f aca="false">IF(E11="","",IF(D11&lt;C11,"Obturador mais lento: mais luz e mais borrão",IF(D11&gt;C11,"Obturador mais rápido: menos luz e movimento mais picotado","Sem mudança")))</f>
        <v/>
      </c>
    </row>
    <row r="12" customFormat="false" ht="24" hidden="false" customHeight="true" outlineLevel="0" collapsed="false">
      <c r="B12" s="4" t="s">
        <v>75</v>
      </c>
      <c r="C12" s="9"/>
      <c r="D12" s="9"/>
      <c r="E12" s="16" t="str">
        <f aca="false">IF(OR(C12="",D12="",C12&lt;=0,D12&lt;=0),"",IFERROR(LOG10(D12/C12)/LOG10(2),""))</f>
        <v/>
      </c>
      <c r="F12" s="17" t="str">
        <f aca="false">IF(OR(E12="",$E$15=""),"",IFERROR(ROUND(D12/2^$E$15,0),""))</f>
        <v/>
      </c>
      <c r="G12" s="18" t="str">
        <f aca="false">IF(E12="","",IF(D12&gt;C12,"ISO maior: mais claro e mais ruído",IF(D12&lt;C12,"ISO menor: mais escuro e menos ruído","Sem mudança")))</f>
        <v/>
      </c>
    </row>
    <row r="13" customFormat="false" ht="24" hidden="false" customHeight="true" outlineLevel="0" collapsed="false">
      <c r="B13" s="4" t="s">
        <v>76</v>
      </c>
      <c r="C13" s="9"/>
      <c r="D13" s="9"/>
      <c r="E13" s="16" t="str">
        <f aca="false">IF(OR(C13="",D13=""),"",IFERROR((D13-C13)/6,""))</f>
        <v/>
      </c>
      <c r="F13" s="17" t="str">
        <f aca="false">IF(OR(E13="",$E$15=""),"",IFERROR(ROUND(D13-6*$E$15,0),""))</f>
        <v/>
      </c>
      <c r="G13" s="18" t="str">
        <f aca="false">IF(E13="","",IF(D13&gt;C13,"Ganho maior: mais claro e mais ruído",IF(D13&lt;C13,"Ganho menor: mais escuro e menos ruído","Sem mudança")))</f>
        <v/>
      </c>
    </row>
    <row r="14" customFormat="false" ht="24" hidden="false" customHeight="true" outlineLevel="0" collapsed="false">
      <c r="B14" s="4" t="s">
        <v>77</v>
      </c>
      <c r="C14" s="9"/>
      <c r="D14" s="9"/>
      <c r="E14" s="16" t="str">
        <f aca="false">IF(OR(C14="",D14=""),"",IFERROR(C14-D14,""))</f>
        <v/>
      </c>
      <c r="F14" s="17" t="str">
        <f aca="false">IF(OR(E14="",$E$15=""),"",IFERROR(ROUND(D14+$E$15,1),""))</f>
        <v/>
      </c>
      <c r="G14" s="18" t="str">
        <f aca="false">IF(E14="","",IF(D14&gt;C14,"Mais ND: menos luz, sem outro efeito na imagem",IF(D14&lt;C14,"Menos ND: mais luz, sem outro efeito na imagem","Sem mudança")))</f>
        <v/>
      </c>
    </row>
    <row r="15" customFormat="false" ht="19.5" hidden="false" customHeight="true" outlineLevel="0" collapsed="false">
      <c r="B15" s="19" t="s">
        <v>78</v>
      </c>
      <c r="C15" s="19"/>
      <c r="D15" s="19"/>
      <c r="E15" s="16" t="str">
        <f aca="false">IF(COUNT(E10:E14)=0,"",SUM(E10:E14))</f>
        <v/>
      </c>
    </row>
    <row r="16" customFormat="false" ht="21.75" hidden="false" customHeight="true" outlineLevel="0" collapsed="false">
      <c r="B16" s="19" t="s">
        <v>79</v>
      </c>
      <c r="C16" s="19"/>
      <c r="D16" s="19"/>
      <c r="E16" s="20" t="str">
        <f aca="false">IF(E15="","",IF(ABS(E15)&lt;1/3,"OK",IF(E15&gt;0,"B mais clara que A","B mais escura que A")))</f>
        <v/>
      </c>
      <c r="F16" s="20"/>
      <c r="G16" s="10" t="s">
        <v>80</v>
      </c>
    </row>
    <row r="18" customFormat="false" ht="21.75" hidden="false" customHeight="true" outlineLevel="0" collapsed="false">
      <c r="B18" s="11" t="s">
        <v>81</v>
      </c>
      <c r="C18" s="11"/>
      <c r="D18" s="11"/>
      <c r="E18" s="11"/>
      <c r="F18" s="11"/>
      <c r="G18" s="11"/>
    </row>
    <row r="19" customFormat="false" ht="15" hidden="false" customHeight="true" outlineLevel="0" collapsed="false">
      <c r="B19" s="12" t="s">
        <v>82</v>
      </c>
      <c r="C19" s="13" t="s">
        <v>83</v>
      </c>
      <c r="D19" s="13" t="s">
        <v>84</v>
      </c>
      <c r="E19" s="14" t="s">
        <v>85</v>
      </c>
      <c r="F19" s="14"/>
      <c r="G19" s="14"/>
    </row>
    <row r="20" customFormat="false" ht="30" hidden="false" customHeight="true" outlineLevel="0" collapsed="false">
      <c r="B20" s="4" t="s">
        <v>86</v>
      </c>
      <c r="C20" s="8" t="str">
        <f aca="false">IF(OR(C11="",$D$4=""),"",IFERROR(ROUND(360*$D$4/C11,0),""))</f>
        <v/>
      </c>
      <c r="D20" s="8" t="str">
        <f aca="false">IF(OR(D11="",$D$4=""),"",IFERROR(ROUND(360*$D$4/D11,0),""))</f>
        <v/>
      </c>
      <c r="E20" s="10" t="s">
        <v>87</v>
      </c>
      <c r="F20" s="10"/>
      <c r="G20" s="10"/>
    </row>
    <row r="21" customFormat="false" ht="30" hidden="false" customHeight="true" outlineLevel="0" collapsed="false">
      <c r="B21" s="4" t="s">
        <v>50</v>
      </c>
      <c r="C21" s="21" t="str">
        <f aca="false">IF(C20="","",IF(C20&gt;360,"Mais lento que um quadro: evite",IF(C20&gt;220,"Borrão maior que o natural",IF(C20&gt;=160,"Regra dos 180°: OK",IF(C20&gt;=90,"Pouco borrão","Movimento picotado")))))</f>
        <v/>
      </c>
      <c r="D21" s="21" t="str">
        <f aca="false">IF(D20="","",IF(D20&gt;360,"Mais lento que um quadro: evite",IF(D20&gt;220,"Borrão maior que o natural",IF(D20&gt;=160,"Regra dos 180°: OK",IF(D20&gt;=90,"Pouco borrão","Movimento picotado")))))</f>
        <v/>
      </c>
      <c r="E21" s="10" t="s">
        <v>88</v>
      </c>
      <c r="F21" s="10"/>
      <c r="G21" s="10"/>
    </row>
    <row r="22" customFormat="false" ht="30" hidden="false" customHeight="true" outlineLevel="0" collapsed="false">
      <c r="B22" s="4" t="s">
        <v>89</v>
      </c>
      <c r="C22" s="21" t="str">
        <f aca="false">IF(OR(C11="",$D$5=""),"",IFERROR(IF(AND(C11&lt;=2*$D$5,ABS(2*$D$5/C11-ROUND(2*$D$5/C11,0))&lt;0.02),"OK","Risco de cintilação"),""))</f>
        <v/>
      </c>
      <c r="D22" s="21" t="str">
        <f aca="false">IF(OR(D11="",$D$5=""),"",IFERROR(IF(AND(D11&lt;=2*$D$5,ABS(2*$D$5/D11-ROUND(2*$D$5/D11,0))&lt;0.02),"OK","Risco de cintilação"),""))</f>
        <v/>
      </c>
      <c r="E22" s="10" t="s">
        <v>90</v>
      </c>
      <c r="F22" s="10"/>
      <c r="G22" s="10"/>
    </row>
    <row r="24" customFormat="false" ht="21.75" hidden="false" customHeight="true" outlineLevel="0" collapsed="false">
      <c r="B24" s="11" t="s">
        <v>91</v>
      </c>
      <c r="C24" s="11"/>
      <c r="D24" s="11"/>
      <c r="E24" s="11"/>
      <c r="F24" s="11"/>
      <c r="G24" s="11"/>
    </row>
    <row r="25" customFormat="false" ht="15" hidden="false" customHeight="true" outlineLevel="0" collapsed="false">
      <c r="B25" s="12" t="s">
        <v>92</v>
      </c>
      <c r="C25" s="12" t="s">
        <v>93</v>
      </c>
      <c r="D25" s="12" t="s">
        <v>94</v>
      </c>
      <c r="E25" s="12" t="s">
        <v>95</v>
      </c>
      <c r="F25" s="12"/>
      <c r="G25" s="12"/>
    </row>
    <row r="26" customFormat="false" ht="21.75" hidden="false" customHeight="true" outlineLevel="0" collapsed="false">
      <c r="B26" s="4" t="s">
        <v>96</v>
      </c>
      <c r="C26" s="9"/>
      <c r="D26" s="16" t="str">
        <f aca="false">IF(C26="","",C26/6)</f>
        <v/>
      </c>
      <c r="E26" s="10" t="s">
        <v>97</v>
      </c>
      <c r="F26" s="10"/>
      <c r="G26" s="10"/>
    </row>
    <row r="27" customFormat="false" ht="21.75" hidden="false" customHeight="true" outlineLevel="0" collapsed="false">
      <c r="B27" s="4" t="s">
        <v>98</v>
      </c>
      <c r="C27" s="9"/>
      <c r="D27" s="8" t="str">
        <f aca="false">IF(C27="","",C27*6)</f>
        <v/>
      </c>
      <c r="E27" s="10" t="s">
        <v>99</v>
      </c>
      <c r="F27" s="10"/>
      <c r="G27" s="10"/>
    </row>
    <row r="28" customFormat="false" ht="21.75" hidden="false" customHeight="true" outlineLevel="0" collapsed="false">
      <c r="B28" s="4" t="s">
        <v>100</v>
      </c>
      <c r="C28" s="9"/>
      <c r="D28" s="8" t="str">
        <f aca="false">IF(OR(C28="",C28&lt;=0),"",ROUND(LOG10(C28)/LOG10(2),1))</f>
        <v/>
      </c>
      <c r="E28" s="10" t="s">
        <v>101</v>
      </c>
      <c r="F28" s="10"/>
      <c r="G28" s="10"/>
    </row>
    <row r="29" customFormat="false" ht="21.75" hidden="false" customHeight="true" outlineLevel="0" collapsed="false">
      <c r="B29" s="4" t="s">
        <v>102</v>
      </c>
      <c r="C29" s="9"/>
      <c r="D29" s="8" t="str">
        <f aca="false">IF(C29="","",ROUND(C29/LOG10(2),1))</f>
        <v/>
      </c>
      <c r="E29" s="10" t="s">
        <v>101</v>
      </c>
      <c r="F29" s="10"/>
      <c r="G29" s="10"/>
    </row>
    <row r="30" customFormat="false" ht="21.75" hidden="false" customHeight="true" outlineLevel="0" collapsed="false">
      <c r="B30" s="4" t="s">
        <v>103</v>
      </c>
      <c r="C30" s="9"/>
      <c r="D30" s="8" t="str">
        <f aca="false">IF(OR(C30="",C30&lt;=0,$D$4=""),"",ROUND(360*$D$4/C30,0))</f>
        <v/>
      </c>
      <c r="E30" s="10" t="s">
        <v>104</v>
      </c>
      <c r="F30" s="10"/>
      <c r="G30" s="10"/>
    </row>
    <row r="31" customFormat="false" ht="21.75" hidden="false" customHeight="true" outlineLevel="0" collapsed="false">
      <c r="B31" s="4" t="s">
        <v>105</v>
      </c>
      <c r="C31" s="9"/>
      <c r="D31" s="8" t="str">
        <f aca="false">IF(OR(C31="",C31&lt;=0,$D$4=""),"",ROUND(360*$D$4/C31,0))</f>
        <v/>
      </c>
      <c r="E31" s="10" t="s">
        <v>106</v>
      </c>
      <c r="F31" s="10"/>
      <c r="G31" s="10"/>
    </row>
    <row r="33" customFormat="false" ht="15" hidden="false" customHeight="true" outlineLevel="0" collapsed="false">
      <c r="B33" s="10" t="s">
        <v>107</v>
      </c>
      <c r="C33" s="10"/>
      <c r="D33" s="10"/>
      <c r="E33" s="10"/>
      <c r="F33" s="10"/>
      <c r="G33" s="10"/>
    </row>
  </sheetData>
  <mergeCells count="24">
    <mergeCell ref="B1:G1"/>
    <mergeCell ref="B2:G2"/>
    <mergeCell ref="B4:C4"/>
    <mergeCell ref="E4:G4"/>
    <mergeCell ref="B5:C5"/>
    <mergeCell ref="E5:G5"/>
    <mergeCell ref="B7:G7"/>
    <mergeCell ref="B15:D15"/>
    <mergeCell ref="B16:D16"/>
    <mergeCell ref="E16:F16"/>
    <mergeCell ref="B18:G18"/>
    <mergeCell ref="E19:G19"/>
    <mergeCell ref="E20:G20"/>
    <mergeCell ref="E21:G21"/>
    <mergeCell ref="E22:G22"/>
    <mergeCell ref="B24:G24"/>
    <mergeCell ref="E25:G25"/>
    <mergeCell ref="E26:G26"/>
    <mergeCell ref="E27:G27"/>
    <mergeCell ref="E28:G28"/>
    <mergeCell ref="E29:G29"/>
    <mergeCell ref="E30:G30"/>
    <mergeCell ref="E31:G31"/>
    <mergeCell ref="B33:G33"/>
  </mergeCells>
  <conditionalFormatting sqref="E16:F16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AND(LEN($E$16)&gt;0,$E$16&lt;&gt;"OK")</formula>
    </cfRule>
  </conditionalFormatting>
  <conditionalFormatting sqref="C21:D22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0">
      <formula>"Regra dos 180°: OK"</formula>
    </cfRule>
    <cfRule type="cellIs" priority="6" operator="equal" aboveAverage="0" equalAverage="0" bottom="0" percent="0" rank="0" text="" dxfId="2">
      <formula>"Risco de cintilação"</formula>
    </cfRule>
    <cfRule type="cellIs" priority="7" operator="equal" aboveAverage="0" equalAverage="0" bottom="0" percent="0" rank="0" text="" dxfId="2">
      <formula>"Mais lento que um quadro: evite"</formula>
    </cfRule>
    <cfRule type="expression" priority="8" aboveAverage="0" equalAverage="0" bottom="0" percent="0" rank="0" text="" dxfId="1">
      <formula>AND(LEN(C21)&gt;0,C21&lt;&gt;"OK",C21&lt;&gt;"Regra dos 180°: OK",C21&lt;&gt;"Risco de cintilação",C21&lt;&gt;"Mais lento que um quadro: evite")</formula>
    </cfRule>
  </conditionalFormatting>
  <dataValidations count="3">
    <dataValidation allowBlank="true" error="Digite apenas o número, sem texto nem unidade." errorStyle="stop" errorTitle="Valor inválido" operator="between" showDropDown="false" showErrorMessage="true" showInputMessage="false" sqref="D4:D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0:D1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26:C31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5" topLeftCell="D16" activePane="bottomRight" state="frozen"/>
      <selection pane="topLeft" activeCell="A1" activeCellId="0" sqref="A1"/>
      <selection pane="topRight" activeCell="D1" activeCellId="0" sqref="D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46"/>
    <col collapsed="false" customWidth="true" hidden="false" outlineLevel="0" max="17" min="17" style="0" width="26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108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109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B4" s="4" t="s">
        <v>110</v>
      </c>
      <c r="C4" s="4"/>
      <c r="D4" s="5"/>
      <c r="E4" s="5"/>
      <c r="F4" s="5"/>
      <c r="G4" s="5"/>
      <c r="H4" s="5"/>
      <c r="I4" s="4" t="s">
        <v>60</v>
      </c>
      <c r="J4" s="4"/>
      <c r="K4" s="4"/>
      <c r="L4" s="9" t="n">
        <v>30</v>
      </c>
      <c r="M4" s="10" t="s">
        <v>111</v>
      </c>
      <c r="N4" s="10"/>
      <c r="O4" s="10"/>
      <c r="P4" s="10"/>
      <c r="Q4" s="10"/>
    </row>
    <row r="5" customFormat="false" ht="21.75" hidden="false" customHeight="true" outlineLevel="0" collapsed="false">
      <c r="B5" s="4" t="s">
        <v>112</v>
      </c>
      <c r="C5" s="4"/>
      <c r="D5" s="5"/>
      <c r="E5" s="5"/>
      <c r="F5" s="5"/>
      <c r="G5" s="5"/>
      <c r="H5" s="5"/>
      <c r="I5" s="4" t="s">
        <v>62</v>
      </c>
      <c r="J5" s="4"/>
      <c r="K5" s="4"/>
      <c r="L5" s="9" t="n">
        <v>60</v>
      </c>
      <c r="M5" s="10" t="s">
        <v>113</v>
      </c>
      <c r="N5" s="10"/>
      <c r="O5" s="10"/>
      <c r="P5" s="10"/>
      <c r="Q5" s="10"/>
    </row>
    <row r="6" customFormat="false" ht="21.75" hidden="false" customHeight="true" outlineLevel="0" collapsed="false">
      <c r="B6" s="4" t="s">
        <v>114</v>
      </c>
      <c r="C6" s="4"/>
      <c r="D6" s="22"/>
      <c r="E6" s="22"/>
      <c r="F6" s="22"/>
      <c r="G6" s="22"/>
      <c r="H6" s="22"/>
      <c r="I6" s="4" t="s">
        <v>115</v>
      </c>
      <c r="J6" s="4"/>
      <c r="K6" s="4"/>
      <c r="L6" s="9" t="n">
        <v>45</v>
      </c>
      <c r="M6" s="10" t="s">
        <v>116</v>
      </c>
      <c r="N6" s="10"/>
      <c r="O6" s="10"/>
      <c r="P6" s="10"/>
      <c r="Q6" s="10"/>
    </row>
    <row r="7" customFormat="false" ht="21.75" hidden="false" customHeight="true" outlineLevel="0" collapsed="false">
      <c r="B7" s="4" t="s">
        <v>117</v>
      </c>
      <c r="C7" s="4"/>
      <c r="D7" s="5"/>
      <c r="E7" s="5"/>
      <c r="F7" s="5"/>
      <c r="G7" s="5"/>
      <c r="H7" s="5"/>
      <c r="I7" s="4" t="s">
        <v>118</v>
      </c>
      <c r="J7" s="4"/>
      <c r="K7" s="4"/>
      <c r="L7" s="9" t="n">
        <v>70</v>
      </c>
      <c r="M7" s="10" t="s">
        <v>119</v>
      </c>
      <c r="N7" s="10"/>
      <c r="O7" s="10"/>
      <c r="P7" s="10"/>
      <c r="Q7" s="10"/>
    </row>
    <row r="8" customFormat="false" ht="21.75" hidden="false" customHeight="true" outlineLevel="0" collapsed="false">
      <c r="B8" s="4" t="s">
        <v>120</v>
      </c>
      <c r="C8" s="4"/>
      <c r="D8" s="5"/>
      <c r="E8" s="5"/>
      <c r="F8" s="5"/>
      <c r="G8" s="5"/>
      <c r="H8" s="5"/>
      <c r="I8" s="4" t="s">
        <v>121</v>
      </c>
      <c r="J8" s="4"/>
      <c r="K8" s="4"/>
      <c r="L8" s="9" t="n">
        <v>5</v>
      </c>
      <c r="M8" s="10" t="s">
        <v>122</v>
      </c>
      <c r="N8" s="10"/>
      <c r="O8" s="10"/>
      <c r="P8" s="10"/>
      <c r="Q8" s="10"/>
    </row>
    <row r="9" customFormat="false" ht="21.75" hidden="false" customHeight="true" outlineLevel="0" collapsed="false">
      <c r="I9" s="4" t="s">
        <v>123</v>
      </c>
      <c r="J9" s="4"/>
      <c r="K9" s="4"/>
      <c r="L9" s="9" t="n">
        <v>6400</v>
      </c>
      <c r="M9" s="10" t="s">
        <v>124</v>
      </c>
      <c r="N9" s="10"/>
      <c r="O9" s="10"/>
      <c r="P9" s="10"/>
      <c r="Q9" s="10"/>
    </row>
    <row r="10" customFormat="false" ht="21.75" hidden="false" customHeight="true" outlineLevel="0" collapsed="false">
      <c r="I10" s="4" t="s">
        <v>125</v>
      </c>
      <c r="J10" s="4"/>
      <c r="K10" s="4"/>
      <c r="L10" s="9" t="n">
        <v>12</v>
      </c>
      <c r="M10" s="10" t="s">
        <v>126</v>
      </c>
      <c r="N10" s="10"/>
      <c r="O10" s="10"/>
      <c r="P10" s="10"/>
      <c r="Q10" s="10"/>
    </row>
    <row r="12" customFormat="false" ht="21.75" hidden="false" customHeight="true" outlineLevel="0" collapsed="false">
      <c r="B12" s="11" t="s">
        <v>127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customFormat="false" ht="30" hidden="false" customHeight="true" outlineLevel="0" collapsed="false">
      <c r="B13" s="12" t="s">
        <v>128</v>
      </c>
      <c r="C13" s="12" t="s">
        <v>129</v>
      </c>
      <c r="D13" s="13" t="s">
        <v>130</v>
      </c>
      <c r="E13" s="13" t="s">
        <v>131</v>
      </c>
      <c r="F13" s="13" t="s">
        <v>132</v>
      </c>
      <c r="G13" s="13" t="s">
        <v>75</v>
      </c>
      <c r="H13" s="13" t="s">
        <v>133</v>
      </c>
      <c r="I13" s="13" t="s">
        <v>134</v>
      </c>
      <c r="J13" s="13" t="s">
        <v>135</v>
      </c>
      <c r="K13" s="13" t="s">
        <v>136</v>
      </c>
      <c r="L13" s="14" t="s">
        <v>137</v>
      </c>
      <c r="M13" s="14" t="s">
        <v>48</v>
      </c>
      <c r="N13" s="14" t="s">
        <v>138</v>
      </c>
      <c r="O13" s="14" t="s">
        <v>54</v>
      </c>
      <c r="P13" s="14" t="s">
        <v>139</v>
      </c>
      <c r="Q13" s="12" t="s">
        <v>140</v>
      </c>
    </row>
    <row r="14" customFormat="false" ht="27" hidden="false" customHeight="true" outlineLevel="0" collapsed="false">
      <c r="B14" s="15"/>
      <c r="C14" s="15" t="s">
        <v>141</v>
      </c>
      <c r="D14" s="15" t="s">
        <v>142</v>
      </c>
      <c r="E14" s="15" t="s">
        <v>143</v>
      </c>
      <c r="F14" s="15" t="s">
        <v>144</v>
      </c>
      <c r="G14" s="15" t="s">
        <v>145</v>
      </c>
      <c r="H14" s="15" t="s">
        <v>99</v>
      </c>
      <c r="I14" s="15" t="s">
        <v>146</v>
      </c>
      <c r="J14" s="15" t="s">
        <v>147</v>
      </c>
      <c r="K14" s="15" t="s">
        <v>148</v>
      </c>
      <c r="L14" s="15" t="s">
        <v>149</v>
      </c>
      <c r="M14" s="15" t="s">
        <v>150</v>
      </c>
      <c r="N14" s="15" t="s">
        <v>151</v>
      </c>
      <c r="O14" s="15"/>
      <c r="P14" s="15"/>
      <c r="Q14" s="15"/>
    </row>
    <row r="15" customFormat="false" ht="24" hidden="false" customHeight="true" outlineLevel="0" collapsed="false">
      <c r="B15" s="15" t="s">
        <v>152</v>
      </c>
      <c r="C15" s="10" t="s">
        <v>153</v>
      </c>
      <c r="D15" s="15" t="s">
        <v>154</v>
      </c>
      <c r="E15" s="15" t="n">
        <v>60</v>
      </c>
      <c r="F15" s="15" t="n">
        <v>2.8</v>
      </c>
      <c r="G15" s="15" t="n">
        <v>1600</v>
      </c>
      <c r="H15" s="15"/>
      <c r="I15" s="15" t="n">
        <v>0</v>
      </c>
      <c r="J15" s="15" t="n">
        <v>55</v>
      </c>
      <c r="K15" s="15" t="s">
        <v>155</v>
      </c>
      <c r="L15" s="15" t="n">
        <v>180</v>
      </c>
      <c r="M15" s="15" t="s">
        <v>156</v>
      </c>
      <c r="N15" s="15" t="n">
        <v>-7</v>
      </c>
      <c r="O15" s="15" t="s">
        <v>157</v>
      </c>
      <c r="P15" s="10" t="s">
        <v>158</v>
      </c>
      <c r="Q15" s="10"/>
    </row>
    <row r="16" customFormat="false" ht="24" hidden="false" customHeight="true" outlineLevel="0" collapsed="false">
      <c r="B16" s="23" t="n">
        <v>1</v>
      </c>
      <c r="C16" s="5"/>
      <c r="D16" s="9"/>
      <c r="E16" s="9"/>
      <c r="F16" s="9"/>
      <c r="G16" s="9"/>
      <c r="H16" s="9"/>
      <c r="I16" s="9"/>
      <c r="J16" s="9"/>
      <c r="K16" s="9"/>
      <c r="L16" s="17" t="str">
        <f aca="false">IF(OR(E16="",$L$4=""),"",IFERROR(ROUND(360*$L$4/E16,0),""))</f>
        <v/>
      </c>
      <c r="M16" s="17" t="str">
        <f aca="false">IF(OR(E16="",$L$5=""),"",IFERROR(IF(AND(E16&lt;=2*$L$5,ABS(2*$L$5/E16-ROUND(2*$L$5/E16,0))&lt;0.02),"OK","Risco"),""))</f>
        <v/>
      </c>
      <c r="N16" s="24" t="str">
        <f aca="false">IF(OR(J16="",$J$16=""),"",J16-$J$16)</f>
        <v/>
      </c>
      <c r="O16" s="20" t="str">
        <f aca="false">IF(COUNTA(D16:K16)=0,"",IF(M16="Risco","Cintilação",IF(AND(L16&lt;&gt;"",OR(L16&gt;360,L16&lt;90)),"Obturador",IF(OR(K16="Sim",AND(J16&lt;&gt;"",J16&gt;=100)),"Estouro",IF(D16="Automático","Automático",IF(OR(AND(G16&lt;&gt;"",G16&gt;$L$9),AND(H16&lt;&gt;"",H16&gt;$L$10)),"Ganho alto",IF(J16="","Sem leitura",IF(J16&gt;$L$7,"Rosto alto",IF(J16&lt;$L$6,"Rosto baixo",IF(AND(N16&lt;&gt;"",ABS(N16)&gt;$L$8),"Igualar","OK"))))))))))</f>
        <v/>
      </c>
      <c r="P16" s="18" t="str">
        <f aca="false">IF(O16="","",IF(O16="Cintilação",IF($L$5=50,"Use 1/50 ou 1/100","Use 1/60 ou 1/120")&amp;" e compense na íris",IF(O16="Obturador","Volte ao dobro da taxa de quadros: 1/"&amp;ROUND(2*$L$4,0)&amp;". Compense na íris",IF(O16="Estouro","Feche a íris até a zebra de 100% sair do rosto e da roupa clara",IF(O16="Automático","Passe para manual e exponha pelo rosto",IF(O16="Ganho alto","Abra a íris ou peça mais luz no rosto, e baixe o ISO ou ganho",IF(O16="Sem leitura","Meça o rosto na forma de onda ou na zebra",IF(O16="Rosto alto","Feche a íris um pouco",IF(O16="Rosto baixo","Abra a íris. Se acabou, suba o ISO ou ganho",IF(O16="Igualar",IF(N16&gt;0,"Mais claro que a câmera 1: feche a íris um pouco","Mais escuro que a câmera 1: abra a íris. Se acabou, suba o ISO"),"Referência: as outras câmeras se igualam a ela"))))))))))</f>
        <v/>
      </c>
      <c r="Q16" s="5"/>
    </row>
    <row r="17" customFormat="false" ht="24" hidden="false" customHeight="true" outlineLevel="0" collapsed="false">
      <c r="B17" s="23" t="n">
        <v>2</v>
      </c>
      <c r="C17" s="5"/>
      <c r="D17" s="9"/>
      <c r="E17" s="9"/>
      <c r="F17" s="9"/>
      <c r="G17" s="9"/>
      <c r="H17" s="9"/>
      <c r="I17" s="9"/>
      <c r="J17" s="9"/>
      <c r="K17" s="9"/>
      <c r="L17" s="17" t="str">
        <f aca="false">IF(OR(E17="",$L$4=""),"",IFERROR(ROUND(360*$L$4/E17,0),""))</f>
        <v/>
      </c>
      <c r="M17" s="17" t="str">
        <f aca="false">IF(OR(E17="",$L$5=""),"",IFERROR(IF(AND(E17&lt;=2*$L$5,ABS(2*$L$5/E17-ROUND(2*$L$5/E17,0))&lt;0.02),"OK","Risco"),""))</f>
        <v/>
      </c>
      <c r="N17" s="24" t="str">
        <f aca="false">IF(OR(J17="",$J$16=""),"",J17-$J$16)</f>
        <v/>
      </c>
      <c r="O17" s="20" t="str">
        <f aca="false">IF(COUNTA(D17:K17)=0,"",IF(M17="Risco","Cintilação",IF(AND(L17&lt;&gt;"",OR(L17&gt;360,L17&lt;90)),"Obturador",IF(OR(K17="Sim",AND(J17&lt;&gt;"",J17&gt;=100)),"Estouro",IF(D17="Automático","Automático",IF(OR(AND(G17&lt;&gt;"",G17&gt;$L$9),AND(H17&lt;&gt;"",H17&gt;$L$10)),"Ganho alto",IF(J17="","Sem leitura",IF(J17&gt;$L$7,"Rosto alto",IF(J17&lt;$L$6,"Rosto baixo",IF(AND(N17&lt;&gt;"",ABS(N17)&gt;$L$8),"Igualar","OK"))))))))))</f>
        <v/>
      </c>
      <c r="P17" s="18" t="str">
        <f aca="false">IF(O17="","",IF(O17="Cintilação",IF($L$5=50,"Use 1/50 ou 1/100","Use 1/60 ou 1/120")&amp;" e compense na íris",IF(O17="Obturador","Volte ao dobro da taxa de quadros: 1/"&amp;ROUND(2*$L$4,0)&amp;". Compense na íris",IF(O17="Estouro","Feche a íris até a zebra de 100% sair do rosto e da roupa clara",IF(O17="Automático","Passe para manual e exponha pelo rosto",IF(O17="Ganho alto","Abra a íris ou peça mais luz no rosto, e baixe o ISO ou ganho",IF(O17="Sem leitura","Meça o rosto na forma de onda ou na zebra",IF(O17="Rosto alto","Feche a íris um pouco",IF(O17="Rosto baixo","Abra a íris. Se acabou, suba o ISO ou ganho",IF(O17="Igualar",IF(N17&gt;0,"Mais claro que a câmera 1: feche a íris um pouco","Mais escuro que a câmera 1: abra a íris. Se acabou, suba o ISO"),"Manter"))))))))))</f>
        <v/>
      </c>
      <c r="Q17" s="5"/>
    </row>
    <row r="18" customFormat="false" ht="24" hidden="false" customHeight="true" outlineLevel="0" collapsed="false">
      <c r="B18" s="23" t="n">
        <v>3</v>
      </c>
      <c r="C18" s="5"/>
      <c r="D18" s="9"/>
      <c r="E18" s="9"/>
      <c r="F18" s="9"/>
      <c r="G18" s="9"/>
      <c r="H18" s="9"/>
      <c r="I18" s="9"/>
      <c r="J18" s="9"/>
      <c r="K18" s="9"/>
      <c r="L18" s="17" t="str">
        <f aca="false">IF(OR(E18="",$L$4=""),"",IFERROR(ROUND(360*$L$4/E18,0),""))</f>
        <v/>
      </c>
      <c r="M18" s="17" t="str">
        <f aca="false">IF(OR(E18="",$L$5=""),"",IFERROR(IF(AND(E18&lt;=2*$L$5,ABS(2*$L$5/E18-ROUND(2*$L$5/E18,0))&lt;0.02),"OK","Risco"),""))</f>
        <v/>
      </c>
      <c r="N18" s="24" t="str">
        <f aca="false">IF(OR(J18="",$J$16=""),"",J18-$J$16)</f>
        <v/>
      </c>
      <c r="O18" s="20" t="str">
        <f aca="false">IF(COUNTA(D18:K18)=0,"",IF(M18="Risco","Cintilação",IF(AND(L18&lt;&gt;"",OR(L18&gt;360,L18&lt;90)),"Obturador",IF(OR(K18="Sim",AND(J18&lt;&gt;"",J18&gt;=100)),"Estouro",IF(D18="Automático","Automático",IF(OR(AND(G18&lt;&gt;"",G18&gt;$L$9),AND(H18&lt;&gt;"",H18&gt;$L$10)),"Ganho alto",IF(J18="","Sem leitura",IF(J18&gt;$L$7,"Rosto alto",IF(J18&lt;$L$6,"Rosto baixo",IF(AND(N18&lt;&gt;"",ABS(N18)&gt;$L$8),"Igualar","OK"))))))))))</f>
        <v/>
      </c>
      <c r="P18" s="18" t="str">
        <f aca="false">IF(O18="","",IF(O18="Cintilação",IF($L$5=50,"Use 1/50 ou 1/100","Use 1/60 ou 1/120")&amp;" e compense na íris",IF(O18="Obturador","Volte ao dobro da taxa de quadros: 1/"&amp;ROUND(2*$L$4,0)&amp;". Compense na íris",IF(O18="Estouro","Feche a íris até a zebra de 100% sair do rosto e da roupa clara",IF(O18="Automático","Passe para manual e exponha pelo rosto",IF(O18="Ganho alto","Abra a íris ou peça mais luz no rosto, e baixe o ISO ou ganho",IF(O18="Sem leitura","Meça o rosto na forma de onda ou na zebra",IF(O18="Rosto alto","Feche a íris um pouco",IF(O18="Rosto baixo","Abra a íris. Se acabou, suba o ISO ou ganho",IF(O18="Igualar",IF(N18&gt;0,"Mais claro que a câmera 1: feche a íris um pouco","Mais escuro que a câmera 1: abra a íris. Se acabou, suba o ISO"),"Manter"))))))))))</f>
        <v/>
      </c>
      <c r="Q18" s="5"/>
    </row>
    <row r="19" customFormat="false" ht="24" hidden="false" customHeight="true" outlineLevel="0" collapsed="false">
      <c r="B19" s="23" t="n">
        <v>4</v>
      </c>
      <c r="C19" s="5"/>
      <c r="D19" s="9"/>
      <c r="E19" s="9"/>
      <c r="F19" s="9"/>
      <c r="G19" s="9"/>
      <c r="H19" s="9"/>
      <c r="I19" s="9"/>
      <c r="J19" s="9"/>
      <c r="K19" s="9"/>
      <c r="L19" s="17" t="str">
        <f aca="false">IF(OR(E19="",$L$4=""),"",IFERROR(ROUND(360*$L$4/E19,0),""))</f>
        <v/>
      </c>
      <c r="M19" s="17" t="str">
        <f aca="false">IF(OR(E19="",$L$5=""),"",IFERROR(IF(AND(E19&lt;=2*$L$5,ABS(2*$L$5/E19-ROUND(2*$L$5/E19,0))&lt;0.02),"OK","Risco"),""))</f>
        <v/>
      </c>
      <c r="N19" s="24" t="str">
        <f aca="false">IF(OR(J19="",$J$16=""),"",J19-$J$16)</f>
        <v/>
      </c>
      <c r="O19" s="20" t="str">
        <f aca="false">IF(COUNTA(D19:K19)=0,"",IF(M19="Risco","Cintilação",IF(AND(L19&lt;&gt;"",OR(L19&gt;360,L19&lt;90)),"Obturador",IF(OR(K19="Sim",AND(J19&lt;&gt;"",J19&gt;=100)),"Estouro",IF(D19="Automático","Automático",IF(OR(AND(G19&lt;&gt;"",G19&gt;$L$9),AND(H19&lt;&gt;"",H19&gt;$L$10)),"Ganho alto",IF(J19="","Sem leitura",IF(J19&gt;$L$7,"Rosto alto",IF(J19&lt;$L$6,"Rosto baixo",IF(AND(N19&lt;&gt;"",ABS(N19)&gt;$L$8),"Igualar","OK"))))))))))</f>
        <v/>
      </c>
      <c r="P19" s="18" t="str">
        <f aca="false">IF(O19="","",IF(O19="Cintilação",IF($L$5=50,"Use 1/50 ou 1/100","Use 1/60 ou 1/120")&amp;" e compense na íris",IF(O19="Obturador","Volte ao dobro da taxa de quadros: 1/"&amp;ROUND(2*$L$4,0)&amp;". Compense na íris",IF(O19="Estouro","Feche a íris até a zebra de 100% sair do rosto e da roupa clara",IF(O19="Automático","Passe para manual e exponha pelo rosto",IF(O19="Ganho alto","Abra a íris ou peça mais luz no rosto, e baixe o ISO ou ganho",IF(O19="Sem leitura","Meça o rosto na forma de onda ou na zebra",IF(O19="Rosto alto","Feche a íris um pouco",IF(O19="Rosto baixo","Abra a íris. Se acabou, suba o ISO ou ganho",IF(O19="Igualar",IF(N19&gt;0,"Mais claro que a câmera 1: feche a íris um pouco","Mais escuro que a câmera 1: abra a íris. Se acabou, suba o ISO"),"Manter"))))))))))</f>
        <v/>
      </c>
      <c r="Q19" s="5"/>
    </row>
    <row r="20" customFormat="false" ht="24" hidden="false" customHeight="true" outlineLevel="0" collapsed="false">
      <c r="B20" s="23" t="n">
        <v>5</v>
      </c>
      <c r="C20" s="5"/>
      <c r="D20" s="9"/>
      <c r="E20" s="9"/>
      <c r="F20" s="9"/>
      <c r="G20" s="9"/>
      <c r="H20" s="9"/>
      <c r="I20" s="9"/>
      <c r="J20" s="9"/>
      <c r="K20" s="9"/>
      <c r="L20" s="17" t="str">
        <f aca="false">IF(OR(E20="",$L$4=""),"",IFERROR(ROUND(360*$L$4/E20,0),""))</f>
        <v/>
      </c>
      <c r="M20" s="17" t="str">
        <f aca="false">IF(OR(E20="",$L$5=""),"",IFERROR(IF(AND(E20&lt;=2*$L$5,ABS(2*$L$5/E20-ROUND(2*$L$5/E20,0))&lt;0.02),"OK","Risco"),""))</f>
        <v/>
      </c>
      <c r="N20" s="24" t="str">
        <f aca="false">IF(OR(J20="",$J$16=""),"",J20-$J$16)</f>
        <v/>
      </c>
      <c r="O20" s="20" t="str">
        <f aca="false">IF(COUNTA(D20:K20)=0,"",IF(M20="Risco","Cintilação",IF(AND(L20&lt;&gt;"",OR(L20&gt;360,L20&lt;90)),"Obturador",IF(OR(K20="Sim",AND(J20&lt;&gt;"",J20&gt;=100)),"Estouro",IF(D20="Automático","Automático",IF(OR(AND(G20&lt;&gt;"",G20&gt;$L$9),AND(H20&lt;&gt;"",H20&gt;$L$10)),"Ganho alto",IF(J20="","Sem leitura",IF(J20&gt;$L$7,"Rosto alto",IF(J20&lt;$L$6,"Rosto baixo",IF(AND(N20&lt;&gt;"",ABS(N20)&gt;$L$8),"Igualar","OK"))))))))))</f>
        <v/>
      </c>
      <c r="P20" s="18" t="str">
        <f aca="false">IF(O20="","",IF(O20="Cintilação",IF($L$5=50,"Use 1/50 ou 1/100","Use 1/60 ou 1/120")&amp;" e compense na íris",IF(O20="Obturador","Volte ao dobro da taxa de quadros: 1/"&amp;ROUND(2*$L$4,0)&amp;". Compense na íris",IF(O20="Estouro","Feche a íris até a zebra de 100% sair do rosto e da roupa clara",IF(O20="Automático","Passe para manual e exponha pelo rosto",IF(O20="Ganho alto","Abra a íris ou peça mais luz no rosto, e baixe o ISO ou ganho",IF(O20="Sem leitura","Meça o rosto na forma de onda ou na zebra",IF(O20="Rosto alto","Feche a íris um pouco",IF(O20="Rosto baixo","Abra a íris. Se acabou, suba o ISO ou ganho",IF(O20="Igualar",IF(N20&gt;0,"Mais claro que a câmera 1: feche a íris um pouco","Mais escuro que a câmera 1: abra a íris. Se acabou, suba o ISO"),"Manter"))))))))))</f>
        <v/>
      </c>
      <c r="Q20" s="5"/>
    </row>
    <row r="21" customFormat="false" ht="24" hidden="false" customHeight="true" outlineLevel="0" collapsed="false">
      <c r="B21" s="23" t="n">
        <v>6</v>
      </c>
      <c r="C21" s="5"/>
      <c r="D21" s="9"/>
      <c r="E21" s="9"/>
      <c r="F21" s="9"/>
      <c r="G21" s="9"/>
      <c r="H21" s="9"/>
      <c r="I21" s="9"/>
      <c r="J21" s="9"/>
      <c r="K21" s="9"/>
      <c r="L21" s="17" t="str">
        <f aca="false">IF(OR(E21="",$L$4=""),"",IFERROR(ROUND(360*$L$4/E21,0),""))</f>
        <v/>
      </c>
      <c r="M21" s="17" t="str">
        <f aca="false">IF(OR(E21="",$L$5=""),"",IFERROR(IF(AND(E21&lt;=2*$L$5,ABS(2*$L$5/E21-ROUND(2*$L$5/E21,0))&lt;0.02),"OK","Risco"),""))</f>
        <v/>
      </c>
      <c r="N21" s="24" t="str">
        <f aca="false">IF(OR(J21="",$J$16=""),"",J21-$J$16)</f>
        <v/>
      </c>
      <c r="O21" s="20" t="str">
        <f aca="false">IF(COUNTA(D21:K21)=0,"",IF(M21="Risco","Cintilação",IF(AND(L21&lt;&gt;"",OR(L21&gt;360,L21&lt;90)),"Obturador",IF(OR(K21="Sim",AND(J21&lt;&gt;"",J21&gt;=100)),"Estouro",IF(D21="Automático","Automático",IF(OR(AND(G21&lt;&gt;"",G21&gt;$L$9),AND(H21&lt;&gt;"",H21&gt;$L$10)),"Ganho alto",IF(J21="","Sem leitura",IF(J21&gt;$L$7,"Rosto alto",IF(J21&lt;$L$6,"Rosto baixo",IF(AND(N21&lt;&gt;"",ABS(N21)&gt;$L$8),"Igualar","OK"))))))))))</f>
        <v/>
      </c>
      <c r="P21" s="18" t="str">
        <f aca="false">IF(O21="","",IF(O21="Cintilação",IF($L$5=50,"Use 1/50 ou 1/100","Use 1/60 ou 1/120")&amp;" e compense na íris",IF(O21="Obturador","Volte ao dobro da taxa de quadros: 1/"&amp;ROUND(2*$L$4,0)&amp;". Compense na íris",IF(O21="Estouro","Feche a íris até a zebra de 100% sair do rosto e da roupa clara",IF(O21="Automático","Passe para manual e exponha pelo rosto",IF(O21="Ganho alto","Abra a íris ou peça mais luz no rosto, e baixe o ISO ou ganho",IF(O21="Sem leitura","Meça o rosto na forma de onda ou na zebra",IF(O21="Rosto alto","Feche a íris um pouco",IF(O21="Rosto baixo","Abra a íris. Se acabou, suba o ISO ou ganho",IF(O21="Igualar",IF(N21&gt;0,"Mais claro que a câmera 1: feche a íris um pouco","Mais escuro que a câmera 1: abra a íris. Se acabou, suba o ISO"),"Manter"))))))))))</f>
        <v/>
      </c>
      <c r="Q21" s="5"/>
    </row>
    <row r="22" customFormat="false" ht="24" hidden="false" customHeight="true" outlineLevel="0" collapsed="false">
      <c r="B22" s="23" t="n">
        <v>7</v>
      </c>
      <c r="C22" s="5"/>
      <c r="D22" s="9"/>
      <c r="E22" s="9"/>
      <c r="F22" s="9"/>
      <c r="G22" s="9"/>
      <c r="H22" s="9"/>
      <c r="I22" s="9"/>
      <c r="J22" s="9"/>
      <c r="K22" s="9"/>
      <c r="L22" s="17" t="str">
        <f aca="false">IF(OR(E22="",$L$4=""),"",IFERROR(ROUND(360*$L$4/E22,0),""))</f>
        <v/>
      </c>
      <c r="M22" s="17" t="str">
        <f aca="false">IF(OR(E22="",$L$5=""),"",IFERROR(IF(AND(E22&lt;=2*$L$5,ABS(2*$L$5/E22-ROUND(2*$L$5/E22,0))&lt;0.02),"OK","Risco"),""))</f>
        <v/>
      </c>
      <c r="N22" s="24" t="str">
        <f aca="false">IF(OR(J22="",$J$16=""),"",J22-$J$16)</f>
        <v/>
      </c>
      <c r="O22" s="20" t="str">
        <f aca="false">IF(COUNTA(D22:K22)=0,"",IF(M22="Risco","Cintilação",IF(AND(L22&lt;&gt;"",OR(L22&gt;360,L22&lt;90)),"Obturador",IF(OR(K22="Sim",AND(J22&lt;&gt;"",J22&gt;=100)),"Estouro",IF(D22="Automático","Automático",IF(OR(AND(G22&lt;&gt;"",G22&gt;$L$9),AND(H22&lt;&gt;"",H22&gt;$L$10)),"Ganho alto",IF(J22="","Sem leitura",IF(J22&gt;$L$7,"Rosto alto",IF(J22&lt;$L$6,"Rosto baixo",IF(AND(N22&lt;&gt;"",ABS(N22)&gt;$L$8),"Igualar","OK"))))))))))</f>
        <v/>
      </c>
      <c r="P22" s="18" t="str">
        <f aca="false">IF(O22="","",IF(O22="Cintilação",IF($L$5=50,"Use 1/50 ou 1/100","Use 1/60 ou 1/120")&amp;" e compense na íris",IF(O22="Obturador","Volte ao dobro da taxa de quadros: 1/"&amp;ROUND(2*$L$4,0)&amp;". Compense na íris",IF(O22="Estouro","Feche a íris até a zebra de 100% sair do rosto e da roupa clara",IF(O22="Automático","Passe para manual e exponha pelo rosto",IF(O22="Ganho alto","Abra a íris ou peça mais luz no rosto, e baixe o ISO ou ganho",IF(O22="Sem leitura","Meça o rosto na forma de onda ou na zebra",IF(O22="Rosto alto","Feche a íris um pouco",IF(O22="Rosto baixo","Abra a íris. Se acabou, suba o ISO ou ganho",IF(O22="Igualar",IF(N22&gt;0,"Mais claro que a câmera 1: feche a íris um pouco","Mais escuro que a câmera 1: abra a íris. Se acabou, suba o ISO"),"Manter"))))))))))</f>
        <v/>
      </c>
      <c r="Q22" s="5"/>
    </row>
    <row r="23" customFormat="false" ht="24" hidden="false" customHeight="true" outlineLevel="0" collapsed="false">
      <c r="B23" s="23" t="n">
        <v>8</v>
      </c>
      <c r="C23" s="5"/>
      <c r="D23" s="9"/>
      <c r="E23" s="9"/>
      <c r="F23" s="9"/>
      <c r="G23" s="9"/>
      <c r="H23" s="9"/>
      <c r="I23" s="9"/>
      <c r="J23" s="9"/>
      <c r="K23" s="9"/>
      <c r="L23" s="17" t="str">
        <f aca="false">IF(OR(E23="",$L$4=""),"",IFERROR(ROUND(360*$L$4/E23,0),""))</f>
        <v/>
      </c>
      <c r="M23" s="17" t="str">
        <f aca="false">IF(OR(E23="",$L$5=""),"",IFERROR(IF(AND(E23&lt;=2*$L$5,ABS(2*$L$5/E23-ROUND(2*$L$5/E23,0))&lt;0.02),"OK","Risco"),""))</f>
        <v/>
      </c>
      <c r="N23" s="24" t="str">
        <f aca="false">IF(OR(J23="",$J$16=""),"",J23-$J$16)</f>
        <v/>
      </c>
      <c r="O23" s="20" t="str">
        <f aca="false">IF(COUNTA(D23:K23)=0,"",IF(M23="Risco","Cintilação",IF(AND(L23&lt;&gt;"",OR(L23&gt;360,L23&lt;90)),"Obturador",IF(OR(K23="Sim",AND(J23&lt;&gt;"",J23&gt;=100)),"Estouro",IF(D23="Automático","Automático",IF(OR(AND(G23&lt;&gt;"",G23&gt;$L$9),AND(H23&lt;&gt;"",H23&gt;$L$10)),"Ganho alto",IF(J23="","Sem leitura",IF(J23&gt;$L$7,"Rosto alto",IF(J23&lt;$L$6,"Rosto baixo",IF(AND(N23&lt;&gt;"",ABS(N23)&gt;$L$8),"Igualar","OK"))))))))))</f>
        <v/>
      </c>
      <c r="P23" s="18" t="str">
        <f aca="false">IF(O23="","",IF(O23="Cintilação",IF($L$5=50,"Use 1/50 ou 1/100","Use 1/60 ou 1/120")&amp;" e compense na íris",IF(O23="Obturador","Volte ao dobro da taxa de quadros: 1/"&amp;ROUND(2*$L$4,0)&amp;". Compense na íris",IF(O23="Estouro","Feche a íris até a zebra de 100% sair do rosto e da roupa clara",IF(O23="Automático","Passe para manual e exponha pelo rosto",IF(O23="Ganho alto","Abra a íris ou peça mais luz no rosto, e baixe o ISO ou ganho",IF(O23="Sem leitura","Meça o rosto na forma de onda ou na zebra",IF(O23="Rosto alto","Feche a íris um pouco",IF(O23="Rosto baixo","Abra a íris. Se acabou, suba o ISO ou ganho",IF(O23="Igualar",IF(N23&gt;0,"Mais claro que a câmera 1: feche a íris um pouco","Mais escuro que a câmera 1: abra a íris. Se acabou, suba o ISO"),"Manter"))))))))))</f>
        <v/>
      </c>
      <c r="Q23" s="5"/>
    </row>
    <row r="25" customFormat="false" ht="21.75" hidden="false" customHeight="true" outlineLevel="0" collapsed="false">
      <c r="B25" s="11" t="s">
        <v>159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customFormat="false" ht="19.5" hidden="false" customHeight="true" outlineLevel="0" collapsed="false">
      <c r="B26" s="19" t="s">
        <v>160</v>
      </c>
      <c r="C26" s="19"/>
      <c r="D26" s="19"/>
      <c r="E26" s="19"/>
      <c r="F26" s="20" t="n">
        <f aca="false">COUNTA(C16:C23)</f>
        <v>0</v>
      </c>
      <c r="G26" s="20"/>
    </row>
    <row r="27" customFormat="false" ht="19.5" hidden="false" customHeight="true" outlineLevel="0" collapsed="false">
      <c r="B27" s="19" t="s">
        <v>161</v>
      </c>
      <c r="C27" s="19"/>
      <c r="D27" s="19"/>
      <c r="E27" s="19"/>
      <c r="F27" s="20" t="n">
        <f aca="false">COUNTIF(O16:O23,"OK")</f>
        <v>0</v>
      </c>
      <c r="G27" s="20"/>
    </row>
    <row r="28" customFormat="false" ht="19.5" hidden="false" customHeight="true" outlineLevel="0" collapsed="false">
      <c r="B28" s="19" t="s">
        <v>162</v>
      </c>
      <c r="C28" s="19"/>
      <c r="D28" s="19"/>
      <c r="E28" s="19"/>
      <c r="F28" s="20" t="n">
        <f aca="false">COUNTIF(O16:O23,"OK")+COUNTIF(O16:O23,"Cintilação")+COUNTIF(O16:O23,"Obturador")+COUNTIF(O16:O23,"Estouro")+COUNTIF(O16:O23,"Automático")+COUNTIF(O16:O23,"Ganho alto")+COUNTIF(O16:O23,"Sem leitura")+COUNTIF(O16:O23,"Rosto alto")+COUNTIF(O16:O23,"Rosto baixo")+COUNTIF(O16:O23,"Igualar")-COUNTIF(O16:O23,"OK")</f>
        <v>0</v>
      </c>
      <c r="G28" s="20"/>
    </row>
    <row r="29" customFormat="false" ht="19.5" hidden="false" customHeight="true" outlineLevel="0" collapsed="false">
      <c r="B29" s="19" t="s">
        <v>163</v>
      </c>
      <c r="C29" s="19"/>
      <c r="D29" s="19"/>
      <c r="E29" s="19"/>
      <c r="F29" s="20" t="str">
        <f aca="false">IF(COUNT(J16:J23)=0,"",MAX(J16:J23))</f>
        <v/>
      </c>
      <c r="G29" s="20"/>
    </row>
    <row r="30" customFormat="false" ht="19.5" hidden="false" customHeight="true" outlineLevel="0" collapsed="false">
      <c r="B30" s="19" t="s">
        <v>164</v>
      </c>
      <c r="C30" s="19"/>
      <c r="D30" s="19"/>
      <c r="E30" s="19"/>
      <c r="F30" s="20" t="str">
        <f aca="false">IF(COUNT(J16:J23)=0,"",MIN(J16:J23))</f>
        <v/>
      </c>
      <c r="G30" s="20"/>
    </row>
    <row r="31" customFormat="false" ht="19.5" hidden="false" customHeight="true" outlineLevel="0" collapsed="false">
      <c r="B31" s="19" t="s">
        <v>165</v>
      </c>
      <c r="C31" s="19"/>
      <c r="D31" s="19"/>
      <c r="E31" s="19"/>
      <c r="F31" s="20" t="str">
        <f aca="false">IF(COUNT(J16:J23)&lt;2,"",MAX(J16:J23)-MIN(J16:J23))</f>
        <v/>
      </c>
      <c r="G31" s="20"/>
    </row>
    <row r="32" customFormat="false" ht="21.75" hidden="false" customHeight="true" outlineLevel="0" collapsed="false">
      <c r="B32" s="19" t="s">
        <v>166</v>
      </c>
      <c r="C32" s="19"/>
      <c r="D32" s="19"/>
      <c r="E32" s="19"/>
      <c r="F32" s="25" t="str">
        <f aca="false">IF(COUNT(L4:L10)&lt;7,"Informe os valores de referência",IF(COUNTIF(O16:O23,"OK")+COUNTIF(O16:O23,"Cintilação")+COUNTIF(O16:O23,"Obturador")+COUNTIF(O16:O23,"Estouro")+COUNTIF(O16:O23,"Automático")+COUNTIF(O16:O23,"Ganho alto")+COUNTIF(O16:O23,"Sem leitura")+COUNTIF(O16:O23,"Rosto alto")+COUNTIF(O16:O23,"Rosto baixo")+COUNTIF(O16:O23,"Igualar")=0,"Preencha as câmeras",IF(COUNTIF(O16:O23,"Cintilação")+COUNTIF(O16:O23,"Estouro")&gt;0,"Há câmera com cintilação ou estouro: corrija primeiro",IF(F28&gt;0,"Há câmera a ajustar",IF(AND(F31&lt;&gt;"",F31&gt;$L$8),"Rostos com níveis diferentes entre as câmeras","OK")))))</f>
        <v>Preencha as câmeras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customFormat="false" ht="15" hidden="false" customHeight="true" outlineLevel="0" collapsed="false">
      <c r="B33" s="10" t="s">
        <v>167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</sheetData>
  <mergeCells count="43">
    <mergeCell ref="B1:Q1"/>
    <mergeCell ref="B2:Q2"/>
    <mergeCell ref="B4:C4"/>
    <mergeCell ref="D4:H4"/>
    <mergeCell ref="I4:K4"/>
    <mergeCell ref="M4:Q4"/>
    <mergeCell ref="B5:C5"/>
    <mergeCell ref="D5:H5"/>
    <mergeCell ref="I5:K5"/>
    <mergeCell ref="M5:Q5"/>
    <mergeCell ref="B6:C6"/>
    <mergeCell ref="D6:H6"/>
    <mergeCell ref="I6:K6"/>
    <mergeCell ref="M6:Q6"/>
    <mergeCell ref="B7:C7"/>
    <mergeCell ref="D7:H7"/>
    <mergeCell ref="I7:K7"/>
    <mergeCell ref="M7:Q7"/>
    <mergeCell ref="B8:C8"/>
    <mergeCell ref="D8:H8"/>
    <mergeCell ref="I8:K8"/>
    <mergeCell ref="M8:Q8"/>
    <mergeCell ref="I9:K9"/>
    <mergeCell ref="M9:Q9"/>
    <mergeCell ref="I10:K10"/>
    <mergeCell ref="M10:Q10"/>
    <mergeCell ref="B12:Q12"/>
    <mergeCell ref="B25:Q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P32"/>
    <mergeCell ref="B33:Q33"/>
  </mergeCells>
  <conditionalFormatting sqref="M16:M2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"Risco"</formula>
    </cfRule>
  </conditionalFormatting>
  <conditionalFormatting sqref="O16:O23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2">
      <formula>"Cintilação"</formula>
    </cfRule>
    <cfRule type="cellIs" priority="6" operator="equal" aboveAverage="0" equalAverage="0" bottom="0" percent="0" rank="0" text="" dxfId="2">
      <formula>"Estouro"</formula>
    </cfRule>
    <cfRule type="expression" priority="7" aboveAverage="0" equalAverage="0" bottom="0" percent="0" rank="0" text="" dxfId="1">
      <formula>AND(LEN(O16)&gt;0,O16&lt;&gt;"OK",O16&lt;&gt;"Cintilação",O16&lt;&gt;"Estouro")</formula>
    </cfRule>
  </conditionalFormatting>
  <conditionalFormatting sqref="F32:P32">
    <cfRule type="cellIs" priority="8" operator="equal" aboveAverage="0" equalAverage="0" bottom="0" percent="0" rank="0" text="" dxfId="0">
      <formula>"OK"</formula>
    </cfRule>
    <cfRule type="cellIs" priority="9" operator="notEqual" aboveAverage="0" equalAverage="0" bottom="0" percent="0" rank="0" text="" dxfId="1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10" type="decimal">
      <formula1>-1000000000</formula1>
      <formula2>1000000000</formula2>
    </dataValidation>
    <dataValidation allowBlank="true" error="Escolha uma das opções da lista." errorStyle="stop" errorTitle="Valor inválido" operator="between" prompt="Manual ou Automático (qualquer um dos três controles no automático)." promptTitle="Opções" showDropDown="false" showErrorMessage="true" showInputMessage="true" sqref="D16:D23" type="list">
      <formula1>"Manual,Automático"</formula1>
      <formula2>0</formula2>
    </dataValidation>
    <dataValidation allowBlank="true" error="Escolha uma das opções da lista." errorStyle="stop" errorTitle="Valor inválido" operator="between" prompt="A zebra de 100% aparece no rosto, na roupa clara ou no papel?" promptTitle="Opções" showDropDown="false" showErrorMessage="true" showInputMessage="true" sqref="K16:K23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6:J2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20"/>
    <col collapsed="false" customWidth="true" hidden="false" outlineLevel="0" max="6" min="6" style="0" width="52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168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169</v>
      </c>
      <c r="C2" s="2"/>
      <c r="D2" s="2"/>
      <c r="E2" s="2"/>
      <c r="F2" s="2"/>
    </row>
    <row r="4" customFormat="false" ht="21.75" hidden="false" customHeight="true" outlineLevel="0" collapsed="false">
      <c r="B4" s="11" t="s">
        <v>170</v>
      </c>
      <c r="C4" s="11"/>
      <c r="D4" s="11"/>
      <c r="E4" s="11"/>
      <c r="F4" s="11"/>
    </row>
    <row r="5" customFormat="false" ht="21.75" hidden="false" customHeight="true" outlineLevel="0" collapsed="false">
      <c r="B5" s="8" t="s">
        <v>171</v>
      </c>
      <c r="C5" s="8" t="s">
        <v>172</v>
      </c>
      <c r="D5" s="8" t="s">
        <v>173</v>
      </c>
      <c r="E5" s="8" t="s">
        <v>174</v>
      </c>
      <c r="F5" s="8" t="s">
        <v>140</v>
      </c>
    </row>
    <row r="6" customFormat="false" ht="21.75" hidden="false" customHeight="true" outlineLevel="0" collapsed="false">
      <c r="B6" s="26" t="s">
        <v>175</v>
      </c>
      <c r="C6" s="27" t="s">
        <v>176</v>
      </c>
      <c r="D6" s="27" t="s">
        <v>177</v>
      </c>
      <c r="E6" s="27" t="s">
        <v>178</v>
      </c>
      <c r="F6" s="7" t="s">
        <v>179</v>
      </c>
    </row>
    <row r="7" customFormat="false" ht="21.75" hidden="false" customHeight="true" outlineLevel="0" collapsed="false">
      <c r="B7" s="26" t="s">
        <v>180</v>
      </c>
      <c r="C7" s="27" t="s">
        <v>181</v>
      </c>
      <c r="D7" s="27" t="s">
        <v>182</v>
      </c>
      <c r="E7" s="27" t="s">
        <v>178</v>
      </c>
      <c r="F7" s="7" t="s">
        <v>183</v>
      </c>
    </row>
    <row r="8" customFormat="false" ht="21.75" hidden="false" customHeight="true" outlineLevel="0" collapsed="false">
      <c r="B8" s="26" t="s">
        <v>184</v>
      </c>
      <c r="C8" s="27" t="s">
        <v>178</v>
      </c>
      <c r="D8" s="27" t="s">
        <v>185</v>
      </c>
      <c r="E8" s="27" t="s">
        <v>178</v>
      </c>
      <c r="F8" s="7" t="s">
        <v>186</v>
      </c>
    </row>
    <row r="9" customFormat="false" ht="21.75" hidden="false" customHeight="true" outlineLevel="0" collapsed="false">
      <c r="B9" s="26" t="s">
        <v>187</v>
      </c>
      <c r="C9" s="27" t="s">
        <v>188</v>
      </c>
      <c r="D9" s="27" t="s">
        <v>181</v>
      </c>
      <c r="E9" s="27" t="s">
        <v>189</v>
      </c>
      <c r="F9" s="7" t="s">
        <v>190</v>
      </c>
    </row>
    <row r="10" customFormat="false" ht="31.5" hidden="false" customHeight="true" outlineLevel="0" collapsed="false">
      <c r="B10" s="26" t="s">
        <v>191</v>
      </c>
      <c r="C10" s="27" t="s">
        <v>192</v>
      </c>
      <c r="D10" s="27" t="s">
        <v>178</v>
      </c>
      <c r="E10" s="27" t="s">
        <v>193</v>
      </c>
      <c r="F10" s="7" t="s">
        <v>194</v>
      </c>
    </row>
    <row r="12" customFormat="false" ht="21.75" hidden="false" customHeight="true" outlineLevel="0" collapsed="false">
      <c r="B12" s="11" t="s">
        <v>195</v>
      </c>
      <c r="C12" s="11"/>
      <c r="D12" s="11"/>
      <c r="E12" s="11"/>
      <c r="F12" s="11"/>
    </row>
    <row r="13" customFormat="false" ht="21.75" hidden="false" customHeight="true" outlineLevel="0" collapsed="false">
      <c r="B13" s="8" t="s">
        <v>196</v>
      </c>
      <c r="C13" s="8" t="s">
        <v>197</v>
      </c>
      <c r="D13" s="8" t="s">
        <v>198</v>
      </c>
      <c r="E13" s="8" t="s">
        <v>199</v>
      </c>
      <c r="F13" s="8" t="s">
        <v>140</v>
      </c>
    </row>
    <row r="14" customFormat="false" ht="31.5" hidden="false" customHeight="true" outlineLevel="0" collapsed="false">
      <c r="B14" s="26" t="s">
        <v>200</v>
      </c>
      <c r="C14" s="27" t="s">
        <v>201</v>
      </c>
      <c r="D14" s="27" t="s">
        <v>202</v>
      </c>
      <c r="E14" s="27" t="s">
        <v>203</v>
      </c>
      <c r="F14" s="7" t="s">
        <v>204</v>
      </c>
    </row>
    <row r="15" customFormat="false" ht="21.75" hidden="false" customHeight="true" outlineLevel="0" collapsed="false">
      <c r="B15" s="26" t="s">
        <v>205</v>
      </c>
      <c r="C15" s="27" t="s">
        <v>206</v>
      </c>
      <c r="D15" s="27" t="s">
        <v>207</v>
      </c>
      <c r="E15" s="27" t="s">
        <v>208</v>
      </c>
      <c r="F15" s="7" t="s">
        <v>209</v>
      </c>
    </row>
    <row r="17" customFormat="false" ht="21.75" hidden="false" customHeight="true" outlineLevel="0" collapsed="false">
      <c r="B17" s="11" t="s">
        <v>210</v>
      </c>
      <c r="C17" s="11"/>
      <c r="D17" s="11"/>
      <c r="E17" s="11"/>
      <c r="F17" s="11"/>
    </row>
    <row r="18" customFormat="false" ht="21.75" hidden="false" customHeight="true" outlineLevel="0" collapsed="false">
      <c r="B18" s="8" t="s">
        <v>211</v>
      </c>
      <c r="C18" s="8" t="s">
        <v>132</v>
      </c>
      <c r="D18" s="8" t="s">
        <v>131</v>
      </c>
      <c r="E18" s="8" t="s">
        <v>75</v>
      </c>
      <c r="F18" s="8" t="s">
        <v>212</v>
      </c>
    </row>
    <row r="19" customFormat="false" ht="21.75" hidden="false" customHeight="true" outlineLevel="0" collapsed="false">
      <c r="B19" s="26" t="s">
        <v>213</v>
      </c>
      <c r="C19" s="27" t="s">
        <v>214</v>
      </c>
      <c r="D19" s="27" t="s">
        <v>215</v>
      </c>
      <c r="E19" s="27" t="s">
        <v>216</v>
      </c>
      <c r="F19" s="7" t="s">
        <v>217</v>
      </c>
    </row>
    <row r="20" customFormat="false" ht="21.75" hidden="false" customHeight="true" outlineLevel="0" collapsed="false">
      <c r="B20" s="26" t="s">
        <v>218</v>
      </c>
      <c r="C20" s="27" t="s">
        <v>219</v>
      </c>
      <c r="D20" s="27" t="s">
        <v>220</v>
      </c>
      <c r="E20" s="27" t="s">
        <v>221</v>
      </c>
      <c r="F20" s="7" t="s">
        <v>222</v>
      </c>
    </row>
    <row r="21" customFormat="false" ht="21.75" hidden="false" customHeight="true" outlineLevel="0" collapsed="false">
      <c r="B21" s="26" t="s">
        <v>223</v>
      </c>
      <c r="C21" s="27" t="s">
        <v>224</v>
      </c>
      <c r="D21" s="27" t="s">
        <v>225</v>
      </c>
      <c r="E21" s="27" t="s">
        <v>226</v>
      </c>
      <c r="F21" s="7" t="s">
        <v>227</v>
      </c>
    </row>
    <row r="22" customFormat="false" ht="21.75" hidden="false" customHeight="true" outlineLevel="0" collapsed="false">
      <c r="B22" s="26" t="s">
        <v>228</v>
      </c>
      <c r="C22" s="27" t="s">
        <v>229</v>
      </c>
      <c r="D22" s="27" t="s">
        <v>178</v>
      </c>
      <c r="E22" s="27" t="s">
        <v>230</v>
      </c>
      <c r="F22" s="7" t="s">
        <v>231</v>
      </c>
    </row>
    <row r="23" customFormat="false" ht="21.75" hidden="false" customHeight="true" outlineLevel="0" collapsed="false">
      <c r="B23" s="26" t="s">
        <v>232</v>
      </c>
      <c r="C23" s="27" t="s">
        <v>233</v>
      </c>
      <c r="D23" s="27" t="s">
        <v>185</v>
      </c>
      <c r="E23" s="27" t="s">
        <v>234</v>
      </c>
      <c r="F23" s="7" t="s">
        <v>235</v>
      </c>
    </row>
    <row r="24" customFormat="false" ht="21.75" hidden="false" customHeight="true" outlineLevel="0" collapsed="false">
      <c r="B24" s="26" t="s">
        <v>236</v>
      </c>
      <c r="C24" s="27" t="s">
        <v>237</v>
      </c>
      <c r="D24" s="27" t="s">
        <v>238</v>
      </c>
      <c r="E24" s="27" t="s">
        <v>239</v>
      </c>
      <c r="F24" s="7" t="s">
        <v>240</v>
      </c>
    </row>
    <row r="25" customFormat="false" ht="21.75" hidden="false" customHeight="true" outlineLevel="0" collapsed="false">
      <c r="B25" s="26" t="s">
        <v>241</v>
      </c>
      <c r="C25" s="27" t="s">
        <v>242</v>
      </c>
      <c r="D25" s="27" t="s">
        <v>243</v>
      </c>
      <c r="E25" s="27" t="s">
        <v>244</v>
      </c>
      <c r="F25" s="7" t="s">
        <v>245</v>
      </c>
    </row>
    <row r="27" customFormat="false" ht="21.75" hidden="false" customHeight="true" outlineLevel="0" collapsed="false">
      <c r="B27" s="11" t="s">
        <v>246</v>
      </c>
      <c r="C27" s="11"/>
      <c r="D27" s="11"/>
      <c r="E27" s="11"/>
      <c r="F27" s="11"/>
    </row>
    <row r="28" customFormat="false" ht="21.75" hidden="false" customHeight="true" outlineLevel="0" collapsed="false">
      <c r="B28" s="8" t="s">
        <v>133</v>
      </c>
      <c r="C28" s="8" t="s">
        <v>247</v>
      </c>
      <c r="D28" s="8" t="s">
        <v>44</v>
      </c>
      <c r="E28" s="8" t="s">
        <v>248</v>
      </c>
      <c r="F28" s="8" t="s">
        <v>249</v>
      </c>
    </row>
    <row r="29" customFormat="false" ht="21.75" hidden="false" customHeight="true" outlineLevel="0" collapsed="false">
      <c r="B29" s="26" t="s">
        <v>250</v>
      </c>
      <c r="C29" s="27" t="s">
        <v>16</v>
      </c>
      <c r="D29" s="27" t="s">
        <v>228</v>
      </c>
      <c r="E29" s="27" t="s">
        <v>251</v>
      </c>
      <c r="F29" s="7" t="s">
        <v>252</v>
      </c>
    </row>
    <row r="30" customFormat="false" ht="21.75" hidden="false" customHeight="true" outlineLevel="0" collapsed="false">
      <c r="B30" s="26" t="s">
        <v>253</v>
      </c>
      <c r="C30" s="27" t="s">
        <v>18</v>
      </c>
      <c r="D30" s="27" t="s">
        <v>16</v>
      </c>
      <c r="E30" s="27" t="s">
        <v>254</v>
      </c>
      <c r="F30" s="7" t="s">
        <v>255</v>
      </c>
    </row>
    <row r="31" customFormat="false" ht="21.75" hidden="false" customHeight="true" outlineLevel="0" collapsed="false">
      <c r="B31" s="26" t="s">
        <v>256</v>
      </c>
      <c r="C31" s="27" t="s">
        <v>22</v>
      </c>
      <c r="D31" s="27" t="s">
        <v>18</v>
      </c>
      <c r="E31" s="27" t="s">
        <v>257</v>
      </c>
      <c r="F31" s="7" t="s">
        <v>258</v>
      </c>
    </row>
    <row r="32" customFormat="false" ht="21.75" hidden="false" customHeight="true" outlineLevel="0" collapsed="false">
      <c r="B32" s="26" t="s">
        <v>259</v>
      </c>
      <c r="C32" s="27" t="s">
        <v>260</v>
      </c>
      <c r="D32" s="27" t="s">
        <v>20</v>
      </c>
      <c r="E32" s="27" t="s">
        <v>261</v>
      </c>
      <c r="F32" s="7" t="s">
        <v>262</v>
      </c>
    </row>
    <row r="33" customFormat="false" ht="21.75" hidden="false" customHeight="true" outlineLevel="0" collapsed="false">
      <c r="B33" s="26" t="s">
        <v>263</v>
      </c>
      <c r="C33" s="27" t="s">
        <v>264</v>
      </c>
      <c r="D33" s="27" t="s">
        <v>22</v>
      </c>
      <c r="E33" s="27" t="s">
        <v>265</v>
      </c>
      <c r="F33" s="7" t="s">
        <v>266</v>
      </c>
    </row>
    <row r="35" customFormat="false" ht="21.75" hidden="false" customHeight="true" outlineLevel="0" collapsed="false">
      <c r="B35" s="11" t="s">
        <v>267</v>
      </c>
      <c r="C35" s="11"/>
      <c r="D35" s="11"/>
      <c r="E35" s="11"/>
      <c r="F35" s="11"/>
    </row>
    <row r="36" customFormat="false" ht="21.75" hidden="false" customHeight="true" outlineLevel="0" collapsed="false">
      <c r="B36" s="8" t="s">
        <v>268</v>
      </c>
      <c r="C36" s="8" t="s">
        <v>269</v>
      </c>
      <c r="D36" s="8" t="s">
        <v>270</v>
      </c>
      <c r="E36" s="8" t="s">
        <v>271</v>
      </c>
      <c r="F36" s="8" t="s">
        <v>272</v>
      </c>
    </row>
    <row r="37" customFormat="false" ht="21.75" hidden="false" customHeight="true" outlineLevel="0" collapsed="false">
      <c r="B37" s="26" t="s">
        <v>273</v>
      </c>
      <c r="C37" s="27" t="s">
        <v>274</v>
      </c>
      <c r="D37" s="27" t="s">
        <v>275</v>
      </c>
      <c r="E37" s="27" t="s">
        <v>16</v>
      </c>
      <c r="F37" s="7" t="s">
        <v>276</v>
      </c>
    </row>
    <row r="38" customFormat="false" ht="21.75" hidden="false" customHeight="true" outlineLevel="0" collapsed="false">
      <c r="B38" s="26" t="s">
        <v>277</v>
      </c>
      <c r="C38" s="27" t="s">
        <v>278</v>
      </c>
      <c r="D38" s="27" t="s">
        <v>279</v>
      </c>
      <c r="E38" s="27" t="s">
        <v>18</v>
      </c>
      <c r="F38" s="7" t="s">
        <v>280</v>
      </c>
    </row>
    <row r="39" customFormat="false" ht="21.75" hidden="false" customHeight="true" outlineLevel="0" collapsed="false">
      <c r="B39" s="26" t="s">
        <v>281</v>
      </c>
      <c r="C39" s="27" t="s">
        <v>243</v>
      </c>
      <c r="D39" s="27" t="s">
        <v>282</v>
      </c>
      <c r="E39" s="27" t="s">
        <v>20</v>
      </c>
      <c r="F39" s="7" t="s">
        <v>283</v>
      </c>
    </row>
    <row r="40" customFormat="false" ht="21.75" hidden="false" customHeight="true" outlineLevel="0" collapsed="false">
      <c r="B40" s="26" t="s">
        <v>284</v>
      </c>
      <c r="C40" s="27" t="s">
        <v>285</v>
      </c>
      <c r="D40" s="27" t="s">
        <v>286</v>
      </c>
      <c r="E40" s="27" t="s">
        <v>22</v>
      </c>
      <c r="F40" s="7" t="s">
        <v>287</v>
      </c>
    </row>
    <row r="41" customFormat="false" ht="21.75" hidden="false" customHeight="true" outlineLevel="0" collapsed="false">
      <c r="B41" s="26" t="s">
        <v>288</v>
      </c>
      <c r="C41" s="27" t="s">
        <v>289</v>
      </c>
      <c r="D41" s="27" t="s">
        <v>290</v>
      </c>
      <c r="E41" s="27" t="s">
        <v>26</v>
      </c>
      <c r="F41" s="7" t="s">
        <v>291</v>
      </c>
    </row>
    <row r="43" customFormat="false" ht="21.75" hidden="false" customHeight="true" outlineLevel="0" collapsed="false">
      <c r="B43" s="11" t="s">
        <v>292</v>
      </c>
      <c r="C43" s="11"/>
      <c r="D43" s="11"/>
      <c r="E43" s="11"/>
      <c r="F43" s="11"/>
    </row>
    <row r="44" customFormat="false" ht="21.75" hidden="false" customHeight="true" outlineLevel="0" collapsed="false">
      <c r="B44" s="8" t="s">
        <v>293</v>
      </c>
      <c r="C44" s="8" t="s">
        <v>294</v>
      </c>
      <c r="D44" s="8" t="s">
        <v>295</v>
      </c>
      <c r="E44" s="8" t="s">
        <v>296</v>
      </c>
      <c r="F44" s="8" t="s">
        <v>140</v>
      </c>
    </row>
    <row r="45" customFormat="false" ht="21.75" hidden="false" customHeight="true" outlineLevel="0" collapsed="false">
      <c r="B45" s="26" t="s">
        <v>297</v>
      </c>
      <c r="C45" s="27" t="s">
        <v>298</v>
      </c>
      <c r="D45" s="27" t="s">
        <v>299</v>
      </c>
      <c r="E45" s="27" t="s">
        <v>300</v>
      </c>
      <c r="F45" s="7" t="s">
        <v>301</v>
      </c>
    </row>
    <row r="46" customFormat="false" ht="21.75" hidden="false" customHeight="true" outlineLevel="0" collapsed="false">
      <c r="B46" s="26" t="s">
        <v>302</v>
      </c>
      <c r="C46" s="27" t="s">
        <v>303</v>
      </c>
      <c r="D46" s="27" t="s">
        <v>304</v>
      </c>
      <c r="E46" s="27" t="s">
        <v>304</v>
      </c>
      <c r="F46" s="7" t="s">
        <v>305</v>
      </c>
    </row>
    <row r="47" customFormat="false" ht="21.75" hidden="false" customHeight="true" outlineLevel="0" collapsed="false">
      <c r="B47" s="26" t="s">
        <v>306</v>
      </c>
      <c r="C47" s="27" t="s">
        <v>307</v>
      </c>
      <c r="D47" s="27" t="s">
        <v>308</v>
      </c>
      <c r="E47" s="27" t="s">
        <v>309</v>
      </c>
      <c r="F47" s="7" t="s">
        <v>310</v>
      </c>
    </row>
    <row r="48" customFormat="false" ht="21.75" hidden="false" customHeight="true" outlineLevel="0" collapsed="false">
      <c r="B48" s="26" t="s">
        <v>311</v>
      </c>
      <c r="C48" s="27" t="s">
        <v>312</v>
      </c>
      <c r="D48" s="27" t="s">
        <v>304</v>
      </c>
      <c r="E48" s="27" t="s">
        <v>313</v>
      </c>
      <c r="F48" s="7" t="s">
        <v>314</v>
      </c>
    </row>
    <row r="49" customFormat="false" ht="21.75" hidden="false" customHeight="true" outlineLevel="0" collapsed="false">
      <c r="B49" s="26" t="s">
        <v>315</v>
      </c>
      <c r="C49" s="27" t="s">
        <v>316</v>
      </c>
      <c r="D49" s="27" t="s">
        <v>304</v>
      </c>
      <c r="E49" s="27" t="s">
        <v>317</v>
      </c>
      <c r="F49" s="7" t="s">
        <v>318</v>
      </c>
    </row>
    <row r="50" customFormat="false" ht="21.75" hidden="false" customHeight="true" outlineLevel="0" collapsed="false">
      <c r="B50" s="26" t="s">
        <v>319</v>
      </c>
      <c r="C50" s="27" t="s">
        <v>320</v>
      </c>
      <c r="D50" s="27" t="s">
        <v>304</v>
      </c>
      <c r="E50" s="27" t="s">
        <v>321</v>
      </c>
      <c r="F50" s="7" t="s">
        <v>322</v>
      </c>
    </row>
    <row r="51" customFormat="false" ht="15" hidden="false" customHeight="true" outlineLevel="0" collapsed="false">
      <c r="B51" s="10" t="s">
        <v>323</v>
      </c>
      <c r="C51" s="10"/>
      <c r="D51" s="10"/>
      <c r="E51" s="10"/>
      <c r="F51" s="10"/>
    </row>
  </sheetData>
  <mergeCells count="9">
    <mergeCell ref="B1:F1"/>
    <mergeCell ref="B2:F2"/>
    <mergeCell ref="B4:F4"/>
    <mergeCell ref="B12:F12"/>
    <mergeCell ref="B17:F17"/>
    <mergeCell ref="B27:F27"/>
    <mergeCell ref="B35:F35"/>
    <mergeCell ref="B43:F43"/>
    <mergeCell ref="B51:F5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324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325</v>
      </c>
      <c r="C2" s="2"/>
      <c r="D2" s="2"/>
      <c r="E2" s="2"/>
      <c r="F2" s="2"/>
    </row>
    <row r="4" customFormat="false" ht="21.75" hidden="false" customHeight="true" outlineLevel="0" collapsed="false">
      <c r="B4" s="12" t="s">
        <v>326</v>
      </c>
      <c r="C4" s="12" t="s">
        <v>327</v>
      </c>
      <c r="D4" s="12" t="s">
        <v>328</v>
      </c>
      <c r="E4" s="12" t="s">
        <v>54</v>
      </c>
      <c r="F4" s="12" t="s">
        <v>140</v>
      </c>
    </row>
    <row r="5" customFormat="false" ht="19.5" hidden="false" customHeight="true" outlineLevel="0" collapsed="false">
      <c r="B5" s="23" t="n">
        <v>1</v>
      </c>
      <c r="C5" s="6" t="s">
        <v>329</v>
      </c>
      <c r="D5" s="7" t="s">
        <v>330</v>
      </c>
      <c r="E5" s="9"/>
      <c r="F5" s="5"/>
    </row>
    <row r="6" customFormat="false" ht="31.5" hidden="false" customHeight="true" outlineLevel="0" collapsed="false">
      <c r="B6" s="23" t="n">
        <v>2</v>
      </c>
      <c r="C6" s="6" t="s">
        <v>329</v>
      </c>
      <c r="D6" s="7" t="s">
        <v>331</v>
      </c>
      <c r="E6" s="9"/>
      <c r="F6" s="5"/>
    </row>
    <row r="7" customFormat="false" ht="31.5" hidden="false" customHeight="true" outlineLevel="0" collapsed="false">
      <c r="B7" s="23" t="n">
        <v>3</v>
      </c>
      <c r="C7" s="6" t="s">
        <v>131</v>
      </c>
      <c r="D7" s="7" t="s">
        <v>332</v>
      </c>
      <c r="E7" s="9"/>
      <c r="F7" s="5"/>
    </row>
    <row r="8" customFormat="false" ht="31.5" hidden="false" customHeight="true" outlineLevel="0" collapsed="false">
      <c r="B8" s="23" t="n">
        <v>4</v>
      </c>
      <c r="C8" s="6" t="s">
        <v>131</v>
      </c>
      <c r="D8" s="7" t="s">
        <v>333</v>
      </c>
      <c r="E8" s="9"/>
      <c r="F8" s="5"/>
    </row>
    <row r="9" customFormat="false" ht="31.5" hidden="false" customHeight="true" outlineLevel="0" collapsed="false">
      <c r="B9" s="23" t="n">
        <v>5</v>
      </c>
      <c r="C9" s="6" t="s">
        <v>334</v>
      </c>
      <c r="D9" s="7" t="s">
        <v>335</v>
      </c>
      <c r="E9" s="9"/>
      <c r="F9" s="5"/>
    </row>
    <row r="10" customFormat="false" ht="31.5" hidden="false" customHeight="true" outlineLevel="0" collapsed="false">
      <c r="B10" s="23" t="n">
        <v>6</v>
      </c>
      <c r="C10" s="6" t="s">
        <v>334</v>
      </c>
      <c r="D10" s="7" t="s">
        <v>336</v>
      </c>
      <c r="E10" s="9"/>
      <c r="F10" s="5"/>
    </row>
    <row r="11" customFormat="false" ht="31.5" hidden="false" customHeight="true" outlineLevel="0" collapsed="false">
      <c r="B11" s="23" t="n">
        <v>7</v>
      </c>
      <c r="C11" s="6" t="s">
        <v>334</v>
      </c>
      <c r="D11" s="7" t="s">
        <v>337</v>
      </c>
      <c r="E11" s="9"/>
      <c r="F11" s="5"/>
    </row>
    <row r="12" customFormat="false" ht="31.5" hidden="false" customHeight="true" outlineLevel="0" collapsed="false">
      <c r="B12" s="23" t="n">
        <v>8</v>
      </c>
      <c r="C12" s="6" t="s">
        <v>338</v>
      </c>
      <c r="D12" s="7" t="s">
        <v>339</v>
      </c>
      <c r="E12" s="9"/>
      <c r="F12" s="5"/>
    </row>
    <row r="13" customFormat="false" ht="31.5" hidden="false" customHeight="true" outlineLevel="0" collapsed="false">
      <c r="B13" s="23" t="n">
        <v>9</v>
      </c>
      <c r="C13" s="6" t="s">
        <v>338</v>
      </c>
      <c r="D13" s="7" t="s">
        <v>340</v>
      </c>
      <c r="E13" s="9"/>
      <c r="F13" s="5"/>
    </row>
    <row r="14" customFormat="false" ht="19.5" hidden="false" customHeight="true" outlineLevel="0" collapsed="false">
      <c r="B14" s="23" t="n">
        <v>10</v>
      </c>
      <c r="C14" s="6" t="s">
        <v>338</v>
      </c>
      <c r="D14" s="7" t="s">
        <v>341</v>
      </c>
      <c r="E14" s="9"/>
      <c r="F14" s="5"/>
    </row>
    <row r="15" customFormat="false" ht="31.5" hidden="false" customHeight="true" outlineLevel="0" collapsed="false">
      <c r="B15" s="23" t="n">
        <v>11</v>
      </c>
      <c r="C15" s="6" t="s">
        <v>342</v>
      </c>
      <c r="D15" s="7" t="s">
        <v>343</v>
      </c>
      <c r="E15" s="9"/>
      <c r="F15" s="5"/>
    </row>
    <row r="16" customFormat="false" ht="31.5" hidden="false" customHeight="true" outlineLevel="0" collapsed="false">
      <c r="B16" s="23" t="n">
        <v>12</v>
      </c>
      <c r="C16" s="6" t="s">
        <v>342</v>
      </c>
      <c r="D16" s="7" t="s">
        <v>344</v>
      </c>
      <c r="E16" s="9"/>
      <c r="F16" s="5"/>
    </row>
    <row r="18" customFormat="false" ht="19.5" hidden="false" customHeight="true" outlineLevel="0" collapsed="false">
      <c r="B18" s="19" t="s">
        <v>345</v>
      </c>
      <c r="C18" s="19"/>
      <c r="D18" s="19"/>
      <c r="E18" s="8" t="n">
        <f aca="false">COUNTA(E5:E16)</f>
        <v>0</v>
      </c>
    </row>
    <row r="19" customFormat="false" ht="19.5" hidden="false" customHeight="true" outlineLevel="0" collapsed="false">
      <c r="B19" s="19" t="s">
        <v>346</v>
      </c>
      <c r="C19" s="19"/>
      <c r="D19" s="19"/>
      <c r="E19" s="28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19" t="s">
        <v>54</v>
      </c>
      <c r="C20" s="19"/>
      <c r="D20" s="19"/>
      <c r="E20" s="20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5"/>
    <col collapsed="false" customWidth="true" hidden="false" outlineLevel="0" max="6" min="6" style="0" width="17"/>
    <col collapsed="false" customWidth="true" hidden="false" outlineLevel="0" max="7" min="7" style="0" width="54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58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347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4" t="s">
        <v>60</v>
      </c>
      <c r="C4" s="4"/>
      <c r="D4" s="29" t="n">
        <v>30</v>
      </c>
      <c r="E4" s="10" t="s">
        <v>61</v>
      </c>
      <c r="F4" s="10"/>
      <c r="G4" s="10"/>
    </row>
    <row r="5" customFormat="false" ht="21.75" hidden="false" customHeight="true" outlineLevel="0" collapsed="false">
      <c r="B5" s="4" t="s">
        <v>62</v>
      </c>
      <c r="C5" s="4"/>
      <c r="D5" s="29" t="n">
        <v>60</v>
      </c>
      <c r="E5" s="10" t="s">
        <v>63</v>
      </c>
      <c r="F5" s="10"/>
      <c r="G5" s="10"/>
    </row>
    <row r="7" customFormat="false" ht="21.75" hidden="false" customHeight="true" outlineLevel="0" collapsed="false">
      <c r="B7" s="11" t="s">
        <v>64</v>
      </c>
      <c r="C7" s="11"/>
      <c r="D7" s="11"/>
      <c r="E7" s="11"/>
      <c r="F7" s="11"/>
      <c r="G7" s="11"/>
    </row>
    <row r="8" customFormat="false" ht="30" hidden="false" customHeight="true" outlineLevel="0" collapsed="false">
      <c r="B8" s="12" t="s">
        <v>65</v>
      </c>
      <c r="C8" s="13" t="s">
        <v>66</v>
      </c>
      <c r="D8" s="13" t="s">
        <v>67</v>
      </c>
      <c r="E8" s="14" t="s">
        <v>68</v>
      </c>
      <c r="F8" s="14" t="s">
        <v>69</v>
      </c>
      <c r="G8" s="14" t="s">
        <v>70</v>
      </c>
    </row>
    <row r="9" customFormat="false" ht="24" hidden="false" customHeight="true" outlineLevel="0" collapsed="false">
      <c r="B9" s="15"/>
      <c r="C9" s="15"/>
      <c r="D9" s="15"/>
      <c r="E9" s="15" t="s">
        <v>71</v>
      </c>
      <c r="F9" s="15" t="s">
        <v>72</v>
      </c>
      <c r="G9" s="15"/>
    </row>
    <row r="10" customFormat="false" ht="24" hidden="false" customHeight="true" outlineLevel="0" collapsed="false">
      <c r="B10" s="4" t="s">
        <v>73</v>
      </c>
      <c r="C10" s="29" t="n">
        <v>4</v>
      </c>
      <c r="D10" s="29" t="n">
        <v>2.8</v>
      </c>
      <c r="E10" s="16" t="n">
        <f aca="false">IF(OR(C10="",D10="",C10&lt;=0,D10&lt;=0),"",IFERROR(2*LOG10(C10/D10)/LOG10(2),""))</f>
        <v>1.02914634565952</v>
      </c>
      <c r="F10" s="17" t="n">
        <f aca="false">IF(OR(E10="",$E$15=""),"",IFERROR(ROUND(D10*2^($E$15/2),1),""))</f>
        <v>2.9</v>
      </c>
      <c r="G10" s="18" t="str">
        <f aca="false">IF(E10="","",IF(D10&lt;C10,"Íris mais aberta: mais luz e fundo mais desfocado",IF(D10&gt;C10,"Íris mais fechada: menos luz e mais profundidade de campo","Sem mudança")))</f>
        <v>Íris mais aberta: mais luz e fundo mais desfocado</v>
      </c>
    </row>
    <row r="11" customFormat="false" ht="24" hidden="false" customHeight="true" outlineLevel="0" collapsed="false">
      <c r="B11" s="4" t="s">
        <v>74</v>
      </c>
      <c r="C11" s="29" t="n">
        <v>250</v>
      </c>
      <c r="D11" s="29" t="n">
        <v>60</v>
      </c>
      <c r="E11" s="16" t="n">
        <f aca="false">IF(OR(C11="",D11="",C11&lt;=0,D11&lt;=0),"",IFERROR(LOG10(C11/D11)/LOG10(2),""))</f>
        <v>2.05889368905357</v>
      </c>
      <c r="F11" s="17" t="n">
        <f aca="false">IF(OR(E11="",$E$15=""),"",IFERROR(ROUND(D11*2^$E$15,0),""))</f>
        <v>64</v>
      </c>
      <c r="G11" s="18" t="str">
        <f aca="false">IF(E11="","",IF(D11&lt;C11,"Obturador mais lento: mais luz e mais borrão",IF(D11&gt;C11,"Obturador mais rápido: menos luz e movimento mais picotado","Sem mudança")))</f>
        <v>Obturador mais lento: mais luz e mais borrão</v>
      </c>
    </row>
    <row r="12" customFormat="false" ht="24" hidden="false" customHeight="true" outlineLevel="0" collapsed="false">
      <c r="B12" s="4" t="s">
        <v>75</v>
      </c>
      <c r="C12" s="29" t="n">
        <v>12800</v>
      </c>
      <c r="D12" s="29" t="n">
        <v>1600</v>
      </c>
      <c r="E12" s="16" t="n">
        <f aca="false">IF(OR(C12="",D12="",C12&lt;=0,D12&lt;=0),"",IFERROR(LOG10(D12/C12)/LOG10(2),""))</f>
        <v>-3</v>
      </c>
      <c r="F12" s="17" t="n">
        <f aca="false">IF(OR(E12="",$E$15=""),"",IFERROR(ROUND(D12/2^$E$15,0),""))</f>
        <v>1505</v>
      </c>
      <c r="G12" s="18" t="str">
        <f aca="false">IF(E12="","",IF(D12&gt;C12,"ISO maior: mais claro e mais ruído",IF(D12&lt;C12,"ISO menor: mais escuro e menos ruído","Sem mudança")))</f>
        <v>ISO menor: mais escuro e menos ruído</v>
      </c>
    </row>
    <row r="13" customFormat="false" ht="24" hidden="false" customHeight="true" outlineLevel="0" collapsed="false">
      <c r="B13" s="4" t="s">
        <v>76</v>
      </c>
      <c r="C13" s="29"/>
      <c r="D13" s="29"/>
      <c r="E13" s="16" t="str">
        <f aca="false">IF(OR(C13="",D13=""),"",IFERROR((D13-C13)/6,""))</f>
        <v/>
      </c>
      <c r="F13" s="17" t="str">
        <f aca="false">IF(OR(E13="",$E$15=""),"",IFERROR(ROUND(D13-6*$E$15,0),""))</f>
        <v/>
      </c>
      <c r="G13" s="18" t="str">
        <f aca="false">IF(E13="","",IF(D13&gt;C13,"Ganho maior: mais claro e mais ruído",IF(D13&lt;C13,"Ganho menor: mais escuro e menos ruído","Sem mudança")))</f>
        <v/>
      </c>
    </row>
    <row r="14" customFormat="false" ht="24" hidden="false" customHeight="true" outlineLevel="0" collapsed="false">
      <c r="B14" s="4" t="s">
        <v>77</v>
      </c>
      <c r="C14" s="29" t="n">
        <v>0</v>
      </c>
      <c r="D14" s="29" t="n">
        <v>0</v>
      </c>
      <c r="E14" s="16" t="n">
        <f aca="false">IF(OR(C14="",D14=""),"",IFERROR(C14-D14,""))</f>
        <v>0</v>
      </c>
      <c r="F14" s="17" t="n">
        <f aca="false">IF(OR(E14="",$E$15=""),"",IFERROR(ROUND(D14+$E$15,1),""))</f>
        <v>0.1</v>
      </c>
      <c r="G14" s="18" t="str">
        <f aca="false">IF(E14="","",IF(D14&gt;C14,"Mais ND: menos luz, sem outro efeito na imagem",IF(D14&lt;C14,"Menos ND: mais luz, sem outro efeito na imagem","Sem mudança")))</f>
        <v>Sem mudança</v>
      </c>
    </row>
    <row r="15" customFormat="false" ht="19.5" hidden="false" customHeight="true" outlineLevel="0" collapsed="false">
      <c r="B15" s="19" t="s">
        <v>78</v>
      </c>
      <c r="C15" s="19"/>
      <c r="D15" s="19"/>
      <c r="E15" s="16" t="n">
        <f aca="false">IF(COUNT(E10:E14)=0,"",SUM(E10:E14))</f>
        <v>0.0880400347130848</v>
      </c>
    </row>
    <row r="16" customFormat="false" ht="21.75" hidden="false" customHeight="true" outlineLevel="0" collapsed="false">
      <c r="B16" s="19" t="s">
        <v>79</v>
      </c>
      <c r="C16" s="19"/>
      <c r="D16" s="19"/>
      <c r="E16" s="20" t="str">
        <f aca="false">IF(E15="","",IF(ABS(E15)&lt;1/3,"OK",IF(E15&gt;0,"B mais clara que A","B mais escura que A")))</f>
        <v>OK</v>
      </c>
      <c r="F16" s="20"/>
      <c r="G16" s="10" t="s">
        <v>80</v>
      </c>
    </row>
    <row r="18" customFormat="false" ht="21.75" hidden="false" customHeight="true" outlineLevel="0" collapsed="false">
      <c r="B18" s="11" t="s">
        <v>81</v>
      </c>
      <c r="C18" s="11"/>
      <c r="D18" s="11"/>
      <c r="E18" s="11"/>
      <c r="F18" s="11"/>
      <c r="G18" s="11"/>
    </row>
    <row r="19" customFormat="false" ht="15" hidden="false" customHeight="true" outlineLevel="0" collapsed="false">
      <c r="B19" s="12" t="s">
        <v>82</v>
      </c>
      <c r="C19" s="13" t="s">
        <v>83</v>
      </c>
      <c r="D19" s="13" t="s">
        <v>84</v>
      </c>
      <c r="E19" s="14" t="s">
        <v>85</v>
      </c>
      <c r="F19" s="14"/>
      <c r="G19" s="14"/>
    </row>
    <row r="20" customFormat="false" ht="30" hidden="false" customHeight="true" outlineLevel="0" collapsed="false">
      <c r="B20" s="4" t="s">
        <v>86</v>
      </c>
      <c r="C20" s="8" t="n">
        <f aca="false">IF(OR(C11="",$D$4=""),"",IFERROR(ROUND(360*$D$4/C11,0),""))</f>
        <v>43</v>
      </c>
      <c r="D20" s="8" t="n">
        <f aca="false">IF(OR(D11="",$D$4=""),"",IFERROR(ROUND(360*$D$4/D11,0),""))</f>
        <v>180</v>
      </c>
      <c r="E20" s="10" t="s">
        <v>87</v>
      </c>
      <c r="F20" s="10"/>
      <c r="G20" s="10"/>
    </row>
    <row r="21" customFormat="false" ht="30" hidden="false" customHeight="true" outlineLevel="0" collapsed="false">
      <c r="B21" s="4" t="s">
        <v>50</v>
      </c>
      <c r="C21" s="21" t="str">
        <f aca="false">IF(C20="","",IF(C20&gt;360,"Mais lento que um quadro: evite",IF(C20&gt;220,"Borrão maior que o natural",IF(C20&gt;=160,"Regra dos 180°: OK",IF(C20&gt;=90,"Pouco borrão","Movimento picotado")))))</f>
        <v>Movimento picotado</v>
      </c>
      <c r="D21" s="21" t="str">
        <f aca="false">IF(D20="","",IF(D20&gt;360,"Mais lento que um quadro: evite",IF(D20&gt;220,"Borrão maior que o natural",IF(D20&gt;=160,"Regra dos 180°: OK",IF(D20&gt;=90,"Pouco borrão","Movimento picotado")))))</f>
        <v>Regra dos 180°: OK</v>
      </c>
      <c r="E21" s="10" t="s">
        <v>88</v>
      </c>
      <c r="F21" s="10"/>
      <c r="G21" s="10"/>
    </row>
    <row r="22" customFormat="false" ht="30" hidden="false" customHeight="true" outlineLevel="0" collapsed="false">
      <c r="B22" s="4" t="s">
        <v>89</v>
      </c>
      <c r="C22" s="21" t="str">
        <f aca="false">IF(OR(C11="",$D$5=""),"",IFERROR(IF(AND(C11&lt;=2*$D$5,ABS(2*$D$5/C11-ROUND(2*$D$5/C11,0))&lt;0.02),"OK","Risco de cintilação"),""))</f>
        <v>Risco de cintilação</v>
      </c>
      <c r="D22" s="21" t="str">
        <f aca="false">IF(OR(D11="",$D$5=""),"",IFERROR(IF(AND(D11&lt;=2*$D$5,ABS(2*$D$5/D11-ROUND(2*$D$5/D11,0))&lt;0.02),"OK","Risco de cintilação"),""))</f>
        <v>OK</v>
      </c>
      <c r="E22" s="10" t="s">
        <v>90</v>
      </c>
      <c r="F22" s="10"/>
      <c r="G22" s="10"/>
    </row>
    <row r="24" customFormat="false" ht="21.75" hidden="false" customHeight="true" outlineLevel="0" collapsed="false">
      <c r="B24" s="11" t="s">
        <v>91</v>
      </c>
      <c r="C24" s="11"/>
      <c r="D24" s="11"/>
      <c r="E24" s="11"/>
      <c r="F24" s="11"/>
      <c r="G24" s="11"/>
    </row>
    <row r="25" customFormat="false" ht="15" hidden="false" customHeight="true" outlineLevel="0" collapsed="false">
      <c r="B25" s="12" t="s">
        <v>92</v>
      </c>
      <c r="C25" s="12" t="s">
        <v>93</v>
      </c>
      <c r="D25" s="12" t="s">
        <v>94</v>
      </c>
      <c r="E25" s="12" t="s">
        <v>95</v>
      </c>
      <c r="F25" s="12"/>
      <c r="G25" s="12"/>
    </row>
    <row r="26" customFormat="false" ht="21.75" hidden="false" customHeight="true" outlineLevel="0" collapsed="false">
      <c r="B26" s="4" t="s">
        <v>96</v>
      </c>
      <c r="C26" s="29" t="n">
        <v>12</v>
      </c>
      <c r="D26" s="16" t="n">
        <f aca="false">IF(C26="","",C26/6)</f>
        <v>2</v>
      </c>
      <c r="E26" s="10" t="s">
        <v>97</v>
      </c>
      <c r="F26" s="10"/>
      <c r="G26" s="10"/>
    </row>
    <row r="27" customFormat="false" ht="21.75" hidden="false" customHeight="true" outlineLevel="0" collapsed="false">
      <c r="B27" s="4" t="s">
        <v>98</v>
      </c>
      <c r="C27" s="29" t="n">
        <v>2</v>
      </c>
      <c r="D27" s="8" t="n">
        <f aca="false">IF(C27="","",C27*6)</f>
        <v>12</v>
      </c>
      <c r="E27" s="10" t="s">
        <v>99</v>
      </c>
      <c r="F27" s="10"/>
      <c r="G27" s="10"/>
    </row>
    <row r="28" customFormat="false" ht="21.75" hidden="false" customHeight="true" outlineLevel="0" collapsed="false">
      <c r="B28" s="4" t="s">
        <v>100</v>
      </c>
      <c r="C28" s="29" t="n">
        <v>8</v>
      </c>
      <c r="D28" s="8" t="n">
        <f aca="false">IF(OR(C28="",C28&lt;=0),"",ROUND(LOG10(C28)/LOG10(2),1))</f>
        <v>3</v>
      </c>
      <c r="E28" s="10" t="s">
        <v>101</v>
      </c>
      <c r="F28" s="10"/>
      <c r="G28" s="10"/>
    </row>
    <row r="29" customFormat="false" ht="21.75" hidden="false" customHeight="true" outlineLevel="0" collapsed="false">
      <c r="B29" s="4" t="s">
        <v>102</v>
      </c>
      <c r="C29" s="29" t="n">
        <v>0.9</v>
      </c>
      <c r="D29" s="8" t="n">
        <f aca="false">IF(C29="","",ROUND(C29/LOG10(2),1))</f>
        <v>3</v>
      </c>
      <c r="E29" s="10" t="s">
        <v>101</v>
      </c>
      <c r="F29" s="10"/>
      <c r="G29" s="10"/>
    </row>
    <row r="30" customFormat="false" ht="21.75" hidden="false" customHeight="true" outlineLevel="0" collapsed="false">
      <c r="B30" s="4" t="s">
        <v>103</v>
      </c>
      <c r="C30" s="29" t="n">
        <v>180</v>
      </c>
      <c r="D30" s="8" t="n">
        <f aca="false">IF(OR(C30="",C30&lt;=0,$D$4=""),"",ROUND(360*$D$4/C30,0))</f>
        <v>60</v>
      </c>
      <c r="E30" s="10" t="s">
        <v>104</v>
      </c>
      <c r="F30" s="10"/>
      <c r="G30" s="10"/>
    </row>
    <row r="31" customFormat="false" ht="21.75" hidden="false" customHeight="true" outlineLevel="0" collapsed="false">
      <c r="B31" s="4" t="s">
        <v>105</v>
      </c>
      <c r="C31" s="29" t="n">
        <v>60</v>
      </c>
      <c r="D31" s="8" t="n">
        <f aca="false">IF(OR(C31="",C31&lt;=0,$D$4=""),"",ROUND(360*$D$4/C31,0))</f>
        <v>180</v>
      </c>
      <c r="E31" s="10" t="s">
        <v>106</v>
      </c>
      <c r="F31" s="10"/>
      <c r="G31" s="10"/>
    </row>
    <row r="33" customFormat="false" ht="21.75" hidden="false" customHeight="true" outlineLevel="0" collapsed="false">
      <c r="B33" s="11" t="s">
        <v>348</v>
      </c>
      <c r="C33" s="11"/>
      <c r="D33" s="11"/>
      <c r="E33" s="11"/>
      <c r="F33" s="11"/>
      <c r="G33" s="11"/>
    </row>
    <row r="34" customFormat="false" ht="33" hidden="false" customHeight="true" outlineLevel="0" collapsed="false">
      <c r="B34" s="7" t="s">
        <v>349</v>
      </c>
      <c r="C34" s="7"/>
      <c r="D34" s="7"/>
      <c r="E34" s="7"/>
      <c r="F34" s="7"/>
      <c r="G34" s="7"/>
    </row>
  </sheetData>
  <mergeCells count="25">
    <mergeCell ref="B1:G1"/>
    <mergeCell ref="B2:G2"/>
    <mergeCell ref="B4:C4"/>
    <mergeCell ref="E4:G4"/>
    <mergeCell ref="B5:C5"/>
    <mergeCell ref="E5:G5"/>
    <mergeCell ref="B7:G7"/>
    <mergeCell ref="B15:D15"/>
    <mergeCell ref="B16:D16"/>
    <mergeCell ref="E16:F16"/>
    <mergeCell ref="B18:G18"/>
    <mergeCell ref="E19:G19"/>
    <mergeCell ref="E20:G20"/>
    <mergeCell ref="E21:G21"/>
    <mergeCell ref="E22:G22"/>
    <mergeCell ref="B24:G24"/>
    <mergeCell ref="E25:G25"/>
    <mergeCell ref="E26:G26"/>
    <mergeCell ref="E27:G27"/>
    <mergeCell ref="E28:G28"/>
    <mergeCell ref="E29:G29"/>
    <mergeCell ref="E30:G30"/>
    <mergeCell ref="E31:G31"/>
    <mergeCell ref="B33:G33"/>
    <mergeCell ref="B34:G34"/>
  </mergeCells>
  <conditionalFormatting sqref="E16:F16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AND(LEN($E$16)&gt;0,$E$16&lt;&gt;"OK")</formula>
    </cfRule>
  </conditionalFormatting>
  <conditionalFormatting sqref="C21:D22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0">
      <formula>"Regra dos 180°: OK"</formula>
    </cfRule>
    <cfRule type="cellIs" priority="6" operator="equal" aboveAverage="0" equalAverage="0" bottom="0" percent="0" rank="0" text="" dxfId="2">
      <formula>"Risco de cintilação"</formula>
    </cfRule>
    <cfRule type="cellIs" priority="7" operator="equal" aboveAverage="0" equalAverage="0" bottom="0" percent="0" rank="0" text="" dxfId="2">
      <formula>"Mais lento que um quadro: evite"</formula>
    </cfRule>
    <cfRule type="expression" priority="8" aboveAverage="0" equalAverage="0" bottom="0" percent="0" rank="0" text="" dxfId="1">
      <formula>AND(LEN(C21)&gt;0,C21&lt;&gt;"OK",C21&lt;&gt;"Regra dos 180°: OK",C21&lt;&gt;"Risco de cintilação",C21&lt;&gt;"Mais lento que um quadro: evite")</formula>
    </cfRule>
  </conditionalFormatting>
  <dataValidations count="3">
    <dataValidation allowBlank="true" error="Digite apenas o número, sem texto nem unidade." errorStyle="stop" errorTitle="Valor inválido" operator="between" showDropDown="false" showErrorMessage="true" showInputMessage="false" sqref="D4:D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10:D14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C26:C31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5" topLeftCell="D16" activePane="bottomRight" state="frozen"/>
      <selection pane="topLeft" activeCell="A1" activeCellId="0" sqref="A1"/>
      <selection pane="topRight" activeCell="D1" activeCellId="0" sqref="D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46"/>
    <col collapsed="false" customWidth="true" hidden="false" outlineLevel="0" max="17" min="17" style="0" width="26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108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350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B4" s="4" t="s">
        <v>110</v>
      </c>
      <c r="C4" s="4"/>
      <c r="D4" s="30" t="s">
        <v>351</v>
      </c>
      <c r="E4" s="30"/>
      <c r="F4" s="30"/>
      <c r="G4" s="30"/>
      <c r="H4" s="30"/>
      <c r="I4" s="4" t="s">
        <v>60</v>
      </c>
      <c r="J4" s="4"/>
      <c r="K4" s="4"/>
      <c r="L4" s="29" t="n">
        <v>30</v>
      </c>
      <c r="M4" s="10" t="s">
        <v>111</v>
      </c>
      <c r="N4" s="10"/>
      <c r="O4" s="10"/>
      <c r="P4" s="10"/>
      <c r="Q4" s="10"/>
    </row>
    <row r="5" customFormat="false" ht="21.75" hidden="false" customHeight="true" outlineLevel="0" collapsed="false">
      <c r="B5" s="4" t="s">
        <v>112</v>
      </c>
      <c r="C5" s="4"/>
      <c r="D5" s="30" t="s">
        <v>352</v>
      </c>
      <c r="E5" s="30"/>
      <c r="F5" s="30"/>
      <c r="G5" s="30"/>
      <c r="H5" s="30"/>
      <c r="I5" s="4" t="s">
        <v>62</v>
      </c>
      <c r="J5" s="4"/>
      <c r="K5" s="4"/>
      <c r="L5" s="29" t="n">
        <v>60</v>
      </c>
      <c r="M5" s="10" t="s">
        <v>113</v>
      </c>
      <c r="N5" s="10"/>
      <c r="O5" s="10"/>
      <c r="P5" s="10"/>
      <c r="Q5" s="10"/>
    </row>
    <row r="6" customFormat="false" ht="21.75" hidden="false" customHeight="true" outlineLevel="0" collapsed="false">
      <c r="B6" s="4" t="s">
        <v>114</v>
      </c>
      <c r="C6" s="4"/>
      <c r="D6" s="31" t="n">
        <v>46368</v>
      </c>
      <c r="E6" s="31"/>
      <c r="F6" s="31"/>
      <c r="G6" s="31"/>
      <c r="H6" s="31"/>
      <c r="I6" s="4" t="s">
        <v>115</v>
      </c>
      <c r="J6" s="4"/>
      <c r="K6" s="4"/>
      <c r="L6" s="29" t="n">
        <v>45</v>
      </c>
      <c r="M6" s="10" t="s">
        <v>116</v>
      </c>
      <c r="N6" s="10"/>
      <c r="O6" s="10"/>
      <c r="P6" s="10"/>
      <c r="Q6" s="10"/>
    </row>
    <row r="7" customFormat="false" ht="21.75" hidden="false" customHeight="true" outlineLevel="0" collapsed="false">
      <c r="B7" s="4" t="s">
        <v>117</v>
      </c>
      <c r="C7" s="4"/>
      <c r="D7" s="30" t="s">
        <v>353</v>
      </c>
      <c r="E7" s="30"/>
      <c r="F7" s="30"/>
      <c r="G7" s="30"/>
      <c r="H7" s="30"/>
      <c r="I7" s="4" t="s">
        <v>118</v>
      </c>
      <c r="J7" s="4"/>
      <c r="K7" s="4"/>
      <c r="L7" s="29" t="n">
        <v>70</v>
      </c>
      <c r="M7" s="10" t="s">
        <v>119</v>
      </c>
      <c r="N7" s="10"/>
      <c r="O7" s="10"/>
      <c r="P7" s="10"/>
      <c r="Q7" s="10"/>
    </row>
    <row r="8" customFormat="false" ht="21.75" hidden="false" customHeight="true" outlineLevel="0" collapsed="false">
      <c r="B8" s="4" t="s">
        <v>120</v>
      </c>
      <c r="C8" s="4"/>
      <c r="D8" s="30" t="s">
        <v>354</v>
      </c>
      <c r="E8" s="30"/>
      <c r="F8" s="30"/>
      <c r="G8" s="30"/>
      <c r="H8" s="30"/>
      <c r="I8" s="4" t="s">
        <v>121</v>
      </c>
      <c r="J8" s="4"/>
      <c r="K8" s="4"/>
      <c r="L8" s="29" t="n">
        <v>5</v>
      </c>
      <c r="M8" s="10" t="s">
        <v>122</v>
      </c>
      <c r="N8" s="10"/>
      <c r="O8" s="10"/>
      <c r="P8" s="10"/>
      <c r="Q8" s="10"/>
    </row>
    <row r="9" customFormat="false" ht="21.75" hidden="false" customHeight="true" outlineLevel="0" collapsed="false">
      <c r="I9" s="4" t="s">
        <v>123</v>
      </c>
      <c r="J9" s="4"/>
      <c r="K9" s="4"/>
      <c r="L9" s="29" t="n">
        <v>6400</v>
      </c>
      <c r="M9" s="10" t="s">
        <v>124</v>
      </c>
      <c r="N9" s="10"/>
      <c r="O9" s="10"/>
      <c r="P9" s="10"/>
      <c r="Q9" s="10"/>
    </row>
    <row r="10" customFormat="false" ht="21.75" hidden="false" customHeight="true" outlineLevel="0" collapsed="false">
      <c r="I10" s="4" t="s">
        <v>125</v>
      </c>
      <c r="J10" s="4"/>
      <c r="K10" s="4"/>
      <c r="L10" s="29" t="n">
        <v>12</v>
      </c>
      <c r="M10" s="10" t="s">
        <v>126</v>
      </c>
      <c r="N10" s="10"/>
      <c r="O10" s="10"/>
      <c r="P10" s="10"/>
      <c r="Q10" s="10"/>
    </row>
    <row r="12" customFormat="false" ht="21.75" hidden="false" customHeight="true" outlineLevel="0" collapsed="false">
      <c r="B12" s="11" t="s">
        <v>127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customFormat="false" ht="30" hidden="false" customHeight="true" outlineLevel="0" collapsed="false">
      <c r="B13" s="12" t="s">
        <v>128</v>
      </c>
      <c r="C13" s="12" t="s">
        <v>129</v>
      </c>
      <c r="D13" s="13" t="s">
        <v>130</v>
      </c>
      <c r="E13" s="13" t="s">
        <v>131</v>
      </c>
      <c r="F13" s="13" t="s">
        <v>132</v>
      </c>
      <c r="G13" s="13" t="s">
        <v>75</v>
      </c>
      <c r="H13" s="13" t="s">
        <v>133</v>
      </c>
      <c r="I13" s="13" t="s">
        <v>134</v>
      </c>
      <c r="J13" s="13" t="s">
        <v>135</v>
      </c>
      <c r="K13" s="13" t="s">
        <v>136</v>
      </c>
      <c r="L13" s="14" t="s">
        <v>137</v>
      </c>
      <c r="M13" s="14" t="s">
        <v>48</v>
      </c>
      <c r="N13" s="14" t="s">
        <v>138</v>
      </c>
      <c r="O13" s="14" t="s">
        <v>54</v>
      </c>
      <c r="P13" s="14" t="s">
        <v>139</v>
      </c>
      <c r="Q13" s="12" t="s">
        <v>140</v>
      </c>
    </row>
    <row r="14" customFormat="false" ht="27" hidden="false" customHeight="true" outlineLevel="0" collapsed="false">
      <c r="B14" s="15"/>
      <c r="C14" s="15" t="s">
        <v>141</v>
      </c>
      <c r="D14" s="15" t="s">
        <v>142</v>
      </c>
      <c r="E14" s="15" t="s">
        <v>143</v>
      </c>
      <c r="F14" s="15" t="s">
        <v>144</v>
      </c>
      <c r="G14" s="15" t="s">
        <v>145</v>
      </c>
      <c r="H14" s="15" t="s">
        <v>99</v>
      </c>
      <c r="I14" s="15" t="s">
        <v>146</v>
      </c>
      <c r="J14" s="15" t="s">
        <v>147</v>
      </c>
      <c r="K14" s="15" t="s">
        <v>148</v>
      </c>
      <c r="L14" s="15" t="s">
        <v>149</v>
      </c>
      <c r="M14" s="15" t="s">
        <v>150</v>
      </c>
      <c r="N14" s="15" t="s">
        <v>151</v>
      </c>
      <c r="O14" s="15"/>
      <c r="P14" s="15"/>
      <c r="Q14" s="15"/>
    </row>
    <row r="15" customFormat="false" ht="24" hidden="false" customHeight="true" outlineLevel="0" collapsed="false">
      <c r="B15" s="10" t="s">
        <v>355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customFormat="false" ht="24" hidden="false" customHeight="true" outlineLevel="0" collapsed="false">
      <c r="B16" s="23" t="n">
        <v>1</v>
      </c>
      <c r="C16" s="30" t="s">
        <v>356</v>
      </c>
      <c r="D16" s="29" t="s">
        <v>154</v>
      </c>
      <c r="E16" s="29" t="n">
        <v>60</v>
      </c>
      <c r="F16" s="29" t="n">
        <v>4</v>
      </c>
      <c r="G16" s="29" t="n">
        <v>1600</v>
      </c>
      <c r="H16" s="29"/>
      <c r="I16" s="29" t="n">
        <v>0</v>
      </c>
      <c r="J16" s="29" t="n">
        <v>62</v>
      </c>
      <c r="K16" s="29" t="s">
        <v>155</v>
      </c>
      <c r="L16" s="17" t="n">
        <f aca="false">IF(OR(E16="",$L$4=""),"",IFERROR(ROUND(360*$L$4/E16,0),""))</f>
        <v>180</v>
      </c>
      <c r="M16" s="17" t="str">
        <f aca="false">IF(OR(E16="",$L$5=""),"",IFERROR(IF(AND(E16&lt;=2*$L$5,ABS(2*$L$5/E16-ROUND(2*$L$5/E16,0))&lt;0.02),"OK","Risco"),""))</f>
        <v>OK</v>
      </c>
      <c r="N16" s="24" t="n">
        <f aca="false">IF(OR(J16="",$J$16=""),"",J16-$J$16)</f>
        <v>0</v>
      </c>
      <c r="O16" s="20" t="str">
        <f aca="false">IF(COUNTA(D16:K16)=0,"",IF(M16="Risco","Cintilação",IF(AND(L16&lt;&gt;"",OR(L16&gt;360,L16&lt;90)),"Obturador",IF(OR(K16="Sim",AND(J16&lt;&gt;"",J16&gt;=100)),"Estouro",IF(D16="Automático","Automático",IF(OR(AND(G16&lt;&gt;"",G16&gt;$L$9),AND(H16&lt;&gt;"",H16&gt;$L$10)),"Ganho alto",IF(J16="","Sem leitura",IF(J16&gt;$L$7,"Rosto alto",IF(J16&lt;$L$6,"Rosto baixo",IF(AND(N16&lt;&gt;"",ABS(N16)&gt;$L$8),"Igualar","OK"))))))))))</f>
        <v>OK</v>
      </c>
      <c r="P16" s="18" t="str">
        <f aca="false">IF(O16="","",IF(O16="Cintilação",IF($L$5=50,"Use 1/50 ou 1/100","Use 1/60 ou 1/120")&amp;" e compense na íris",IF(O16="Obturador","Volte ao dobro da taxa de quadros: 1/"&amp;ROUND(2*$L$4,0)&amp;". Compense na íris",IF(O16="Estouro","Feche a íris até a zebra de 100% sair do rosto e da roupa clara",IF(O16="Automático","Passe para manual e exponha pelo rosto",IF(O16="Ganho alto","Abra a íris ou peça mais luz no rosto, e baixe o ISO ou ganho",IF(O16="Sem leitura","Meça o rosto na forma de onda ou na zebra",IF(O16="Rosto alto","Feche a íris um pouco",IF(O16="Rosto baixo","Abra a íris. Se acabou, suba o ISO ou ganho",IF(O16="Igualar",IF(N16&gt;0,"Mais claro que a câmera 1: feche a íris um pouco","Mais escuro que a câmera 1: abra a íris. Se acabou, suba o ISO"),"Referência: as outras câmeras se igualam a ela"))))))))))</f>
        <v>Referência: as outras câmeras se igualam a ela</v>
      </c>
      <c r="Q16" s="30"/>
    </row>
    <row r="17" customFormat="false" ht="24" hidden="false" customHeight="true" outlineLevel="0" collapsed="false">
      <c r="B17" s="23" t="n">
        <v>2</v>
      </c>
      <c r="C17" s="30" t="s">
        <v>357</v>
      </c>
      <c r="D17" s="29" t="s">
        <v>154</v>
      </c>
      <c r="E17" s="29" t="n">
        <v>100</v>
      </c>
      <c r="F17" s="29" t="n">
        <v>2.8</v>
      </c>
      <c r="G17" s="29" t="n">
        <v>1600</v>
      </c>
      <c r="H17" s="29"/>
      <c r="I17" s="29" t="n">
        <v>0</v>
      </c>
      <c r="J17" s="29" t="n">
        <v>60</v>
      </c>
      <c r="K17" s="29" t="s">
        <v>155</v>
      </c>
      <c r="L17" s="17" t="n">
        <f aca="false">IF(OR(E17="",$L$4=""),"",IFERROR(ROUND(360*$L$4/E17,0),""))</f>
        <v>108</v>
      </c>
      <c r="M17" s="17" t="str">
        <f aca="false">IF(OR(E17="",$L$5=""),"",IFERROR(IF(AND(E17&lt;=2*$L$5,ABS(2*$L$5/E17-ROUND(2*$L$5/E17,0))&lt;0.02),"OK","Risco"),""))</f>
        <v>Risco</v>
      </c>
      <c r="N17" s="24" t="n">
        <f aca="false">IF(OR(J17="",$J$16=""),"",J17-$J$16)</f>
        <v>-2</v>
      </c>
      <c r="O17" s="20" t="str">
        <f aca="false">IF(COUNTA(D17:K17)=0,"",IF(M17="Risco","Cintilação",IF(AND(L17&lt;&gt;"",OR(L17&gt;360,L17&lt;90)),"Obturador",IF(OR(K17="Sim",AND(J17&lt;&gt;"",J17&gt;=100)),"Estouro",IF(D17="Automático","Automático",IF(OR(AND(G17&lt;&gt;"",G17&gt;$L$9),AND(H17&lt;&gt;"",H17&gt;$L$10)),"Ganho alto",IF(J17="","Sem leitura",IF(J17&gt;$L$7,"Rosto alto",IF(J17&lt;$L$6,"Rosto baixo",IF(AND(N17&lt;&gt;"",ABS(N17)&gt;$L$8),"Igualar","OK"))))))))))</f>
        <v>Cintilação</v>
      </c>
      <c r="P17" s="18" t="str">
        <f aca="false">IF(O17="","",IF(O17="Cintilação",IF($L$5=50,"Use 1/50 ou 1/100","Use 1/60 ou 1/120")&amp;" e compense na íris",IF(O17="Obturador","Volte ao dobro da taxa de quadros: 1/"&amp;ROUND(2*$L$4,0)&amp;". Compense na íris",IF(O17="Estouro","Feche a íris até a zebra de 100% sair do rosto e da roupa clara",IF(O17="Automático","Passe para manual e exponha pelo rosto",IF(O17="Ganho alto","Abra a íris ou peça mais luz no rosto, e baixe o ISO ou ganho",IF(O17="Sem leitura","Meça o rosto na forma de onda ou na zebra",IF(O17="Rosto alto","Feche a íris um pouco",IF(O17="Rosto baixo","Abra a íris. Se acabou, suba o ISO ou ganho",IF(O17="Igualar",IF(N17&gt;0,"Mais claro que a câmera 1: feche a íris um pouco","Mais escuro que a câmera 1: abra a íris. Se acabou, suba o ISO"),"Manter"))))))))))</f>
        <v>Use 1/60 ou 1/120 e compense na íris</v>
      </c>
      <c r="Q17" s="30"/>
    </row>
    <row r="18" customFormat="false" ht="24" hidden="false" customHeight="true" outlineLevel="0" collapsed="false">
      <c r="B18" s="23" t="n">
        <v>3</v>
      </c>
      <c r="C18" s="30" t="s">
        <v>358</v>
      </c>
      <c r="D18" s="29" t="s">
        <v>359</v>
      </c>
      <c r="E18" s="29" t="n">
        <v>60</v>
      </c>
      <c r="F18" s="29" t="n">
        <v>2.8</v>
      </c>
      <c r="G18" s="29" t="n">
        <v>6400</v>
      </c>
      <c r="H18" s="29"/>
      <c r="I18" s="29" t="n">
        <v>0</v>
      </c>
      <c r="J18" s="29" t="n">
        <v>96</v>
      </c>
      <c r="K18" s="29" t="s">
        <v>360</v>
      </c>
      <c r="L18" s="17" t="n">
        <f aca="false">IF(OR(E18="",$L$4=""),"",IFERROR(ROUND(360*$L$4/E18,0),""))</f>
        <v>180</v>
      </c>
      <c r="M18" s="17" t="str">
        <f aca="false">IF(OR(E18="",$L$5=""),"",IFERROR(IF(AND(E18&lt;=2*$L$5,ABS(2*$L$5/E18-ROUND(2*$L$5/E18,0))&lt;0.02),"OK","Risco"),""))</f>
        <v>OK</v>
      </c>
      <c r="N18" s="24" t="n">
        <f aca="false">IF(OR(J18="",$J$16=""),"",J18-$J$16)</f>
        <v>34</v>
      </c>
      <c r="O18" s="20" t="str">
        <f aca="false">IF(COUNTA(D18:K18)=0,"",IF(M18="Risco","Cintilação",IF(AND(L18&lt;&gt;"",OR(L18&gt;360,L18&lt;90)),"Obturador",IF(OR(K18="Sim",AND(J18&lt;&gt;"",J18&gt;=100)),"Estouro",IF(D18="Automático","Automático",IF(OR(AND(G18&lt;&gt;"",G18&gt;$L$9),AND(H18&lt;&gt;"",H18&gt;$L$10)),"Ganho alto",IF(J18="","Sem leitura",IF(J18&gt;$L$7,"Rosto alto",IF(J18&lt;$L$6,"Rosto baixo",IF(AND(N18&lt;&gt;"",ABS(N18)&gt;$L$8),"Igualar","OK"))))))))))</f>
        <v>Estouro</v>
      </c>
      <c r="P18" s="18" t="str">
        <f aca="false">IF(O18="","",IF(O18="Cintilação",IF($L$5=50,"Use 1/50 ou 1/100","Use 1/60 ou 1/120")&amp;" e compense na íris",IF(O18="Obturador","Volte ao dobro da taxa de quadros: 1/"&amp;ROUND(2*$L$4,0)&amp;". Compense na íris",IF(O18="Estouro","Feche a íris até a zebra de 100% sair do rosto e da roupa clara",IF(O18="Automático","Passe para manual e exponha pelo rosto",IF(O18="Ganho alto","Abra a íris ou peça mais luz no rosto, e baixe o ISO ou ganho",IF(O18="Sem leitura","Meça o rosto na forma de onda ou na zebra",IF(O18="Rosto alto","Feche a íris um pouco",IF(O18="Rosto baixo","Abra a íris. Se acabou, suba o ISO ou ganho",IF(O18="Igualar",IF(N18&gt;0,"Mais claro que a câmera 1: feche a íris um pouco","Mais escuro que a câmera 1: abra a íris. Se acabou, suba o ISO"),"Manter"))))))))))</f>
        <v>Feche a íris até a zebra de 100% sair do rosto e da roupa clara</v>
      </c>
      <c r="Q18" s="30"/>
    </row>
    <row r="19" customFormat="false" ht="24" hidden="false" customHeight="true" outlineLevel="0" collapsed="false">
      <c r="B19" s="23" t="n">
        <v>4</v>
      </c>
      <c r="C19" s="30" t="s">
        <v>361</v>
      </c>
      <c r="D19" s="29" t="s">
        <v>154</v>
      </c>
      <c r="E19" s="29" t="n">
        <v>60</v>
      </c>
      <c r="F19" s="29" t="n">
        <v>5.6</v>
      </c>
      <c r="G19" s="29" t="n">
        <v>1600</v>
      </c>
      <c r="H19" s="29"/>
      <c r="I19" s="29" t="n">
        <v>0</v>
      </c>
      <c r="J19" s="29" t="n">
        <v>48</v>
      </c>
      <c r="K19" s="29" t="s">
        <v>155</v>
      </c>
      <c r="L19" s="17" t="n">
        <f aca="false">IF(OR(E19="",$L$4=""),"",IFERROR(ROUND(360*$L$4/E19,0),""))</f>
        <v>180</v>
      </c>
      <c r="M19" s="17" t="str">
        <f aca="false">IF(OR(E19="",$L$5=""),"",IFERROR(IF(AND(E19&lt;=2*$L$5,ABS(2*$L$5/E19-ROUND(2*$L$5/E19,0))&lt;0.02),"OK","Risco"),""))</f>
        <v>OK</v>
      </c>
      <c r="N19" s="24" t="n">
        <f aca="false">IF(OR(J19="",$J$16=""),"",J19-$J$16)</f>
        <v>-14</v>
      </c>
      <c r="O19" s="20" t="str">
        <f aca="false">IF(COUNTA(D19:K19)=0,"",IF(M19="Risco","Cintilação",IF(AND(L19&lt;&gt;"",OR(L19&gt;360,L19&lt;90)),"Obturador",IF(OR(K19="Sim",AND(J19&lt;&gt;"",J19&gt;=100)),"Estouro",IF(D19="Automático","Automático",IF(OR(AND(G19&lt;&gt;"",G19&gt;$L$9),AND(H19&lt;&gt;"",H19&gt;$L$10)),"Ganho alto",IF(J19="","Sem leitura",IF(J19&gt;$L$7,"Rosto alto",IF(J19&lt;$L$6,"Rosto baixo",IF(AND(N19&lt;&gt;"",ABS(N19)&gt;$L$8),"Igualar","OK"))))))))))</f>
        <v>Igualar</v>
      </c>
      <c r="P19" s="18" t="str">
        <f aca="false">IF(O19="","",IF(O19="Cintilação",IF($L$5=50,"Use 1/50 ou 1/100","Use 1/60 ou 1/120")&amp;" e compense na íris",IF(O19="Obturador","Volte ao dobro da taxa de quadros: 1/"&amp;ROUND(2*$L$4,0)&amp;". Compense na íris",IF(O19="Estouro","Feche a íris até a zebra de 100% sair do rosto e da roupa clara",IF(O19="Automático","Passe para manual e exponha pelo rosto",IF(O19="Ganho alto","Abra a íris ou peça mais luz no rosto, e baixe o ISO ou ganho",IF(O19="Sem leitura","Meça o rosto na forma de onda ou na zebra",IF(O19="Rosto alto","Feche a íris um pouco",IF(O19="Rosto baixo","Abra a íris. Se acabou, suba o ISO ou ganho",IF(O19="Igualar",IF(N19&gt;0,"Mais claro que a câmera 1: feche a íris um pouco","Mais escuro que a câmera 1: abra a íris. Se acabou, suba o ISO"),"Manter"))))))))))</f>
        <v>Mais escuro que a câmera 1: abra a íris. Se acabou, suba o ISO</v>
      </c>
      <c r="Q19" s="30"/>
    </row>
    <row r="20" customFormat="false" ht="24" hidden="false" customHeight="true" outlineLevel="0" collapsed="false">
      <c r="B20" s="23" t="n">
        <v>5</v>
      </c>
      <c r="C20" s="30"/>
      <c r="D20" s="29"/>
      <c r="E20" s="29"/>
      <c r="F20" s="29"/>
      <c r="G20" s="29"/>
      <c r="H20" s="29"/>
      <c r="I20" s="29"/>
      <c r="J20" s="29"/>
      <c r="K20" s="29"/>
      <c r="L20" s="17" t="str">
        <f aca="false">IF(OR(E20="",$L$4=""),"",IFERROR(ROUND(360*$L$4/E20,0),""))</f>
        <v/>
      </c>
      <c r="M20" s="17" t="str">
        <f aca="false">IF(OR(E20="",$L$5=""),"",IFERROR(IF(AND(E20&lt;=2*$L$5,ABS(2*$L$5/E20-ROUND(2*$L$5/E20,0))&lt;0.02),"OK","Risco"),""))</f>
        <v/>
      </c>
      <c r="N20" s="24" t="str">
        <f aca="false">IF(OR(J20="",$J$16=""),"",J20-$J$16)</f>
        <v/>
      </c>
      <c r="O20" s="20" t="str">
        <f aca="false">IF(COUNTA(D20:K20)=0,"",IF(M20="Risco","Cintilação",IF(AND(L20&lt;&gt;"",OR(L20&gt;360,L20&lt;90)),"Obturador",IF(OR(K20="Sim",AND(J20&lt;&gt;"",J20&gt;=100)),"Estouro",IF(D20="Automático","Automático",IF(OR(AND(G20&lt;&gt;"",G20&gt;$L$9),AND(H20&lt;&gt;"",H20&gt;$L$10)),"Ganho alto",IF(J20="","Sem leitura",IF(J20&gt;$L$7,"Rosto alto",IF(J20&lt;$L$6,"Rosto baixo",IF(AND(N20&lt;&gt;"",ABS(N20)&gt;$L$8),"Igualar","OK"))))))))))</f>
        <v/>
      </c>
      <c r="P20" s="18" t="str">
        <f aca="false">IF(O20="","",IF(O20="Cintilação",IF($L$5=50,"Use 1/50 ou 1/100","Use 1/60 ou 1/120")&amp;" e compense na íris",IF(O20="Obturador","Volte ao dobro da taxa de quadros: 1/"&amp;ROUND(2*$L$4,0)&amp;". Compense na íris",IF(O20="Estouro","Feche a íris até a zebra de 100% sair do rosto e da roupa clara",IF(O20="Automático","Passe para manual e exponha pelo rosto",IF(O20="Ganho alto","Abra a íris ou peça mais luz no rosto, e baixe o ISO ou ganho",IF(O20="Sem leitura","Meça o rosto na forma de onda ou na zebra",IF(O20="Rosto alto","Feche a íris um pouco",IF(O20="Rosto baixo","Abra a íris. Se acabou, suba o ISO ou ganho",IF(O20="Igualar",IF(N20&gt;0,"Mais claro que a câmera 1: feche a íris um pouco","Mais escuro que a câmera 1: abra a íris. Se acabou, suba o ISO"),"Manter"))))))))))</f>
        <v/>
      </c>
      <c r="Q20" s="30"/>
    </row>
    <row r="21" customFormat="false" ht="24" hidden="false" customHeight="true" outlineLevel="0" collapsed="false">
      <c r="B21" s="23" t="n">
        <v>6</v>
      </c>
      <c r="C21" s="30"/>
      <c r="D21" s="29"/>
      <c r="E21" s="29"/>
      <c r="F21" s="29"/>
      <c r="G21" s="29"/>
      <c r="H21" s="29"/>
      <c r="I21" s="29"/>
      <c r="J21" s="29"/>
      <c r="K21" s="29"/>
      <c r="L21" s="17" t="str">
        <f aca="false">IF(OR(E21="",$L$4=""),"",IFERROR(ROUND(360*$L$4/E21,0),""))</f>
        <v/>
      </c>
      <c r="M21" s="17" t="str">
        <f aca="false">IF(OR(E21="",$L$5=""),"",IFERROR(IF(AND(E21&lt;=2*$L$5,ABS(2*$L$5/E21-ROUND(2*$L$5/E21,0))&lt;0.02),"OK","Risco"),""))</f>
        <v/>
      </c>
      <c r="N21" s="24" t="str">
        <f aca="false">IF(OR(J21="",$J$16=""),"",J21-$J$16)</f>
        <v/>
      </c>
      <c r="O21" s="20" t="str">
        <f aca="false">IF(COUNTA(D21:K21)=0,"",IF(M21="Risco","Cintilação",IF(AND(L21&lt;&gt;"",OR(L21&gt;360,L21&lt;90)),"Obturador",IF(OR(K21="Sim",AND(J21&lt;&gt;"",J21&gt;=100)),"Estouro",IF(D21="Automático","Automático",IF(OR(AND(G21&lt;&gt;"",G21&gt;$L$9),AND(H21&lt;&gt;"",H21&gt;$L$10)),"Ganho alto",IF(J21="","Sem leitura",IF(J21&gt;$L$7,"Rosto alto",IF(J21&lt;$L$6,"Rosto baixo",IF(AND(N21&lt;&gt;"",ABS(N21)&gt;$L$8),"Igualar","OK"))))))))))</f>
        <v/>
      </c>
      <c r="P21" s="18" t="str">
        <f aca="false">IF(O21="","",IF(O21="Cintilação",IF($L$5=50,"Use 1/50 ou 1/100","Use 1/60 ou 1/120")&amp;" e compense na íris",IF(O21="Obturador","Volte ao dobro da taxa de quadros: 1/"&amp;ROUND(2*$L$4,0)&amp;". Compense na íris",IF(O21="Estouro","Feche a íris até a zebra de 100% sair do rosto e da roupa clara",IF(O21="Automático","Passe para manual e exponha pelo rosto",IF(O21="Ganho alto","Abra a íris ou peça mais luz no rosto, e baixe o ISO ou ganho",IF(O21="Sem leitura","Meça o rosto na forma de onda ou na zebra",IF(O21="Rosto alto","Feche a íris um pouco",IF(O21="Rosto baixo","Abra a íris. Se acabou, suba o ISO ou ganho",IF(O21="Igualar",IF(N21&gt;0,"Mais claro que a câmera 1: feche a íris um pouco","Mais escuro que a câmera 1: abra a íris. Se acabou, suba o ISO"),"Manter"))))))))))</f>
        <v/>
      </c>
      <c r="Q21" s="30"/>
    </row>
    <row r="22" customFormat="false" ht="24" hidden="false" customHeight="true" outlineLevel="0" collapsed="false">
      <c r="B22" s="23" t="n">
        <v>7</v>
      </c>
      <c r="C22" s="30"/>
      <c r="D22" s="29"/>
      <c r="E22" s="29"/>
      <c r="F22" s="29"/>
      <c r="G22" s="29"/>
      <c r="H22" s="29"/>
      <c r="I22" s="29"/>
      <c r="J22" s="29"/>
      <c r="K22" s="29"/>
      <c r="L22" s="17" t="str">
        <f aca="false">IF(OR(E22="",$L$4=""),"",IFERROR(ROUND(360*$L$4/E22,0),""))</f>
        <v/>
      </c>
      <c r="M22" s="17" t="str">
        <f aca="false">IF(OR(E22="",$L$5=""),"",IFERROR(IF(AND(E22&lt;=2*$L$5,ABS(2*$L$5/E22-ROUND(2*$L$5/E22,0))&lt;0.02),"OK","Risco"),""))</f>
        <v/>
      </c>
      <c r="N22" s="24" t="str">
        <f aca="false">IF(OR(J22="",$J$16=""),"",J22-$J$16)</f>
        <v/>
      </c>
      <c r="O22" s="20" t="str">
        <f aca="false">IF(COUNTA(D22:K22)=0,"",IF(M22="Risco","Cintilação",IF(AND(L22&lt;&gt;"",OR(L22&gt;360,L22&lt;90)),"Obturador",IF(OR(K22="Sim",AND(J22&lt;&gt;"",J22&gt;=100)),"Estouro",IF(D22="Automático","Automático",IF(OR(AND(G22&lt;&gt;"",G22&gt;$L$9),AND(H22&lt;&gt;"",H22&gt;$L$10)),"Ganho alto",IF(J22="","Sem leitura",IF(J22&gt;$L$7,"Rosto alto",IF(J22&lt;$L$6,"Rosto baixo",IF(AND(N22&lt;&gt;"",ABS(N22)&gt;$L$8),"Igualar","OK"))))))))))</f>
        <v/>
      </c>
      <c r="P22" s="18" t="str">
        <f aca="false">IF(O22="","",IF(O22="Cintilação",IF($L$5=50,"Use 1/50 ou 1/100","Use 1/60 ou 1/120")&amp;" e compense na íris",IF(O22="Obturador","Volte ao dobro da taxa de quadros: 1/"&amp;ROUND(2*$L$4,0)&amp;". Compense na íris",IF(O22="Estouro","Feche a íris até a zebra de 100% sair do rosto e da roupa clara",IF(O22="Automático","Passe para manual e exponha pelo rosto",IF(O22="Ganho alto","Abra a íris ou peça mais luz no rosto, e baixe o ISO ou ganho",IF(O22="Sem leitura","Meça o rosto na forma de onda ou na zebra",IF(O22="Rosto alto","Feche a íris um pouco",IF(O22="Rosto baixo","Abra a íris. Se acabou, suba o ISO ou ganho",IF(O22="Igualar",IF(N22&gt;0,"Mais claro que a câmera 1: feche a íris um pouco","Mais escuro que a câmera 1: abra a íris. Se acabou, suba o ISO"),"Manter"))))))))))</f>
        <v/>
      </c>
      <c r="Q22" s="30"/>
    </row>
    <row r="23" customFormat="false" ht="24" hidden="false" customHeight="true" outlineLevel="0" collapsed="false">
      <c r="B23" s="23" t="n">
        <v>8</v>
      </c>
      <c r="C23" s="30"/>
      <c r="D23" s="29"/>
      <c r="E23" s="29"/>
      <c r="F23" s="29"/>
      <c r="G23" s="29"/>
      <c r="H23" s="29"/>
      <c r="I23" s="29"/>
      <c r="J23" s="29"/>
      <c r="K23" s="29"/>
      <c r="L23" s="17" t="str">
        <f aca="false">IF(OR(E23="",$L$4=""),"",IFERROR(ROUND(360*$L$4/E23,0),""))</f>
        <v/>
      </c>
      <c r="M23" s="17" t="str">
        <f aca="false">IF(OR(E23="",$L$5=""),"",IFERROR(IF(AND(E23&lt;=2*$L$5,ABS(2*$L$5/E23-ROUND(2*$L$5/E23,0))&lt;0.02),"OK","Risco"),""))</f>
        <v/>
      </c>
      <c r="N23" s="24" t="str">
        <f aca="false">IF(OR(J23="",$J$16=""),"",J23-$J$16)</f>
        <v/>
      </c>
      <c r="O23" s="20" t="str">
        <f aca="false">IF(COUNTA(D23:K23)=0,"",IF(M23="Risco","Cintilação",IF(AND(L23&lt;&gt;"",OR(L23&gt;360,L23&lt;90)),"Obturador",IF(OR(K23="Sim",AND(J23&lt;&gt;"",J23&gt;=100)),"Estouro",IF(D23="Automático","Automático",IF(OR(AND(G23&lt;&gt;"",G23&gt;$L$9),AND(H23&lt;&gt;"",H23&gt;$L$10)),"Ganho alto",IF(J23="","Sem leitura",IF(J23&gt;$L$7,"Rosto alto",IF(J23&lt;$L$6,"Rosto baixo",IF(AND(N23&lt;&gt;"",ABS(N23)&gt;$L$8),"Igualar","OK"))))))))))</f>
        <v/>
      </c>
      <c r="P23" s="18" t="str">
        <f aca="false">IF(O23="","",IF(O23="Cintilação",IF($L$5=50,"Use 1/50 ou 1/100","Use 1/60 ou 1/120")&amp;" e compense na íris",IF(O23="Obturador","Volte ao dobro da taxa de quadros: 1/"&amp;ROUND(2*$L$4,0)&amp;". Compense na íris",IF(O23="Estouro","Feche a íris até a zebra de 100% sair do rosto e da roupa clara",IF(O23="Automático","Passe para manual e exponha pelo rosto",IF(O23="Ganho alto","Abra a íris ou peça mais luz no rosto, e baixe o ISO ou ganho",IF(O23="Sem leitura","Meça o rosto na forma de onda ou na zebra",IF(O23="Rosto alto","Feche a íris um pouco",IF(O23="Rosto baixo","Abra a íris. Se acabou, suba o ISO ou ganho",IF(O23="Igualar",IF(N23&gt;0,"Mais claro que a câmera 1: feche a íris um pouco","Mais escuro que a câmera 1: abra a íris. Se acabou, suba o ISO"),"Manter"))))))))))</f>
        <v/>
      </c>
      <c r="Q23" s="30"/>
    </row>
    <row r="25" customFormat="false" ht="21.75" hidden="false" customHeight="true" outlineLevel="0" collapsed="false">
      <c r="B25" s="11" t="s">
        <v>159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customFormat="false" ht="19.5" hidden="false" customHeight="true" outlineLevel="0" collapsed="false">
      <c r="B26" s="19" t="s">
        <v>160</v>
      </c>
      <c r="C26" s="19"/>
      <c r="D26" s="19"/>
      <c r="E26" s="19"/>
      <c r="F26" s="20" t="n">
        <f aca="false">COUNTA(C16:C23)</f>
        <v>4</v>
      </c>
      <c r="G26" s="20"/>
    </row>
    <row r="27" customFormat="false" ht="19.5" hidden="false" customHeight="true" outlineLevel="0" collapsed="false">
      <c r="B27" s="19" t="s">
        <v>161</v>
      </c>
      <c r="C27" s="19"/>
      <c r="D27" s="19"/>
      <c r="E27" s="19"/>
      <c r="F27" s="20" t="n">
        <f aca="false">COUNTIF(O16:O23,"OK")</f>
        <v>1</v>
      </c>
      <c r="G27" s="20"/>
    </row>
    <row r="28" customFormat="false" ht="19.5" hidden="false" customHeight="true" outlineLevel="0" collapsed="false">
      <c r="B28" s="19" t="s">
        <v>162</v>
      </c>
      <c r="C28" s="19"/>
      <c r="D28" s="19"/>
      <c r="E28" s="19"/>
      <c r="F28" s="20" t="n">
        <f aca="false">COUNTIF(O16:O23,"OK")+COUNTIF(O16:O23,"Cintilação")+COUNTIF(O16:O23,"Obturador")+COUNTIF(O16:O23,"Estouro")+COUNTIF(O16:O23,"Automático")+COUNTIF(O16:O23,"Ganho alto")+COUNTIF(O16:O23,"Sem leitura")+COUNTIF(O16:O23,"Rosto alto")+COUNTIF(O16:O23,"Rosto baixo")+COUNTIF(O16:O23,"Igualar")-COUNTIF(O16:O23,"OK")</f>
        <v>3</v>
      </c>
      <c r="G28" s="20"/>
    </row>
    <row r="29" customFormat="false" ht="19.5" hidden="false" customHeight="true" outlineLevel="0" collapsed="false">
      <c r="B29" s="19" t="s">
        <v>163</v>
      </c>
      <c r="C29" s="19"/>
      <c r="D29" s="19"/>
      <c r="E29" s="19"/>
      <c r="F29" s="20" t="n">
        <f aca="false">IF(COUNT(J16:J23)=0,"",MAX(J16:J23))</f>
        <v>96</v>
      </c>
      <c r="G29" s="20"/>
    </row>
    <row r="30" customFormat="false" ht="19.5" hidden="false" customHeight="true" outlineLevel="0" collapsed="false">
      <c r="B30" s="19" t="s">
        <v>164</v>
      </c>
      <c r="C30" s="19"/>
      <c r="D30" s="19"/>
      <c r="E30" s="19"/>
      <c r="F30" s="20" t="n">
        <f aca="false">IF(COUNT(J16:J23)=0,"",MIN(J16:J23))</f>
        <v>48</v>
      </c>
      <c r="G30" s="20"/>
    </row>
    <row r="31" customFormat="false" ht="19.5" hidden="false" customHeight="true" outlineLevel="0" collapsed="false">
      <c r="B31" s="19" t="s">
        <v>165</v>
      </c>
      <c r="C31" s="19"/>
      <c r="D31" s="19"/>
      <c r="E31" s="19"/>
      <c r="F31" s="20" t="n">
        <f aca="false">IF(COUNT(J16:J23)&lt;2,"",MAX(J16:J23)-MIN(J16:J23))</f>
        <v>48</v>
      </c>
      <c r="G31" s="20"/>
    </row>
    <row r="32" customFormat="false" ht="21.75" hidden="false" customHeight="true" outlineLevel="0" collapsed="false">
      <c r="B32" s="19" t="s">
        <v>166</v>
      </c>
      <c r="C32" s="19"/>
      <c r="D32" s="19"/>
      <c r="E32" s="19"/>
      <c r="F32" s="25" t="str">
        <f aca="false">IF(COUNT(L4:L10)&lt;7,"Informe os valores de referência",IF(COUNTIF(O16:O23,"OK")+COUNTIF(O16:O23,"Cintilação")+COUNTIF(O16:O23,"Obturador")+COUNTIF(O16:O23,"Estouro")+COUNTIF(O16:O23,"Automático")+COUNTIF(O16:O23,"Ganho alto")+COUNTIF(O16:O23,"Sem leitura")+COUNTIF(O16:O23,"Rosto alto")+COUNTIF(O16:O23,"Rosto baixo")+COUNTIF(O16:O23,"Igualar")=0,"Preencha as câmeras",IF(COUNTIF(O16:O23,"Cintilação")+COUNTIF(O16:O23,"Estouro")&gt;0,"Há câmera com cintilação ou estouro: corrija primeiro",IF(F28&gt;0,"Há câmera a ajustar",IF(AND(F31&lt;&gt;"",F31&gt;$L$8),"Rostos com níveis diferentes entre as câmeras","OK")))))</f>
        <v>Há câmera com cintilação ou estouro: corrija primeiro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customFormat="false" ht="15" hidden="false" customHeight="true" outlineLevel="0" collapsed="false">
      <c r="B33" s="10" t="s">
        <v>167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5" customFormat="false" ht="21.75" hidden="false" customHeight="true" outlineLevel="0" collapsed="false">
      <c r="B35" s="11" t="s">
        <v>362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customFormat="false" ht="21.75" hidden="false" customHeight="true" outlineLevel="0" collapsed="false">
      <c r="B36" s="8" t="s">
        <v>363</v>
      </c>
      <c r="C36" s="8" t="s">
        <v>364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0" t="s">
        <v>365</v>
      </c>
      <c r="Q36" s="20"/>
    </row>
    <row r="37" customFormat="false" ht="21.75" hidden="false" customHeight="true" outlineLevel="0" collapsed="false">
      <c r="B37" s="23" t="s">
        <v>16</v>
      </c>
      <c r="C37" s="7" t="s">
        <v>366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 t="s">
        <v>367</v>
      </c>
      <c r="Q37" s="7"/>
    </row>
    <row r="38" customFormat="false" ht="21.75" hidden="false" customHeight="true" outlineLevel="0" collapsed="false">
      <c r="B38" s="23" t="s">
        <v>18</v>
      </c>
      <c r="C38" s="7" t="s">
        <v>368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369</v>
      </c>
      <c r="Q38" s="7"/>
    </row>
    <row r="39" customFormat="false" ht="21.75" hidden="false" customHeight="true" outlineLevel="0" collapsed="false">
      <c r="B39" s="23" t="s">
        <v>20</v>
      </c>
      <c r="C39" s="7" t="s">
        <v>370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 t="s">
        <v>371</v>
      </c>
      <c r="Q39" s="7"/>
    </row>
    <row r="40" customFormat="false" ht="21.75" hidden="false" customHeight="true" outlineLevel="0" collapsed="false">
      <c r="B40" s="23" t="s">
        <v>22</v>
      </c>
      <c r="C40" s="7" t="s">
        <v>372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 t="s">
        <v>373</v>
      </c>
      <c r="Q40" s="7"/>
    </row>
  </sheetData>
  <mergeCells count="55">
    <mergeCell ref="B1:Q1"/>
    <mergeCell ref="B2:Q2"/>
    <mergeCell ref="B4:C4"/>
    <mergeCell ref="D4:H4"/>
    <mergeCell ref="I4:K4"/>
    <mergeCell ref="M4:Q4"/>
    <mergeCell ref="B5:C5"/>
    <mergeCell ref="D5:H5"/>
    <mergeCell ref="I5:K5"/>
    <mergeCell ref="M5:Q5"/>
    <mergeCell ref="B6:C6"/>
    <mergeCell ref="D6:H6"/>
    <mergeCell ref="I6:K6"/>
    <mergeCell ref="M6:Q6"/>
    <mergeCell ref="B7:C7"/>
    <mergeCell ref="D7:H7"/>
    <mergeCell ref="I7:K7"/>
    <mergeCell ref="M7:Q7"/>
    <mergeCell ref="B8:C8"/>
    <mergeCell ref="D8:H8"/>
    <mergeCell ref="I8:K8"/>
    <mergeCell ref="M8:Q8"/>
    <mergeCell ref="I9:K9"/>
    <mergeCell ref="M9:Q9"/>
    <mergeCell ref="I10:K10"/>
    <mergeCell ref="M10:Q10"/>
    <mergeCell ref="B12:Q12"/>
    <mergeCell ref="B15:Q15"/>
    <mergeCell ref="B25:Q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P32"/>
    <mergeCell ref="B33:Q33"/>
    <mergeCell ref="B35:Q35"/>
    <mergeCell ref="C36:O36"/>
    <mergeCell ref="P36:Q36"/>
    <mergeCell ref="C37:O37"/>
    <mergeCell ref="P37:Q37"/>
    <mergeCell ref="C38:O38"/>
    <mergeCell ref="P38:Q38"/>
    <mergeCell ref="C39:O39"/>
    <mergeCell ref="P39:Q39"/>
    <mergeCell ref="C40:O40"/>
    <mergeCell ref="P40:Q40"/>
  </mergeCells>
  <conditionalFormatting sqref="M16:M2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"Risco"</formula>
    </cfRule>
  </conditionalFormatting>
  <conditionalFormatting sqref="O16:O23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2">
      <formula>"Cintilação"</formula>
    </cfRule>
    <cfRule type="cellIs" priority="6" operator="equal" aboveAverage="0" equalAverage="0" bottom="0" percent="0" rank="0" text="" dxfId="2">
      <formula>"Estouro"</formula>
    </cfRule>
    <cfRule type="expression" priority="7" aboveAverage="0" equalAverage="0" bottom="0" percent="0" rank="0" text="" dxfId="1">
      <formula>AND(LEN(O16)&gt;0,O16&lt;&gt;"OK",O16&lt;&gt;"Cintilação",O16&lt;&gt;"Estouro")</formula>
    </cfRule>
  </conditionalFormatting>
  <conditionalFormatting sqref="F32:P32">
    <cfRule type="cellIs" priority="8" operator="equal" aboveAverage="0" equalAverage="0" bottom="0" percent="0" rank="0" text="" dxfId="0">
      <formula>"OK"</formula>
    </cfRule>
    <cfRule type="cellIs" priority="9" operator="notEqual" aboveAverage="0" equalAverage="0" bottom="0" percent="0" rank="0" text="" dxfId="1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10" type="decimal">
      <formula1>-1000000000</formula1>
      <formula2>1000000000</formula2>
    </dataValidation>
    <dataValidation allowBlank="true" error="Escolha uma das opções da lista." errorStyle="stop" errorTitle="Valor inválido" operator="between" prompt="Manual ou Automático (qualquer um dos três controles no automático)." promptTitle="Opções" showDropDown="false" showErrorMessage="true" showInputMessage="true" sqref="D16:D23" type="list">
      <formula1>"Manual,Automático"</formula1>
      <formula2>0</formula2>
    </dataValidation>
    <dataValidation allowBlank="true" error="Escolha uma das opções da lista." errorStyle="stop" errorTitle="Valor inválido" operator="between" prompt="A zebra de 100% aparece no rosto, na roupa clara ou no papel?" promptTitle="Opções" showDropDown="false" showErrorMessage="true" showInputMessage="true" sqref="K16:K23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6:J2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2026-10-01T12:59:20Z</dcterms:created>
  <dc:creator>Estudos: Técnico em áudio e vídeo</dc:creator>
  <dc:description/>
  <dc:language>pt-BR</dc:language>
  <cp:lastModifiedBy/>
  <dcterms:modified xsi:type="dcterms:W3CDTF">2026-10-01T12:59:20Z</dcterms:modified>
  <cp:revision>0</cp:revision>
  <dc:subject/>
  <dc:title>Exposição — calculadora de stops e ficha por câmera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