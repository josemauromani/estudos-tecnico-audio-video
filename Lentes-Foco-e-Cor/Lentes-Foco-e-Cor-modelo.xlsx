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Enquadramento" sheetId="2" state="visible" r:id="rId4"/>
    <sheet name="Balanço de branco" sheetId="3" state="visible" r:id="rId5"/>
    <sheet name="Referência" sheetId="4" state="visible" r:id="rId6"/>
    <sheet name="Checklist" sheetId="5" state="visible" r:id="rId7"/>
    <sheet name="Exemplo - Enquadramento" sheetId="6" state="visible" r:id="rId8"/>
    <sheet name="Exemplo - Balanço" sheetId="7" state="visible" r:id="rId9"/>
  </sheets>
  <definedNames>
    <definedName function="false" hidden="false" localSheetId="2" name="_xlnm.Print_Area" vbProcedure="false">'Balanço de branco'!$B$1:$N$28</definedName>
    <definedName function="false" hidden="false" localSheetId="4" name="_xlnm.Print_Area" vbProcedure="false">Checklist!$B$1:$F$20</definedName>
    <definedName function="false" hidden="false" localSheetId="1" name="_xlnm.Print_Area" vbProcedure="false">Enquadramento!$B$1:$U$31</definedName>
    <definedName function="false" hidden="false" localSheetId="6" name="_xlnm.Print_Area" vbProcedure="false">'Exemplo - Balanço'!$B$1:$N$37</definedName>
    <definedName function="false" hidden="false" localSheetId="5" name="_xlnm.Print_Area" vbProcedure="false">'Exemplo - Enquadramento'!$B$1:$U$39</definedName>
    <definedName function="false" hidden="false" localSheetId="0" name="_xlnm.Print_Area" vbProcedure="false">Instruções!$B$1:$C$37</definedName>
    <definedName function="false" hidden="false" localSheetId="3" name="_xlnm.Print_Area" vbProcedure="false">Referência!$B$1:$F$57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10" authorId="0">
      <text>
        <r>
          <rPr>
            <sz val="10"/>
            <rFont val="Arial"/>
            <family val="2"/>
          </rPr>
          <t xml:space="preserve">Distância da câmera até a pessoa ou o centro da cena, em metros.
Meça com trena ou em passos largos (cerca de 1 m cada).</t>
        </r>
      </text>
    </comment>
    <comment ref="G10" authorId="0">
      <text>
        <r>
          <rPr>
            <sz val="10"/>
            <rFont val="Arial"/>
            <family val="2"/>
          </rPr>
          <t xml:space="preserve">Largura da cena que o quadro deve mostrar, em metros.
Uma pessoa da cintura para cima: cerca de 1,6 m. Corpo inteiro: cerca de 4 m. Rosto e ombros: cerca de 0,8 m.</t>
        </r>
      </text>
    </comment>
    <comment ref="H10" authorId="0">
      <text>
        <r>
          <rPr>
            <sz val="10"/>
            <rFont val="Arial"/>
            <family val="2"/>
          </rPr>
          <t xml:space="preserve">Menor e maior distância focal da lente, em mm, como estão escritas na lente ou na ficha técnica.
Para lente fixa, repita o mesmo valor.</t>
        </r>
      </text>
    </comment>
    <comment ref="J10" authorId="0">
      <text>
        <r>
          <rPr>
            <sz val="10"/>
            <rFont val="Arial"/>
            <family val="2"/>
          </rPr>
          <t xml:space="preserve">Abertura que você vai usar, só o número: 2.8, 4, 5.6.
Usada só para estimar a faixa em foco. Pode ficar em branco.</t>
        </r>
      </text>
    </comment>
    <comment ref="Q10" authorId="0">
      <text>
        <r>
          <rPr>
            <sz val="10"/>
            <rFont val="Arial"/>
            <family val="2"/>
          </rPr>
          <t xml:space="preserve">Falta tele: até onde aproximar a câmera para fechar a cena com a lente no máximo.
Falta angular: até onde afastar a câmera para abrir a cena com a lente no mínimo.</t>
        </r>
      </text>
    </comment>
    <comment ref="R10" authorId="0">
      <text>
        <r>
          <rPr>
            <sz val="10"/>
            <rFont val="Arial"/>
            <family val="2"/>
          </rPr>
          <t xml:space="preserve">Faixa em foco estimada, com o foco na distância da coluna F e a lente na focal a usar.
É uma estimativa: em tela grande ou em 4K, a faixa que parece nítida é menor.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2" authorId="0">
      <text>
        <r>
          <rPr>
            <sz val="10"/>
            <rFont val="Arial"/>
            <family val="2"/>
          </rPr>
          <t xml:space="preserve">Cartão branco: balanço medido pela câmera.
Kelvin: número digitado.
Preset: tungstênio, luz do dia etc.
Automático: AWB ou ATW.</t>
        </r>
      </text>
    </comment>
    <comment ref="F12" authorId="0">
      <text>
        <r>
          <rPr>
            <sz val="10"/>
            <rFont val="Arial"/>
            <family val="2"/>
          </rPr>
          <t xml:space="preserve">O kelvin que a câmera mostra depois do balanço, ou o número digitado. Só o número: 3200.</t>
        </r>
      </text>
    </comment>
    <comment ref="G12" authorId="0">
      <text>
        <r>
          <rPr>
            <sz val="10"/>
            <rFont val="Arial"/>
            <family val="2"/>
          </rPr>
          <t xml:space="preserve">Correção verde–magenta, no número que a câmera mostra. Deixe em branco se a câmera não tem esse ajuste.</t>
        </r>
      </text>
    </comment>
    <comment ref="I12" authorId="0">
      <text>
        <r>
          <rPr>
            <sz val="10"/>
            <rFont val="Arial"/>
            <family val="2"/>
          </rPr>
          <t xml:space="preserve">A imagem desta câmera foi comparada com a de referência, lado a lado, no mesmo monitor (multiview)?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6" authorId="0">
      <text>
        <r>
          <rPr>
            <sz val="10"/>
            <rFont val="Arial"/>
            <family val="2"/>
          </rPr>
          <t xml:space="preserve">Largura do sensor da sua câmera, em mm, na ficha técnica.
Na aba Enquadramento, escolha Outro.</t>
        </r>
      </text>
    </comment>
  </commentList>
</comments>
</file>

<file path=xl/sharedStrings.xml><?xml version="1.0" encoding="utf-8"?>
<sst xmlns="http://schemas.openxmlformats.org/spreadsheetml/2006/main" count="528" uniqueCount="348">
  <si>
    <t xml:space="preserve">Lentes, foco e cor — como usar esta planilha</t>
  </si>
  <si>
    <t xml:space="preserve">Calculadora de enquadramento, faixa em foco e ficha de balanço de branco, para planejar as câmeras e ajustá-las no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</si>
  <si>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</si>
  <si>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</si>
  <si>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</si>
  <si>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</si>
  <si>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</si>
  <si>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</si>
  <si>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</si>
  <si>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</si>
  <si>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Sensor, modo de balanço, perfil e as colunas Sim / Não aceitam só as opções da lista.</t>
  </si>
  <si>
    <t xml:space="preserve">Números</t>
  </si>
  <si>
    <t xml:space="preserve">Digite só o número, sem unidade: 18 (metros), 140 (mm), 5.6 (abertura), 3200 (kelvin).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</si>
  <si>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</si>
  <si>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</si>
  <si>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</si>
  <si>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</si>
  <si>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Na visita ao local: meça a distância de cada posição de câmera até o lugar da pessoa.</t>
  </si>
  <si>
    <t xml:space="preserve">2</t>
  </si>
  <si>
    <t xml:space="preserve">Aba Enquadramento: para cada câmera, o sensor, a distância, a largura de cena desejada e a faixa da lente.</t>
  </si>
  <si>
    <t xml:space="preserve">3</t>
  </si>
  <si>
    <t xml:space="preserve">Veja a situação. Em Falta tele ou Falta angular, mude a posição (coluna Q), troque a lente ou aceite a cena obtida.</t>
  </si>
  <si>
    <t xml:space="preserve">4</t>
  </si>
  <si>
    <t xml:space="preserve">Informe a abertura e veja a faixa em foco estimada. Se for estreita para quem anda, feche a íris.</t>
  </si>
  <si>
    <t xml:space="preserve">5</t>
  </si>
  <si>
    <t xml:space="preserve">No evento, com a luz ligada: faça o balanço com cartão branco em cada câmera.</t>
  </si>
  <si>
    <t xml:space="preserve">6</t>
  </si>
  <si>
    <t xml:space="preserve">Aba Balanço de branco: anote modo, kelvin, tint e perfil, compare no monitor e siga a coluna O que fazer.</t>
  </si>
  <si>
    <t xml:space="preserve">7</t>
  </si>
  <si>
    <t xml:space="preserve">Aba Checklist: confira os doze itens antes de o evento começar.</t>
  </si>
  <si>
    <t xml:space="preserve">Abas da planilha</t>
  </si>
  <si>
    <t xml:space="preserve">Enquadramento</t>
  </si>
  <si>
    <t xml:space="preserve">Calculadora para até 12 câmeras: focal necessária, situação, cena obtida, distância que fecha a cena e faixa em foco.</t>
  </si>
  <si>
    <t xml:space="preserve">Balanço de branco</t>
  </si>
  <si>
    <t xml:space="preserve">Ficha de cor para até 8 câmeras, com diferença para a luz e para a câmera de referência.</t>
  </si>
  <si>
    <t xml:space="preserve">Referência</t>
  </si>
  <si>
    <t xml:space="preserve">Largura dos sensores (usada pela calculadora), temperaturas de cor, distâncias focais e modos de foco e de balanço.</t>
  </si>
  <si>
    <t xml:space="preserve">Checklist</t>
  </si>
  <si>
    <t xml:space="preserve">Os doze itens do treinamento, com percentual atendido.</t>
  </si>
  <si>
    <t xml:space="preserve">Exemplo - Enquadramento</t>
  </si>
  <si>
    <t xml:space="preserve">As quatro câmeras de uma igreja, antes da mudança de posição (exemplo 1 do treinamento).</t>
  </si>
  <si>
    <t xml:space="preserve">Exemplo - Balanço</t>
  </si>
  <si>
    <t xml:space="preserve">As quatro câmeras de uma formatura com cores diferentes no corte (exemplo 2 do treinamento).</t>
  </si>
  <si>
    <t xml:space="preserve">Regras e premissas do modelo</t>
  </si>
  <si>
    <t xml:space="preserve">Conta da lente</t>
  </si>
  <si>
    <t xml:space="preserve">Largura da cena = distância × largura do sensor ÷ distância focal. Vale para assunto distante, como em evento. Diferenças de 5 a 10% para o quadro real são normais.</t>
  </si>
  <si>
    <t xml:space="preserve">Equivalente full frame</t>
  </si>
  <si>
    <t xml:space="preserve">Focal necessária × 36 ÷ largura do sensor. Serve para comparar câmeras de sensores diferentes.</t>
  </si>
  <si>
    <t xml:space="preserve">Situação</t>
  </si>
  <si>
    <t xml:space="preserve">OK quando a focal necessária está dentro da faixa da lente. Falta tele quando passa do máximo; Falta angular quando fica abaixo do mínimo. Zoom digital não conta.</t>
  </si>
  <si>
    <t xml:space="preserve">Faixa em foco</t>
  </si>
  <si>
    <t xml:space="preserve">Estimativa usual, com círculo de confusão igual à largura do sensor ÷ 1200. Em tela grande ou em 4K, a faixa nítida é menor. Confira no local.</t>
  </si>
  <si>
    <t xml:space="preserve">Os cortes de 500 K para a luz e 200 K entre câmeras são regra prática deste material, e podem ser trocados no alto da aba.</t>
  </si>
  <si>
    <t xml:space="preserve">Exemplos</t>
  </si>
  <si>
    <t xml:space="preserve">Os dados das abas de exemplo são ilustrativos, criados para este material.</t>
  </si>
  <si>
    <t xml:space="preserve">Enquadramento — que lente usar de onde a câmera está</t>
  </si>
  <si>
    <t xml:space="preserve">Preencha as células em amarelo-claro. A planilha calcula a distância focal necessária, a cena obtida e a faixa em foco.</t>
  </si>
  <si>
    <t xml:space="preserve">Evento</t>
  </si>
  <si>
    <t xml:space="preserve">largura da cena = distância × largura do sensor ÷ distância focal</t>
  </si>
  <si>
    <t xml:space="preserve">Local</t>
  </si>
  <si>
    <t xml:space="preserve">distância focal necessária = distância × largura do sensor ÷ largura desejada</t>
  </si>
  <si>
    <t xml:space="preserve">Data</t>
  </si>
  <si>
    <t xml:space="preserve">A faixa em foco é uma estimativa usual (círculo de confusão = largura do sensor ÷ 1200), para assunto distante.</t>
  </si>
  <si>
    <t xml:space="preserve">Operador</t>
  </si>
  <si>
    <t xml:space="preserve">Sensor que não está na lista: escolha Outro e digite a largura na aba Referência.</t>
  </si>
  <si>
    <t xml:space="preserve">Calculadora de enquadramento, uma linha por câmera</t>
  </si>
  <si>
    <t xml:space="preserve">#</t>
  </si>
  <si>
    <t xml:space="preserve">Câmera e quadro pedido</t>
  </si>
  <si>
    <t xml:space="preserve">Sensor</t>
  </si>
  <si>
    <t xml:space="preserve">Largura do sensor</t>
  </si>
  <si>
    <t xml:space="preserve">Distância</t>
  </si>
  <si>
    <t xml:space="preserve">Cena desejada</t>
  </si>
  <si>
    <t xml:space="preserve">Lente mín.</t>
  </si>
  <si>
    <t xml:space="preserve">Lente máx.</t>
  </si>
  <si>
    <t xml:space="preserve">Abertura</t>
  </si>
  <si>
    <t xml:space="preserve">Focal necessária</t>
  </si>
  <si>
    <t xml:space="preserve">Focal a usar</t>
  </si>
  <si>
    <t xml:space="preserve">Cena obtida</t>
  </si>
  <si>
    <t xml:space="preserve">Altura (16:9)</t>
  </si>
  <si>
    <t xml:space="preserve">Distância que fecha a cena</t>
  </si>
  <si>
    <t xml:space="preserve">Foco de</t>
  </si>
  <si>
    <t xml:space="preserve">Foco até</t>
  </si>
  <si>
    <t xml:space="preserve">O que fazer</t>
  </si>
  <si>
    <t xml:space="preserve">Observação</t>
  </si>
  <si>
    <t xml:space="preserve">nº</t>
  </si>
  <si>
    <t xml:space="preserve">posição e o que mostra</t>
  </si>
  <si>
    <t xml:space="preserve">lista</t>
  </si>
  <si>
    <t xml:space="preserve">mm</t>
  </si>
  <si>
    <t xml:space="preserve">m</t>
  </si>
  <si>
    <t xml:space="preserve">largura, m</t>
  </si>
  <si>
    <t xml:space="preserve">f/</t>
  </si>
  <si>
    <t xml:space="preserve">Ex.</t>
  </si>
  <si>
    <t xml:space="preserve">Fundo: pastor da cintura para cima</t>
  </si>
  <si>
    <t xml:space="preserve">Micro 4/3</t>
  </si>
  <si>
    <t xml:space="preserve">Falta tele</t>
  </si>
  <si>
    <t xml:space="preserve">Aproxime a câmera até a distância indicada, use lente mais longa ou aceite a cena obtida</t>
  </si>
  <si>
    <t xml:space="preserve">Resumo automático</t>
  </si>
  <si>
    <t xml:space="preserve">Câmeras registradas</t>
  </si>
  <si>
    <t xml:space="preserve">Lente alcança (OK)</t>
  </si>
  <si>
    <t xml:space="preserve">Falta angular</t>
  </si>
  <si>
    <t xml:space="preserve">Aviso</t>
  </si>
  <si>
    <t xml:space="preserve">Balanço de branco — ficha de cor por câmera</t>
  </si>
  <si>
    <t xml:space="preserve">Depois do balanço com cartão, anote o que cada câmera mostra. As células cinza conferem e apontam o que fazer.</t>
  </si>
  <si>
    <t xml:space="preserve">Luz principal (K)</t>
  </si>
  <si>
    <t xml:space="preserve">Temperatura de cor da luz que ilumina o rosto. Veja a aba Referência.</t>
  </si>
  <si>
    <t xml:space="preserve">Câmera de referência (nº)</t>
  </si>
  <si>
    <t xml:space="preserve">A câmera principal. As outras são comparadas com ela.</t>
  </si>
  <si>
    <t xml:space="preserve">Tolerância para a luz (K)</t>
  </si>
  <si>
    <t xml:space="preserve">Diferença aceita entre o kelvin da câmera e a luz principal.</t>
  </si>
  <si>
    <t xml:space="preserve">Tolerância entre câmeras (K)</t>
  </si>
  <si>
    <t xml:space="preserve">Diferença aceita entre cada câmera e a de referência.</t>
  </si>
  <si>
    <t xml:space="preserve">O kelvin que a câmera mostra depois do balanço é uma leitura dela. O que decide é a comparação no mesmo monitor.</t>
  </si>
  <si>
    <t xml:space="preserve">Kelvin da referência</t>
  </si>
  <si>
    <t xml:space="preserve">Perfil da referência</t>
  </si>
  <si>
    <t xml:space="preserve">Ficha de cor, uma linha por câmera</t>
  </si>
  <si>
    <t xml:space="preserve">Câmera e posição</t>
  </si>
  <si>
    <t xml:space="preserve">Tipo de câmera</t>
  </si>
  <si>
    <t xml:space="preserve">Modo</t>
  </si>
  <si>
    <t xml:space="preserve">Kelvin</t>
  </si>
  <si>
    <t xml:space="preserve">Tint</t>
  </si>
  <si>
    <t xml:space="preserve">Perfil</t>
  </si>
  <si>
    <t xml:space="preserve">Comparada no monitor</t>
  </si>
  <si>
    <t xml:space="preserve">Diferença para a luz</t>
  </si>
  <si>
    <t xml:space="preserve">Diferença para a ref.</t>
  </si>
  <si>
    <t xml:space="preserve">K</t>
  </si>
  <si>
    <t xml:space="preserve">passos</t>
  </si>
  <si>
    <t xml:space="preserve">Sim / Não</t>
  </si>
  <si>
    <t xml:space="preserve">Na situação OK</t>
  </si>
  <si>
    <t xml:space="preserve">Em automático ou em log</t>
  </si>
  <si>
    <t xml:space="preserve">Maior diferença entre câmeras (K)</t>
  </si>
  <si>
    <t xml:space="preserve">Referência — valores típicos</t>
  </si>
  <si>
    <t xml:space="preserve">Valores de referência, para servir de ponto de partida. Confira o manual do seu equipamento.</t>
  </si>
  <si>
    <t xml:space="preserve">Sensores (a calculadora de enquadramento usa esta tabela)</t>
  </si>
  <si>
    <t xml:space="preserve">Largura (mm)</t>
  </si>
  <si>
    <t xml:space="preserve">Altura (mm)</t>
  </si>
  <si>
    <t xml:space="preserve">Fator de corte (pela largura)</t>
  </si>
  <si>
    <t xml:space="preserve">Onde costuma aparecer</t>
  </si>
  <si>
    <t xml:space="preserve">Full frame</t>
  </si>
  <si>
    <t xml:space="preserve">Câmeras fotográficas e de cinema de sensor grande</t>
  </si>
  <si>
    <t xml:space="preserve">Super 35</t>
  </si>
  <si>
    <t xml:space="preserve">Câmeras de cinema digital (varia de 22 a 25 mm)</t>
  </si>
  <si>
    <t xml:space="preserve">APS-C (fator 1,5)</t>
  </si>
  <si>
    <t xml:space="preserve">Câmeras fotográficas intermediárias</t>
  </si>
  <si>
    <t xml:space="preserve">APS-C (fator 1,6)</t>
  </si>
  <si>
    <t xml:space="preserve">Câmeras fotográficas intermediárias de alguns fabricantes</t>
  </si>
  <si>
    <t xml:space="preserve">Câmeras compactas de lente intercambiável</t>
  </si>
  <si>
    <t xml:space="preserve">1 polegada</t>
  </si>
  <si>
    <t xml:space="preserve">Filmadoras de mão e PTZ de linha mais alta</t>
  </si>
  <si>
    <t xml:space="preserve">2/3 polegada</t>
  </si>
  <si>
    <t xml:space="preserve">Câmeras de estúdio e de ombro de emissoras</t>
  </si>
  <si>
    <t xml:space="preserve">1/2,3 polegada</t>
  </si>
  <si>
    <t xml:space="preserve">Filmadoras compactas e algumas PTZ</t>
  </si>
  <si>
    <t xml:space="preserve">1/2,8 polegada</t>
  </si>
  <si>
    <t xml:space="preserve">A maioria das câmeras PTZ</t>
  </si>
  <si>
    <t xml:space="preserve">1/3 polegada</t>
  </si>
  <si>
    <t xml:space="preserve">PTZ simples e webcams</t>
  </si>
  <si>
    <t xml:space="preserve">Outro</t>
  </si>
  <si>
    <t xml:space="preserve">Digite a largura do sensor da sua câmera (ficha técnica, em mm)</t>
  </si>
  <si>
    <t xml:space="preserve">Medidas nominais. O fator publicado costuma ser calculado pela diagonal e pode diferir alguns por cento deste, pela largura, que é o que vale para o enquadramento. Algumas câmeras usam só parte do sensor em certos modos (4K, câmera lenta, estabilização eletrônica): o manual informa o recorte.</t>
  </si>
  <si>
    <t xml:space="preserve">Temperatura de cor das fontes</t>
  </si>
  <si>
    <t xml:space="preserve">Fonte</t>
  </si>
  <si>
    <t xml:space="preserve">Temperatura de cor</t>
  </si>
  <si>
    <t xml:space="preserve">Preset mais próximo</t>
  </si>
  <si>
    <t xml:space="preserve">Vela</t>
  </si>
  <si>
    <t xml:space="preserve">cerca de 1.900 K</t>
  </si>
  <si>
    <t xml:space="preserve">–</t>
  </si>
  <si>
    <t xml:space="preserve">Muito alaranjada. Nenhum preset chega lá.</t>
  </si>
  <si>
    <t xml:space="preserve">Lâmpada incandescente, LED branco quente</t>
  </si>
  <si>
    <t xml:space="preserve">2.700 a 3.000 K</t>
  </si>
  <si>
    <t xml:space="preserve">Tungstênio</t>
  </si>
  <si>
    <t xml:space="preserve">O valor do LED vem na embalagem.</t>
  </si>
  <si>
    <t xml:space="preserve">Halógena, refletor de tungstênio</t>
  </si>
  <si>
    <t xml:space="preserve">3.000 a 3.200 K</t>
  </si>
  <si>
    <t xml:space="preserve">Fica mais alaranjada com o dimmer abaixo do máximo.</t>
  </si>
  <si>
    <t xml:space="preserve">LED branco neutro, fluorescente comum</t>
  </si>
  <si>
    <t xml:space="preserve">4.000 a 4.500 K</t>
  </si>
  <si>
    <t xml:space="preserve">Fluorescente e LED barato costumam puxar para o verde: use cartão branco ou tint.</t>
  </si>
  <si>
    <t xml:space="preserve">Sol direto, flash</t>
  </si>
  <si>
    <t xml:space="preserve">5.000 a 5.600 K</t>
  </si>
  <si>
    <t xml:space="preserve">Luz do dia</t>
  </si>
  <si>
    <t xml:space="preserve">O sol fica mais quente no começo e no fim do dia.</t>
  </si>
  <si>
    <t xml:space="preserve">LED luz do dia, branco frio</t>
  </si>
  <si>
    <t xml:space="preserve">5.600 a 6.500 K</t>
  </si>
  <si>
    <t xml:space="preserve">Refletores de LED de palco costumam ter a temperatura ajustável.</t>
  </si>
  <si>
    <t xml:space="preserve">Céu nublado</t>
  </si>
  <si>
    <t xml:space="preserve">6.000 a 7.500 K</t>
  </si>
  <si>
    <t xml:space="preserve">Nublado</t>
  </si>
  <si>
    <t xml:space="preserve">Varia com a nuvem e a hora.</t>
  </si>
  <si>
    <t xml:space="preserve">Telão de LED, monitor, projetor</t>
  </si>
  <si>
    <t xml:space="preserve">6.500 a 9.000 K</t>
  </si>
  <si>
    <t xml:space="preserve">Com a câmera em 3.200 K, sai azulado. Corrija no telão, se possível.</t>
  </si>
  <si>
    <t xml:space="preserve">Sombra sob céu azul</t>
  </si>
  <si>
    <t xml:space="preserve">7.500 a 10.000 K</t>
  </si>
  <si>
    <t xml:space="preserve">Sombra</t>
  </si>
  <si>
    <t xml:space="preserve">Muito azulada.</t>
  </si>
  <si>
    <t xml:space="preserve">Distância focal e ângulo de visão (equivalente a full frame)</t>
  </si>
  <si>
    <t xml:space="preserve">Focal equivalente</t>
  </si>
  <si>
    <t xml:space="preserve">Ângulo horizontal</t>
  </si>
  <si>
    <t xml:space="preserve">Cena a 10 m</t>
  </si>
  <si>
    <t xml:space="preserve">Nome usual e uso</t>
  </si>
  <si>
    <t xml:space="preserve">16 mm</t>
  </si>
  <si>
    <t xml:space="preserve">97°</t>
  </si>
  <si>
    <t xml:space="preserve">22,5 m</t>
  </si>
  <si>
    <t xml:space="preserve">Grande-angular extrema. Câmera muito perto do palco; distorce as bordas.</t>
  </si>
  <si>
    <t xml:space="preserve">24 mm</t>
  </si>
  <si>
    <t xml:space="preserve">74°</t>
  </si>
  <si>
    <t xml:space="preserve">15 m</t>
  </si>
  <si>
    <t xml:space="preserve">Grande-angular. Plano geral do palco e da plateia.</t>
  </si>
  <si>
    <t xml:space="preserve">35 mm</t>
  </si>
  <si>
    <t xml:space="preserve">54°</t>
  </si>
  <si>
    <t xml:space="preserve">10,3 m</t>
  </si>
  <si>
    <t xml:space="preserve">Grande-angular moderada. Palco pequeno, banda inteira.</t>
  </si>
  <si>
    <t xml:space="preserve">50 mm</t>
  </si>
  <si>
    <t xml:space="preserve">40°</t>
  </si>
  <si>
    <t xml:space="preserve">7,2 m</t>
  </si>
  <si>
    <t xml:space="preserve">Normal. Grupo de pessoas.</t>
  </si>
  <si>
    <t xml:space="preserve">85 mm</t>
  </si>
  <si>
    <t xml:space="preserve">24°</t>
  </si>
  <si>
    <t xml:space="preserve">4,2 m</t>
  </si>
  <si>
    <t xml:space="preserve">Teleobjetiva curta. Pessoa de corpo inteiro a 10 m.</t>
  </si>
  <si>
    <t xml:space="preserve">135 mm</t>
  </si>
  <si>
    <t xml:space="preserve">15°</t>
  </si>
  <si>
    <t xml:space="preserve">2,7 m</t>
  </si>
  <si>
    <t xml:space="preserve">Teleobjetiva. Pessoa dos joelhos para cima a 10 m.</t>
  </si>
  <si>
    <t xml:space="preserve">200 mm</t>
  </si>
  <si>
    <t xml:space="preserve">10°</t>
  </si>
  <si>
    <t xml:space="preserve">1,8 m</t>
  </si>
  <si>
    <t xml:space="preserve">Teleobjetiva. Pessoa da cintura para cima a 10 m.</t>
  </si>
  <si>
    <t xml:space="preserve">400 mm</t>
  </si>
  <si>
    <t xml:space="preserve">5°</t>
  </si>
  <si>
    <t xml:space="preserve">0,9 m</t>
  </si>
  <si>
    <t xml:space="preserve">Teleobjetiva longa. Cintura para cima a 20 m; pede tripé firme.</t>
  </si>
  <si>
    <t xml:space="preserve">Modo de foco por situação</t>
  </si>
  <si>
    <t xml:space="preserve">Modo indicado</t>
  </si>
  <si>
    <t xml:space="preserve">Por quê</t>
  </si>
  <si>
    <t xml:space="preserve">Pessoa parada no púlpito, tripé</t>
  </si>
  <si>
    <t xml:space="preserve">Manual</t>
  </si>
  <si>
    <t xml:space="preserve">a da exposição</t>
  </si>
  <si>
    <t xml:space="preserve">A distância não muda. Foque com o zoom fechado no rosto.</t>
  </si>
  <si>
    <t xml:space="preserve">Plano geral do palco</t>
  </si>
  <si>
    <t xml:space="preserve">A faixa em foco cobre o palco inteiro.</t>
  </si>
  <si>
    <t xml:space="preserve">Palestrante que anda pelo palco</t>
  </si>
  <si>
    <t xml:space="preserve">AF contínuo, detecção de rosto, área limitada</t>
  </si>
  <si>
    <t xml:space="preserve">um ou dois pontos mais fechada</t>
  </si>
  <si>
    <t xml:space="preserve">A distância muda o tempo todo; a íris dá margem.</t>
  </si>
  <si>
    <t xml:space="preserve">Câmera na mão, perto das pessoas</t>
  </si>
  <si>
    <t xml:space="preserve">AF contínuo, detecção de rosto</t>
  </si>
  <si>
    <t xml:space="preserve">O operador já cuida do quadro e do equilíbrio.</t>
  </si>
  <si>
    <t xml:space="preserve">Palco escuro, contraluz, fumaça</t>
  </si>
  <si>
    <t xml:space="preserve">O AF caça. Foque antes, com a luz acesa.</t>
  </si>
  <si>
    <t xml:space="preserve">Câmera PTZ com posições gravadas</t>
  </si>
  <si>
    <t xml:space="preserve">Manual, gravado na posição</t>
  </si>
  <si>
    <t xml:space="preserve">Em muitas PTZ, a posição gravada guarda o foco. Confira no manual.</t>
  </si>
  <si>
    <t xml:space="preserve">Modos de balanço de branco</t>
  </si>
  <si>
    <t xml:space="preserve">Como funciona</t>
  </si>
  <si>
    <t xml:space="preserve">Em evento</t>
  </si>
  <si>
    <t xml:space="preserve">Risco</t>
  </si>
  <si>
    <t xml:space="preserve">Automático (AWB, ATW)</t>
  </si>
  <si>
    <t xml:space="preserve">A câmera corrige o tempo todo</t>
  </si>
  <si>
    <t xml:space="preserve">Evite</t>
  </si>
  <si>
    <t xml:space="preserve">A cor muda com o telão, a roupa, a luz de cor, e cada câmera decide uma coisa.</t>
  </si>
  <si>
    <t xml:space="preserve">Preset</t>
  </si>
  <si>
    <t xml:space="preserve">Valores fixos, perto de 3.200 e 5.600 K</t>
  </si>
  <si>
    <t xml:space="preserve">Só se a luz for a do preset</t>
  </si>
  <si>
    <t xml:space="preserve">Não corrige o verde de fluorescentes e de certos LEDs.</t>
  </si>
  <si>
    <t xml:space="preserve">Número digitado, de 100 em 100 K</t>
  </si>
  <si>
    <t xml:space="preserve">Bom, se a luz é conhecida</t>
  </si>
  <si>
    <t xml:space="preserve">Também não corrige o verde.</t>
  </si>
  <si>
    <t xml:space="preserve">Manual com cartão branco</t>
  </si>
  <si>
    <t xml:space="preserve">A câmera mede um cartão sob a luz da cena</t>
  </si>
  <si>
    <t xml:space="preserve">O indicado</t>
  </si>
  <si>
    <t xml:space="preserve">Vale para a luz medida. Refaça se a luz mudar.</t>
  </si>
  <si>
    <t xml:space="preserve">Faixas típicas. Os ângulos valem para assunto distante. Confira o manual do seu equipamento e teste no local.</t>
  </si>
  <si>
    <t xml:space="preserve">Checklist de lente, foco e cor</t>
  </si>
  <si>
    <t xml:space="preserve">Confira antes de o evento começar, com a luz do evento ligada. Escolha a situação de cada item na lista suspensa.</t>
  </si>
  <si>
    <t xml:space="preserve">Grupo</t>
  </si>
  <si>
    <t xml:space="preserve">Item</t>
  </si>
  <si>
    <t xml:space="preserve">Lente</t>
  </si>
  <si>
    <t xml:space="preserve">A distância de cada câmera até o assunto foi medida, e a distância focal necessária cabe na lente.</t>
  </si>
  <si>
    <t xml:space="preserve">O zoom digital está desligado em todas as câmeras, ou limitado à faixa sem perda.</t>
  </si>
  <si>
    <t xml:space="preserve">As lentes estão limpas e com para-sol, e a estabilização está de acordo com o suporte (mão ou tripé).</t>
  </si>
  <si>
    <t xml:space="preserve">A abertura escolhida vale para toda a faixa de zoom: a imagem não escurece ao fechar o quadro.</t>
  </si>
  <si>
    <t xml:space="preserve">Foco</t>
  </si>
  <si>
    <t xml:space="preserve">O modo de foco de cada câmera foi escolhido: manual para quadro fixo, automático com detecção de rosto para quem anda.</t>
  </si>
  <si>
    <t xml:space="preserve">O foco manual foi feito com o zoom fechado no rosto, com peaking ou ampliação.</t>
  </si>
  <si>
    <t xml:space="preserve">A faixa em foco cobre o espaço em que a pessoa se move.</t>
  </si>
  <si>
    <t xml:space="preserve">O foco automático foi testado com a luz do evento e com o fundo real (telão ligado).</t>
  </si>
  <si>
    <t xml:space="preserve">Cor</t>
  </si>
  <si>
    <t xml:space="preserve">Nenhuma câmera está com o balanço de branco em automático.</t>
  </si>
  <si>
    <t xml:space="preserve">O balanço foi feito com cartão branco no lugar do rosto, sob a luz do evento, com as cortinas fechadas.</t>
  </si>
  <si>
    <t xml:space="preserve">Todas as câmeras usam o mesmo perfil de imagem, e nenhuma está em perfil log sem correção.</t>
  </si>
  <si>
    <t xml:space="preserve">As câmeras foram comparadas lado a lado no mesmo monitor, e os valores de cada uma estão anotados.</t>
  </si>
  <si>
    <t xml:space="preserve">Itens respondidos</t>
  </si>
  <si>
    <t xml:space="preserve">Percentual atendido (Parcial vale metade)</t>
  </si>
  <si>
    <t xml:space="preserve">Exemplo preenchido, para consulta. Use a aba Enquadramento para o seu evento.</t>
  </si>
  <si>
    <t xml:space="preserve">Culto de domingo, 19 h</t>
  </si>
  <si>
    <t xml:space="preserve">Igreja de 200 lugares</t>
  </si>
  <si>
    <t xml:space="preserve">Equipe de vídeo da escala</t>
  </si>
  <si>
    <t xml:space="preserve">As quatro câmeras do exemplo 1, antes da mudança de posição. As colunas cinza são calculadas.</t>
  </si>
  <si>
    <t xml:space="preserve">Fundo, centro: pastor da cintura para cima</t>
  </si>
  <si>
    <t xml:space="preserve">PTZ no fundo: palco inteiro</t>
  </si>
  <si>
    <t xml:space="preserve">Lateral: close da cantora</t>
  </si>
  <si>
    <t xml:space="preserve">Frente do palco: banda inteira</t>
  </si>
  <si>
    <t xml:space="preserve">O que foi ajustado</t>
  </si>
  <si>
    <t xml:space="preserve">Câm.</t>
  </si>
  <si>
    <t xml:space="preserve">O que foi feito</t>
  </si>
  <si>
    <t xml:space="preserve">Resultado</t>
  </si>
  <si>
    <t xml:space="preserve">Levada para um praticável a 12 m do púlpito.</t>
  </si>
  <si>
    <t xml:space="preserve">130 mm, dentro da lente. Em f/5,6, faixa em foco de cerca de 1,4 m.</t>
  </si>
  <si>
    <t xml:space="preserve">Nada a mudar.</t>
  </si>
  <si>
    <t xml:space="preserve">10 mm, dentro da lente.</t>
  </si>
  <si>
    <t xml:space="preserve">O close (1,0 m) só caberia a 2,3 m da cantora. O plano pedido virou plano médio, de 2,6 m.</t>
  </si>
  <si>
    <t xml:space="preserve">55 mm, no fim da lente.</t>
  </si>
  <si>
    <t xml:space="preserve">Recuada para 5,5 m do palco.</t>
  </si>
  <si>
    <t xml:space="preserve">24,8 mm, dentro da lente.</t>
  </si>
  <si>
    <t xml:space="preserve">Todas</t>
  </si>
  <si>
    <t xml:space="preserve">Zoom digital desligado no menu.</t>
  </si>
  <si>
    <t xml:space="preserve">Exemplo preenchido, para consulta. Use a aba Balanço de branco para o seu evento.</t>
  </si>
  <si>
    <t xml:space="preserve">Formatura no auditório da escola</t>
  </si>
  <si>
    <t xml:space="preserve">Auditório com janelas laterais</t>
  </si>
  <si>
    <t xml:space="preserve">Operador de vídeo do evento</t>
  </si>
  <si>
    <t xml:space="preserve">Centro, em tripé (referência)</t>
  </si>
  <si>
    <t xml:space="preserve">Filmadora</t>
  </si>
  <si>
    <t xml:space="preserve">Cartão branco</t>
  </si>
  <si>
    <t xml:space="preserve">Padrão</t>
  </si>
  <si>
    <t xml:space="preserve">Sim</t>
  </si>
  <si>
    <t xml:space="preserve">Lateral esquerda</t>
  </si>
  <si>
    <t xml:space="preserve">Câmera de lente intercambiável</t>
  </si>
  <si>
    <t xml:space="preserve">Vívido</t>
  </si>
  <si>
    <t xml:space="preserve">Não</t>
  </si>
  <si>
    <t xml:space="preserve">Móvel, perto do palco</t>
  </si>
  <si>
    <t xml:space="preserve">Filmadora compacta</t>
  </si>
  <si>
    <t xml:space="preserve">Plano geral, no fundo</t>
  </si>
  <si>
    <t xml:space="preserve">PTZ</t>
  </si>
  <si>
    <t xml:space="preserve">Automático</t>
  </si>
  <si>
    <t xml:space="preserve">Como estava</t>
  </si>
  <si>
    <t xml:space="preserve">Cortinas das janelas abertas.</t>
  </si>
  <si>
    <t xml:space="preserve">Cortinas fechadas antes do balanço.</t>
  </si>
  <si>
    <t xml:space="preserve">Cartão branco: 3.300 K.</t>
  </si>
  <si>
    <t xml:space="preserve">Refeito depois de fechar as cortinas: continuou em 3.300 K.</t>
  </si>
  <si>
    <t xml:space="preserve">Kelvin 3.200 K, perfil vívido.</t>
  </si>
  <si>
    <t xml:space="preserve">Perfil padrão. Balanço com cartão: 3.250 K.</t>
  </si>
  <si>
    <t xml:space="preserve">Preset de luz do dia (5.600 K): imagem laranja.</t>
  </si>
  <si>
    <t xml:space="preserve">Balanço com cartão: 3.350 K.</t>
  </si>
  <si>
    <t xml:space="preserve">Automático: a cor variava com a janela no quadro.</t>
  </si>
  <si>
    <t xml:space="preserve">Manual. Balanço com cartão: 3.300 K, com um passo de tint para o magenta.</t>
  </si>
  <si>
    <t xml:space="preserve">Quatro cores diferentes no corte.</t>
  </si>
  <si>
    <t xml:space="preserve">Branco igual nas quatro câmeras, comparado no multiview.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</si>
</sst>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.0"/>
    <numFmt numFmtId="167" formatCode="0.0#"/>
    <numFmt numFmtId="168" formatCode="0.#"/>
    <numFmt numFmtId="169" formatCode="0"/>
    <numFmt numFmtId="170" formatCode="General"/>
    <numFmt numFmtId="171" formatCode="0.00"/>
    <numFmt numFmtId="172" formatCode="\+0;\-0;0"/>
    <numFmt numFmtId="173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993366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31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33</v>
      </c>
      <c r="C34" s="7" t="s">
        <v>52</v>
      </c>
    </row>
    <row r="35" customFormat="false" ht="19.5" hidden="false" customHeight="true" outlineLevel="0" collapsed="false">
      <c r="B35" s="4" t="s">
        <v>53</v>
      </c>
      <c r="C35" s="7" t="s">
        <v>54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U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7" min="5" style="0" width="9"/>
    <col collapsed="false" customWidth="true" hidden="false" outlineLevel="0" max="10" min="8" style="0" width="8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false" outlineLevel="0" max="16" min="14" style="0" width="9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44"/>
    <col collapsed="false" customWidth="true" hidden="false" outlineLevel="0" max="21" min="21" style="0" width="26"/>
    <col collapsed="false" customWidth="true" hidden="false" outlineLevel="0" max="22" min="22" style="0" width="2"/>
  </cols>
  <sheetData>
    <row r="1" customFormat="false" ht="31.5" hidden="false" customHeight="true" outlineLevel="0" collapsed="false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B2" s="2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21.75" hidden="false" customHeight="true" outlineLevel="0" collapsed="false">
      <c r="B4" s="4" t="s">
        <v>57</v>
      </c>
      <c r="C4" s="4"/>
      <c r="D4" s="5"/>
      <c r="E4" s="5"/>
      <c r="F4" s="5"/>
      <c r="G4" s="5"/>
      <c r="H4" s="5"/>
      <c r="J4" s="9" t="s">
        <v>58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21.75" hidden="false" customHeight="true" outlineLevel="0" collapsed="false">
      <c r="B5" s="4" t="s">
        <v>59</v>
      </c>
      <c r="C5" s="4"/>
      <c r="D5" s="5"/>
      <c r="E5" s="5"/>
      <c r="F5" s="5"/>
      <c r="G5" s="5"/>
      <c r="H5" s="5"/>
      <c r="J5" s="9" t="s">
        <v>60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21.75" hidden="false" customHeight="true" outlineLevel="0" collapsed="false">
      <c r="B6" s="4" t="s">
        <v>61</v>
      </c>
      <c r="C6" s="4"/>
      <c r="D6" s="10"/>
      <c r="E6" s="10"/>
      <c r="F6" s="10"/>
      <c r="G6" s="10"/>
      <c r="H6" s="10"/>
      <c r="J6" s="9" t="s">
        <v>62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21.75" hidden="false" customHeight="true" outlineLevel="0" collapsed="false">
      <c r="B7" s="4" t="s">
        <v>63</v>
      </c>
      <c r="C7" s="4"/>
      <c r="D7" s="5"/>
      <c r="E7" s="5"/>
      <c r="F7" s="5"/>
      <c r="G7" s="5"/>
      <c r="H7" s="5"/>
      <c r="J7" s="9" t="s">
        <v>64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9" customFormat="false" ht="21.75" hidden="false" customHeight="true" outlineLevel="0" collapsed="false">
      <c r="B9" s="11" t="s">
        <v>65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customFormat="false" ht="42" hidden="false" customHeight="true" outlineLevel="0" collapsed="false">
      <c r="B10" s="12" t="s">
        <v>66</v>
      </c>
      <c r="C10" s="12" t="s">
        <v>67</v>
      </c>
      <c r="D10" s="12" t="s">
        <v>68</v>
      </c>
      <c r="E10" s="12" t="s">
        <v>69</v>
      </c>
      <c r="F10" s="13" t="s">
        <v>70</v>
      </c>
      <c r="G10" s="13" t="s">
        <v>71</v>
      </c>
      <c r="H10" s="13" t="s">
        <v>72</v>
      </c>
      <c r="I10" s="13" t="s">
        <v>73</v>
      </c>
      <c r="J10" s="14" t="s">
        <v>74</v>
      </c>
      <c r="K10" s="13" t="s">
        <v>75</v>
      </c>
      <c r="L10" s="13" t="s">
        <v>46</v>
      </c>
      <c r="M10" s="13" t="s">
        <v>48</v>
      </c>
      <c r="N10" s="13" t="s">
        <v>76</v>
      </c>
      <c r="O10" s="13" t="s">
        <v>77</v>
      </c>
      <c r="P10" s="13" t="s">
        <v>78</v>
      </c>
      <c r="Q10" s="13" t="s">
        <v>79</v>
      </c>
      <c r="R10" s="14" t="s">
        <v>80</v>
      </c>
      <c r="S10" s="14" t="s">
        <v>81</v>
      </c>
      <c r="T10" s="12" t="s">
        <v>82</v>
      </c>
      <c r="U10" s="12" t="s">
        <v>83</v>
      </c>
    </row>
    <row r="11" customFormat="false" ht="21.75" hidden="false" customHeight="true" outlineLevel="0" collapsed="false">
      <c r="B11" s="15" t="s">
        <v>84</v>
      </c>
      <c r="C11" s="15" t="s">
        <v>85</v>
      </c>
      <c r="D11" s="15" t="s">
        <v>86</v>
      </c>
      <c r="E11" s="15" t="s">
        <v>87</v>
      </c>
      <c r="F11" s="15" t="s">
        <v>88</v>
      </c>
      <c r="G11" s="15" t="s">
        <v>89</v>
      </c>
      <c r="H11" s="15" t="s">
        <v>87</v>
      </c>
      <c r="I11" s="15" t="s">
        <v>87</v>
      </c>
      <c r="J11" s="15" t="s">
        <v>90</v>
      </c>
      <c r="K11" s="15" t="s">
        <v>87</v>
      </c>
      <c r="L11" s="15" t="s">
        <v>87</v>
      </c>
      <c r="M11" s="15"/>
      <c r="N11" s="15" t="s">
        <v>87</v>
      </c>
      <c r="O11" s="15" t="s">
        <v>89</v>
      </c>
      <c r="P11" s="15" t="s">
        <v>88</v>
      </c>
      <c r="Q11" s="15" t="s">
        <v>88</v>
      </c>
      <c r="R11" s="15" t="s">
        <v>88</v>
      </c>
      <c r="S11" s="15" t="s">
        <v>88</v>
      </c>
      <c r="T11" s="15"/>
      <c r="U11" s="15"/>
    </row>
    <row r="12" customFormat="false" ht="24" hidden="false" customHeight="true" outlineLevel="0" collapsed="false">
      <c r="B12" s="15" t="s">
        <v>91</v>
      </c>
      <c r="C12" s="9" t="s">
        <v>92</v>
      </c>
      <c r="D12" s="9" t="s">
        <v>93</v>
      </c>
      <c r="E12" s="15" t="n">
        <v>17.3</v>
      </c>
      <c r="F12" s="15" t="n">
        <v>18</v>
      </c>
      <c r="G12" s="15" t="n">
        <v>1.6</v>
      </c>
      <c r="H12" s="15" t="n">
        <v>14</v>
      </c>
      <c r="I12" s="15" t="n">
        <v>140</v>
      </c>
      <c r="J12" s="15" t="n">
        <v>5.6</v>
      </c>
      <c r="K12" s="15" t="n">
        <v>194.6</v>
      </c>
      <c r="L12" s="15" t="n">
        <v>405</v>
      </c>
      <c r="M12" s="15" t="s">
        <v>94</v>
      </c>
      <c r="N12" s="15" t="n">
        <v>140</v>
      </c>
      <c r="O12" s="15" t="n">
        <v>2.22</v>
      </c>
      <c r="P12" s="15" t="n">
        <v>1.25</v>
      </c>
      <c r="Q12" s="15" t="n">
        <v>12.9</v>
      </c>
      <c r="R12" s="15" t="n">
        <v>16.77</v>
      </c>
      <c r="S12" s="15" t="n">
        <v>19.43</v>
      </c>
      <c r="T12" s="9" t="s">
        <v>95</v>
      </c>
      <c r="U12" s="9"/>
    </row>
    <row r="13" customFormat="false" ht="30" hidden="false" customHeight="true" outlineLevel="0" collapsed="false">
      <c r="B13" s="16" t="n">
        <v>1</v>
      </c>
      <c r="C13" s="5"/>
      <c r="D13" s="5"/>
      <c r="E13" s="17" t="str">
        <f aca="false">IF(D13="","",IFERROR(VLOOKUP(D13,Referência!$B$6:$C$16,2,FALSE()),""))</f>
        <v/>
      </c>
      <c r="F13" s="18"/>
      <c r="G13" s="19"/>
      <c r="H13" s="20"/>
      <c r="I13" s="20"/>
      <c r="J13" s="18"/>
      <c r="K13" s="21" t="str">
        <f aca="false">IF(OR(E13="",F13="",G13="",G13=0,E13=0),"",ROUND(F13*E13/G13,1))</f>
        <v/>
      </c>
      <c r="L13" s="22" t="str">
        <f aca="false">IF(K13="","",ROUND(K13*36/E13,0))</f>
        <v/>
      </c>
      <c r="M13" s="23" t="str">
        <f aca="false">IF(OR(K13="",H13="",I13=""),"",IF(K13&gt;I13,"Falta tele",IF(K13&lt;H13,"Falta angular","OK")))</f>
        <v/>
      </c>
      <c r="N13" s="17" t="str">
        <f aca="false">IF(K13="","",IF(OR(H13="",I13=""),K13,MIN(MAX(K13,H13),I13)))</f>
        <v/>
      </c>
      <c r="O13" s="24" t="str">
        <f aca="false">IF(N13="","",ROUND(F13*E13/N13,2))</f>
        <v/>
      </c>
      <c r="P13" s="25" t="str">
        <f aca="false">IF(O13="","",ROUND(O13*9/16,2))</f>
        <v/>
      </c>
      <c r="Q13" s="21" t="str">
        <f aca="false">IF(M13="Falta tele",ROUND(I13*G13/E13,1),IF(M13="Falta angular",ROUND(H13*G13/E13,1),""))</f>
        <v/>
      </c>
      <c r="R13" s="25" t="str">
        <f aca="false">IF(OR(N13="",J13="",J13=0),"",ROUND((F13*1000)*((N13^2/(J13*E13/1200)+N13)-N13)/((N13^2/(J13*E13/1200)+N13)+(F13*1000)-2*N13)/1000,2))</f>
        <v/>
      </c>
      <c r="S13" s="25" t="str">
        <f aca="false">IF(OR(N13="",J13="",J13=0),"",IF((F13*1000)&gt;=(N13^2/(J13*E13/1200)+N13),"infinito",ROUND((F13*1000)*((N13^2/(J13*E13/1200)+N13)-N13)/((N13^2/(J13*E13/1200)+N13)-(F13*1000))/1000,2)))</f>
        <v/>
      </c>
      <c r="T13" s="26" t="str">
        <f aca="false">IF(M13="","",IF(M13="Falta tele","Aproxime a câmera até a distância indicada, use lente mais longa ou aceite a cena obtida",IF(M13="Falta angular","Afaste a câmera até a distância indicada, use lente mais aberta ou aceite a cena obtida",IF(AND(ISNUMBER(S13),ISNUMBER(R13)),IF(S13-R13&lt;0.5,"A lente alcança. Faixa em foco estreita: feche a íris se a pessoa anda","A lente alcança. Deixe o zoom digital desligado"),"A lente alcança. Deixe o zoom digital desligado"))))</f>
        <v/>
      </c>
      <c r="U13" s="5"/>
    </row>
    <row r="14" customFormat="false" ht="30" hidden="false" customHeight="true" outlineLevel="0" collapsed="false">
      <c r="B14" s="16" t="n">
        <v>2</v>
      </c>
      <c r="C14" s="5"/>
      <c r="D14" s="5"/>
      <c r="E14" s="17" t="str">
        <f aca="false">IF(D14="","",IFERROR(VLOOKUP(D14,Referência!$B$6:$C$16,2,FALSE()),""))</f>
        <v/>
      </c>
      <c r="F14" s="18"/>
      <c r="G14" s="19"/>
      <c r="H14" s="20"/>
      <c r="I14" s="20"/>
      <c r="J14" s="18"/>
      <c r="K14" s="21" t="str">
        <f aca="false">IF(OR(E14="",F14="",G14="",G14=0,E14=0),"",ROUND(F14*E14/G14,1))</f>
        <v/>
      </c>
      <c r="L14" s="22" t="str">
        <f aca="false">IF(K14="","",ROUND(K14*36/E14,0))</f>
        <v/>
      </c>
      <c r="M14" s="23" t="str">
        <f aca="false">IF(OR(K14="",H14="",I14=""),"",IF(K14&gt;I14,"Falta tele",IF(K14&lt;H14,"Falta angular","OK")))</f>
        <v/>
      </c>
      <c r="N14" s="17" t="str">
        <f aca="false">IF(K14="","",IF(OR(H14="",I14=""),K14,MIN(MAX(K14,H14),I14)))</f>
        <v/>
      </c>
      <c r="O14" s="24" t="str">
        <f aca="false">IF(N14="","",ROUND(F14*E14/N14,2))</f>
        <v/>
      </c>
      <c r="P14" s="25" t="str">
        <f aca="false">IF(O14="","",ROUND(O14*9/16,2))</f>
        <v/>
      </c>
      <c r="Q14" s="21" t="str">
        <f aca="false">IF(M14="Falta tele",ROUND(I14*G14/E14,1),IF(M14="Falta angular",ROUND(H14*G14/E14,1),""))</f>
        <v/>
      </c>
      <c r="R14" s="25" t="str">
        <f aca="false">IF(OR(N14="",J14="",J14=0),"",ROUND((F14*1000)*((N14^2/(J14*E14/1200)+N14)-N14)/((N14^2/(J14*E14/1200)+N14)+(F14*1000)-2*N14)/1000,2))</f>
        <v/>
      </c>
      <c r="S14" s="25" t="str">
        <f aca="false">IF(OR(N14="",J14="",J14=0),"",IF((F14*1000)&gt;=(N14^2/(J14*E14/1200)+N14),"infinito",ROUND((F14*1000)*((N14^2/(J14*E14/1200)+N14)-N14)/((N14^2/(J14*E14/1200)+N14)-(F14*1000))/1000,2)))</f>
        <v/>
      </c>
      <c r="T14" s="26" t="str">
        <f aca="false">IF(M14="","",IF(M14="Falta tele","Aproxime a câmera até a distância indicada, use lente mais longa ou aceite a cena obtida",IF(M14="Falta angular","Afaste a câmera até a distância indicada, use lente mais aberta ou aceite a cena obtida",IF(AND(ISNUMBER(S14),ISNUMBER(R14)),IF(S14-R14&lt;0.5,"A lente alcança. Faixa em foco estreita: feche a íris se a pessoa anda","A lente alcança. Deixe o zoom digital desligado"),"A lente alcança. Deixe o zoom digital desligado"))))</f>
        <v/>
      </c>
      <c r="U14" s="5"/>
    </row>
    <row r="15" customFormat="false" ht="30" hidden="false" customHeight="true" outlineLevel="0" collapsed="false">
      <c r="B15" s="16" t="n">
        <v>3</v>
      </c>
      <c r="C15" s="5"/>
      <c r="D15" s="5"/>
      <c r="E15" s="17" t="str">
        <f aca="false">IF(D15="","",IFERROR(VLOOKUP(D15,Referência!$B$6:$C$16,2,FALSE()),""))</f>
        <v/>
      </c>
      <c r="F15" s="18"/>
      <c r="G15" s="19"/>
      <c r="H15" s="20"/>
      <c r="I15" s="20"/>
      <c r="J15" s="18"/>
      <c r="K15" s="21" t="str">
        <f aca="false">IF(OR(E15="",F15="",G15="",G15=0,E15=0),"",ROUND(F15*E15/G15,1))</f>
        <v/>
      </c>
      <c r="L15" s="22" t="str">
        <f aca="false">IF(K15="","",ROUND(K15*36/E15,0))</f>
        <v/>
      </c>
      <c r="M15" s="23" t="str">
        <f aca="false">IF(OR(K15="",H15="",I15=""),"",IF(K15&gt;I15,"Falta tele",IF(K15&lt;H15,"Falta angular","OK")))</f>
        <v/>
      </c>
      <c r="N15" s="17" t="str">
        <f aca="false">IF(K15="","",IF(OR(H15="",I15=""),K15,MIN(MAX(K15,H15),I15)))</f>
        <v/>
      </c>
      <c r="O15" s="24" t="str">
        <f aca="false">IF(N15="","",ROUND(F15*E15/N15,2))</f>
        <v/>
      </c>
      <c r="P15" s="25" t="str">
        <f aca="false">IF(O15="","",ROUND(O15*9/16,2))</f>
        <v/>
      </c>
      <c r="Q15" s="21" t="str">
        <f aca="false">IF(M15="Falta tele",ROUND(I15*G15/E15,1),IF(M15="Falta angular",ROUND(H15*G15/E15,1),""))</f>
        <v/>
      </c>
      <c r="R15" s="25" t="str">
        <f aca="false">IF(OR(N15="",J15="",J15=0),"",ROUND((F15*1000)*((N15^2/(J15*E15/1200)+N15)-N15)/((N15^2/(J15*E15/1200)+N15)+(F15*1000)-2*N15)/1000,2))</f>
        <v/>
      </c>
      <c r="S15" s="25" t="str">
        <f aca="false">IF(OR(N15="",J15="",J15=0),"",IF((F15*1000)&gt;=(N15^2/(J15*E15/1200)+N15),"infinito",ROUND((F15*1000)*((N15^2/(J15*E15/1200)+N15)-N15)/((N15^2/(J15*E15/1200)+N15)-(F15*1000))/1000,2)))</f>
        <v/>
      </c>
      <c r="T15" s="26" t="str">
        <f aca="false">IF(M15="","",IF(M15="Falta tele","Aproxime a câmera até a distância indicada, use lente mais longa ou aceite a cena obtida",IF(M15="Falta angular","Afaste a câmera até a distância indicada, use lente mais aberta ou aceite a cena obtida",IF(AND(ISNUMBER(S15),ISNUMBER(R15)),IF(S15-R15&lt;0.5,"A lente alcança. Faixa em foco estreita: feche a íris se a pessoa anda","A lente alcança. Deixe o zoom digital desligado"),"A lente alcança. Deixe o zoom digital desligado"))))</f>
        <v/>
      </c>
      <c r="U15" s="5"/>
    </row>
    <row r="16" customFormat="false" ht="30" hidden="false" customHeight="true" outlineLevel="0" collapsed="false">
      <c r="B16" s="16" t="n">
        <v>4</v>
      </c>
      <c r="C16" s="5"/>
      <c r="D16" s="5"/>
      <c r="E16" s="17" t="str">
        <f aca="false">IF(D16="","",IFERROR(VLOOKUP(D16,Referência!$B$6:$C$16,2,FALSE()),""))</f>
        <v/>
      </c>
      <c r="F16" s="18"/>
      <c r="G16" s="19"/>
      <c r="H16" s="20"/>
      <c r="I16" s="20"/>
      <c r="J16" s="18"/>
      <c r="K16" s="21" t="str">
        <f aca="false">IF(OR(E16="",F16="",G16="",G16=0,E16=0),"",ROUND(F16*E16/G16,1))</f>
        <v/>
      </c>
      <c r="L16" s="22" t="str">
        <f aca="false">IF(K16="","",ROUND(K16*36/E16,0))</f>
        <v/>
      </c>
      <c r="M16" s="23" t="str">
        <f aca="false">IF(OR(K16="",H16="",I16=""),"",IF(K16&gt;I16,"Falta tele",IF(K16&lt;H16,"Falta angular","OK")))</f>
        <v/>
      </c>
      <c r="N16" s="17" t="str">
        <f aca="false">IF(K16="","",IF(OR(H16="",I16=""),K16,MIN(MAX(K16,H16),I16)))</f>
        <v/>
      </c>
      <c r="O16" s="24" t="str">
        <f aca="false">IF(N16="","",ROUND(F16*E16/N16,2))</f>
        <v/>
      </c>
      <c r="P16" s="25" t="str">
        <f aca="false">IF(O16="","",ROUND(O16*9/16,2))</f>
        <v/>
      </c>
      <c r="Q16" s="21" t="str">
        <f aca="false">IF(M16="Falta tele",ROUND(I16*G16/E16,1),IF(M16="Falta angular",ROUND(H16*G16/E16,1),""))</f>
        <v/>
      </c>
      <c r="R16" s="25" t="str">
        <f aca="false">IF(OR(N16="",J16="",J16=0),"",ROUND((F16*1000)*((N16^2/(J16*E16/1200)+N16)-N16)/((N16^2/(J16*E16/1200)+N16)+(F16*1000)-2*N16)/1000,2))</f>
        <v/>
      </c>
      <c r="S16" s="25" t="str">
        <f aca="false">IF(OR(N16="",J16="",J16=0),"",IF((F16*1000)&gt;=(N16^2/(J16*E16/1200)+N16),"infinito",ROUND((F16*1000)*((N16^2/(J16*E16/1200)+N16)-N16)/((N16^2/(J16*E16/1200)+N16)-(F16*1000))/1000,2)))</f>
        <v/>
      </c>
      <c r="T16" s="26" t="str">
        <f aca="false">IF(M16="","",IF(M16="Falta tele","Aproxime a câmera até a distância indicada, use lente mais longa ou aceite a cena obtida",IF(M16="Falta angular","Afaste a câmera até a distância indicada, use lente mais aberta ou aceite a cena obtida",IF(AND(ISNUMBER(S16),ISNUMBER(R16)),IF(S16-R16&lt;0.5,"A lente alcança. Faixa em foco estreita: feche a íris se a pessoa anda","A lente alcança. Deixe o zoom digital desligado"),"A lente alcança. Deixe o zoom digital desligado"))))</f>
        <v/>
      </c>
      <c r="U16" s="5"/>
    </row>
    <row r="17" customFormat="false" ht="30" hidden="false" customHeight="true" outlineLevel="0" collapsed="false">
      <c r="B17" s="16" t="n">
        <v>5</v>
      </c>
      <c r="C17" s="5"/>
      <c r="D17" s="5"/>
      <c r="E17" s="17" t="str">
        <f aca="false">IF(D17="","",IFERROR(VLOOKUP(D17,Referência!$B$6:$C$16,2,FALSE()),""))</f>
        <v/>
      </c>
      <c r="F17" s="18"/>
      <c r="G17" s="19"/>
      <c r="H17" s="20"/>
      <c r="I17" s="20"/>
      <c r="J17" s="18"/>
      <c r="K17" s="21" t="str">
        <f aca="false">IF(OR(E17="",F17="",G17="",G17=0,E17=0),"",ROUND(F17*E17/G17,1))</f>
        <v/>
      </c>
      <c r="L17" s="22" t="str">
        <f aca="false">IF(K17="","",ROUND(K17*36/E17,0))</f>
        <v/>
      </c>
      <c r="M17" s="23" t="str">
        <f aca="false">IF(OR(K17="",H17="",I17=""),"",IF(K17&gt;I17,"Falta tele",IF(K17&lt;H17,"Falta angular","OK")))</f>
        <v/>
      </c>
      <c r="N17" s="17" t="str">
        <f aca="false">IF(K17="","",IF(OR(H17="",I17=""),K17,MIN(MAX(K17,H17),I17)))</f>
        <v/>
      </c>
      <c r="O17" s="24" t="str">
        <f aca="false">IF(N17="","",ROUND(F17*E17/N17,2))</f>
        <v/>
      </c>
      <c r="P17" s="25" t="str">
        <f aca="false">IF(O17="","",ROUND(O17*9/16,2))</f>
        <v/>
      </c>
      <c r="Q17" s="21" t="str">
        <f aca="false">IF(M17="Falta tele",ROUND(I17*G17/E17,1),IF(M17="Falta angular",ROUND(H17*G17/E17,1),""))</f>
        <v/>
      </c>
      <c r="R17" s="25" t="str">
        <f aca="false">IF(OR(N17="",J17="",J17=0),"",ROUND((F17*1000)*((N17^2/(J17*E17/1200)+N17)-N17)/((N17^2/(J17*E17/1200)+N17)+(F17*1000)-2*N17)/1000,2))</f>
        <v/>
      </c>
      <c r="S17" s="25" t="str">
        <f aca="false">IF(OR(N17="",J17="",J17=0),"",IF((F17*1000)&gt;=(N17^2/(J17*E17/1200)+N17),"infinito",ROUND((F17*1000)*((N17^2/(J17*E17/1200)+N17)-N17)/((N17^2/(J17*E17/1200)+N17)-(F17*1000))/1000,2)))</f>
        <v/>
      </c>
      <c r="T17" s="26" t="str">
        <f aca="false">IF(M17="","",IF(M17="Falta tele","Aproxime a câmera até a distância indicada, use lente mais longa ou aceite a cena obtida",IF(M17="Falta angular","Afaste a câmera até a distância indicada, use lente mais aberta ou aceite a cena obtida",IF(AND(ISNUMBER(S17),ISNUMBER(R17)),IF(S17-R17&lt;0.5,"A lente alcança. Faixa em foco estreita: feche a íris se a pessoa anda","A lente alcança. Deixe o zoom digital desligado"),"A lente alcança. Deixe o zoom digital desligado"))))</f>
        <v/>
      </c>
      <c r="U17" s="5"/>
    </row>
    <row r="18" customFormat="false" ht="30" hidden="false" customHeight="true" outlineLevel="0" collapsed="false">
      <c r="B18" s="16" t="n">
        <v>6</v>
      </c>
      <c r="C18" s="5"/>
      <c r="D18" s="5"/>
      <c r="E18" s="17" t="str">
        <f aca="false">IF(D18="","",IFERROR(VLOOKUP(D18,Referência!$B$6:$C$16,2,FALSE()),""))</f>
        <v/>
      </c>
      <c r="F18" s="18"/>
      <c r="G18" s="19"/>
      <c r="H18" s="20"/>
      <c r="I18" s="20"/>
      <c r="J18" s="18"/>
      <c r="K18" s="21" t="str">
        <f aca="false">IF(OR(E18="",F18="",G18="",G18=0,E18=0),"",ROUND(F18*E18/G18,1))</f>
        <v/>
      </c>
      <c r="L18" s="22" t="str">
        <f aca="false">IF(K18="","",ROUND(K18*36/E18,0))</f>
        <v/>
      </c>
      <c r="M18" s="23" t="str">
        <f aca="false">IF(OR(K18="",H18="",I18=""),"",IF(K18&gt;I18,"Falta tele",IF(K18&lt;H18,"Falta angular","OK")))</f>
        <v/>
      </c>
      <c r="N18" s="17" t="str">
        <f aca="false">IF(K18="","",IF(OR(H18="",I18=""),K18,MIN(MAX(K18,H18),I18)))</f>
        <v/>
      </c>
      <c r="O18" s="24" t="str">
        <f aca="false">IF(N18="","",ROUND(F18*E18/N18,2))</f>
        <v/>
      </c>
      <c r="P18" s="25" t="str">
        <f aca="false">IF(O18="","",ROUND(O18*9/16,2))</f>
        <v/>
      </c>
      <c r="Q18" s="21" t="str">
        <f aca="false">IF(M18="Falta tele",ROUND(I18*G18/E18,1),IF(M18="Falta angular",ROUND(H18*G18/E18,1),""))</f>
        <v/>
      </c>
      <c r="R18" s="25" t="str">
        <f aca="false">IF(OR(N18="",J18="",J18=0),"",ROUND((F18*1000)*((N18^2/(J18*E18/1200)+N18)-N18)/((N18^2/(J18*E18/1200)+N18)+(F18*1000)-2*N18)/1000,2))</f>
        <v/>
      </c>
      <c r="S18" s="25" t="str">
        <f aca="false">IF(OR(N18="",J18="",J18=0),"",IF((F18*1000)&gt;=(N18^2/(J18*E18/1200)+N18),"infinito",ROUND((F18*1000)*((N18^2/(J18*E18/1200)+N18)-N18)/((N18^2/(J18*E18/1200)+N18)-(F18*1000))/1000,2)))</f>
        <v/>
      </c>
      <c r="T18" s="26" t="str">
        <f aca="false">IF(M18="","",IF(M18="Falta tele","Aproxime a câmera até a distância indicada, use lente mais longa ou aceite a cena obtida",IF(M18="Falta angular","Afaste a câmera até a distância indicada, use lente mais aberta ou aceite a cena obtida",IF(AND(ISNUMBER(S18),ISNUMBER(R18)),IF(S18-R18&lt;0.5,"A lente alcança. Faixa em foco estreita: feche a íris se a pessoa anda","A lente alcança. Deixe o zoom digital desligado"),"A lente alcança. Deixe o zoom digital desligado"))))</f>
        <v/>
      </c>
      <c r="U18" s="5"/>
    </row>
    <row r="19" customFormat="false" ht="30" hidden="false" customHeight="true" outlineLevel="0" collapsed="false">
      <c r="B19" s="16" t="n">
        <v>7</v>
      </c>
      <c r="C19" s="5"/>
      <c r="D19" s="5"/>
      <c r="E19" s="17" t="str">
        <f aca="false">IF(D19="","",IFERROR(VLOOKUP(D19,Referência!$B$6:$C$16,2,FALSE()),""))</f>
        <v/>
      </c>
      <c r="F19" s="18"/>
      <c r="G19" s="19"/>
      <c r="H19" s="20"/>
      <c r="I19" s="20"/>
      <c r="J19" s="18"/>
      <c r="K19" s="21" t="str">
        <f aca="false">IF(OR(E19="",F19="",G19="",G19=0,E19=0),"",ROUND(F19*E19/G19,1))</f>
        <v/>
      </c>
      <c r="L19" s="22" t="str">
        <f aca="false">IF(K19="","",ROUND(K19*36/E19,0))</f>
        <v/>
      </c>
      <c r="M19" s="23" t="str">
        <f aca="false">IF(OR(K19="",H19="",I19=""),"",IF(K19&gt;I19,"Falta tele",IF(K19&lt;H19,"Falta angular","OK")))</f>
        <v/>
      </c>
      <c r="N19" s="17" t="str">
        <f aca="false">IF(K19="","",IF(OR(H19="",I19=""),K19,MIN(MAX(K19,H19),I19)))</f>
        <v/>
      </c>
      <c r="O19" s="24" t="str">
        <f aca="false">IF(N19="","",ROUND(F19*E19/N19,2))</f>
        <v/>
      </c>
      <c r="P19" s="25" t="str">
        <f aca="false">IF(O19="","",ROUND(O19*9/16,2))</f>
        <v/>
      </c>
      <c r="Q19" s="21" t="str">
        <f aca="false">IF(M19="Falta tele",ROUND(I19*G19/E19,1),IF(M19="Falta angular",ROUND(H19*G19/E19,1),""))</f>
        <v/>
      </c>
      <c r="R19" s="25" t="str">
        <f aca="false">IF(OR(N19="",J19="",J19=0),"",ROUND((F19*1000)*((N19^2/(J19*E19/1200)+N19)-N19)/((N19^2/(J19*E19/1200)+N19)+(F19*1000)-2*N19)/1000,2))</f>
        <v/>
      </c>
      <c r="S19" s="25" t="str">
        <f aca="false">IF(OR(N19="",J19="",J19=0),"",IF((F19*1000)&gt;=(N19^2/(J19*E19/1200)+N19),"infinito",ROUND((F19*1000)*((N19^2/(J19*E19/1200)+N19)-N19)/((N19^2/(J19*E19/1200)+N19)-(F19*1000))/1000,2)))</f>
        <v/>
      </c>
      <c r="T19" s="26" t="str">
        <f aca="false">IF(M19="","",IF(M19="Falta tele","Aproxime a câmera até a distância indicada, use lente mais longa ou aceite a cena obtida",IF(M19="Falta angular","Afaste a câmera até a distância indicada, use lente mais aberta ou aceite a cena obtida",IF(AND(ISNUMBER(S19),ISNUMBER(R19)),IF(S19-R19&lt;0.5,"A lente alcança. Faixa em foco estreita: feche a íris se a pessoa anda","A lente alcança. Deixe o zoom digital desligado"),"A lente alcança. Deixe o zoom digital desligado"))))</f>
        <v/>
      </c>
      <c r="U19" s="5"/>
    </row>
    <row r="20" customFormat="false" ht="30" hidden="false" customHeight="true" outlineLevel="0" collapsed="false">
      <c r="B20" s="16" t="n">
        <v>8</v>
      </c>
      <c r="C20" s="5"/>
      <c r="D20" s="5"/>
      <c r="E20" s="17" t="str">
        <f aca="false">IF(D20="","",IFERROR(VLOOKUP(D20,Referência!$B$6:$C$16,2,FALSE()),""))</f>
        <v/>
      </c>
      <c r="F20" s="18"/>
      <c r="G20" s="19"/>
      <c r="H20" s="20"/>
      <c r="I20" s="20"/>
      <c r="J20" s="18"/>
      <c r="K20" s="21" t="str">
        <f aca="false">IF(OR(E20="",F20="",G20="",G20=0,E20=0),"",ROUND(F20*E20/G20,1))</f>
        <v/>
      </c>
      <c r="L20" s="22" t="str">
        <f aca="false">IF(K20="","",ROUND(K20*36/E20,0))</f>
        <v/>
      </c>
      <c r="M20" s="23" t="str">
        <f aca="false">IF(OR(K20="",H20="",I20=""),"",IF(K20&gt;I20,"Falta tele",IF(K20&lt;H20,"Falta angular","OK")))</f>
        <v/>
      </c>
      <c r="N20" s="17" t="str">
        <f aca="false">IF(K20="","",IF(OR(H20="",I20=""),K20,MIN(MAX(K20,H20),I20)))</f>
        <v/>
      </c>
      <c r="O20" s="24" t="str">
        <f aca="false">IF(N20="","",ROUND(F20*E20/N20,2))</f>
        <v/>
      </c>
      <c r="P20" s="25" t="str">
        <f aca="false">IF(O20="","",ROUND(O20*9/16,2))</f>
        <v/>
      </c>
      <c r="Q20" s="21" t="str">
        <f aca="false">IF(M20="Falta tele",ROUND(I20*G20/E20,1),IF(M20="Falta angular",ROUND(H20*G20/E20,1),""))</f>
        <v/>
      </c>
      <c r="R20" s="25" t="str">
        <f aca="false">IF(OR(N20="",J20="",J20=0),"",ROUND((F20*1000)*((N20^2/(J20*E20/1200)+N20)-N20)/((N20^2/(J20*E20/1200)+N20)+(F20*1000)-2*N20)/1000,2))</f>
        <v/>
      </c>
      <c r="S20" s="25" t="str">
        <f aca="false">IF(OR(N20="",J20="",J20=0),"",IF((F20*1000)&gt;=(N20^2/(J20*E20/1200)+N20),"infinito",ROUND((F20*1000)*((N20^2/(J20*E20/1200)+N20)-N20)/((N20^2/(J20*E20/1200)+N20)-(F20*1000))/1000,2)))</f>
        <v/>
      </c>
      <c r="T20" s="26" t="str">
        <f aca="false">IF(M20="","",IF(M20="Falta tele","Aproxime a câmera até a distância indicada, use lente mais longa ou aceite a cena obtida",IF(M20="Falta angular","Afaste a câmera até a distância indicada, use lente mais aberta ou aceite a cena obtida",IF(AND(ISNUMBER(S20),ISNUMBER(R20)),IF(S20-R20&lt;0.5,"A lente alcança. Faixa em foco estreita: feche a íris se a pessoa anda","A lente alcança. Deixe o zoom digital desligado"),"A lente alcança. Deixe o zoom digital desligado"))))</f>
        <v/>
      </c>
      <c r="U20" s="5"/>
    </row>
    <row r="21" customFormat="false" ht="30" hidden="false" customHeight="true" outlineLevel="0" collapsed="false">
      <c r="B21" s="16" t="n">
        <v>9</v>
      </c>
      <c r="C21" s="5"/>
      <c r="D21" s="5"/>
      <c r="E21" s="17" t="str">
        <f aca="false">IF(D21="","",IFERROR(VLOOKUP(D21,Referência!$B$6:$C$16,2,FALSE()),""))</f>
        <v/>
      </c>
      <c r="F21" s="18"/>
      <c r="G21" s="19"/>
      <c r="H21" s="20"/>
      <c r="I21" s="20"/>
      <c r="J21" s="18"/>
      <c r="K21" s="21" t="str">
        <f aca="false">IF(OR(E21="",F21="",G21="",G21=0,E21=0),"",ROUND(F21*E21/G21,1))</f>
        <v/>
      </c>
      <c r="L21" s="22" t="str">
        <f aca="false">IF(K21="","",ROUND(K21*36/E21,0))</f>
        <v/>
      </c>
      <c r="M21" s="23" t="str">
        <f aca="false">IF(OR(K21="",H21="",I21=""),"",IF(K21&gt;I21,"Falta tele",IF(K21&lt;H21,"Falta angular","OK")))</f>
        <v/>
      </c>
      <c r="N21" s="17" t="str">
        <f aca="false">IF(K21="","",IF(OR(H21="",I21=""),K21,MIN(MAX(K21,H21),I21)))</f>
        <v/>
      </c>
      <c r="O21" s="24" t="str">
        <f aca="false">IF(N21="","",ROUND(F21*E21/N21,2))</f>
        <v/>
      </c>
      <c r="P21" s="25" t="str">
        <f aca="false">IF(O21="","",ROUND(O21*9/16,2))</f>
        <v/>
      </c>
      <c r="Q21" s="21" t="str">
        <f aca="false">IF(M21="Falta tele",ROUND(I21*G21/E21,1),IF(M21="Falta angular",ROUND(H21*G21/E21,1),""))</f>
        <v/>
      </c>
      <c r="R21" s="25" t="str">
        <f aca="false">IF(OR(N21="",J21="",J21=0),"",ROUND((F21*1000)*((N21^2/(J21*E21/1200)+N21)-N21)/((N21^2/(J21*E21/1200)+N21)+(F21*1000)-2*N21)/1000,2))</f>
        <v/>
      </c>
      <c r="S21" s="25" t="str">
        <f aca="false">IF(OR(N21="",J21="",J21=0),"",IF((F21*1000)&gt;=(N21^2/(J21*E21/1200)+N21),"infinito",ROUND((F21*1000)*((N21^2/(J21*E21/1200)+N21)-N21)/((N21^2/(J21*E21/1200)+N21)-(F21*1000))/1000,2)))</f>
        <v/>
      </c>
      <c r="T21" s="26" t="str">
        <f aca="false">IF(M21="","",IF(M21="Falta tele","Aproxime a câmera até a distância indicada, use lente mais longa ou aceite a cena obtida",IF(M21="Falta angular","Afaste a câmera até a distância indicada, use lente mais aberta ou aceite a cena obtida",IF(AND(ISNUMBER(S21),ISNUMBER(R21)),IF(S21-R21&lt;0.5,"A lente alcança. Faixa em foco estreita: feche a íris se a pessoa anda","A lente alcança. Deixe o zoom digital desligado"),"A lente alcança. Deixe o zoom digital desligado"))))</f>
        <v/>
      </c>
      <c r="U21" s="5"/>
    </row>
    <row r="22" customFormat="false" ht="30" hidden="false" customHeight="true" outlineLevel="0" collapsed="false">
      <c r="B22" s="16" t="n">
        <v>10</v>
      </c>
      <c r="C22" s="5"/>
      <c r="D22" s="5"/>
      <c r="E22" s="17" t="str">
        <f aca="false">IF(D22="","",IFERROR(VLOOKUP(D22,Referência!$B$6:$C$16,2,FALSE()),""))</f>
        <v/>
      </c>
      <c r="F22" s="18"/>
      <c r="G22" s="19"/>
      <c r="H22" s="20"/>
      <c r="I22" s="20"/>
      <c r="J22" s="18"/>
      <c r="K22" s="21" t="str">
        <f aca="false">IF(OR(E22="",F22="",G22="",G22=0,E22=0),"",ROUND(F22*E22/G22,1))</f>
        <v/>
      </c>
      <c r="L22" s="22" t="str">
        <f aca="false">IF(K22="","",ROUND(K22*36/E22,0))</f>
        <v/>
      </c>
      <c r="M22" s="23" t="str">
        <f aca="false">IF(OR(K22="",H22="",I22=""),"",IF(K22&gt;I22,"Falta tele",IF(K22&lt;H22,"Falta angular","OK")))</f>
        <v/>
      </c>
      <c r="N22" s="17" t="str">
        <f aca="false">IF(K22="","",IF(OR(H22="",I22=""),K22,MIN(MAX(K22,H22),I22)))</f>
        <v/>
      </c>
      <c r="O22" s="24" t="str">
        <f aca="false">IF(N22="","",ROUND(F22*E22/N22,2))</f>
        <v/>
      </c>
      <c r="P22" s="25" t="str">
        <f aca="false">IF(O22="","",ROUND(O22*9/16,2))</f>
        <v/>
      </c>
      <c r="Q22" s="21" t="str">
        <f aca="false">IF(M22="Falta tele",ROUND(I22*G22/E22,1),IF(M22="Falta angular",ROUND(H22*G22/E22,1),""))</f>
        <v/>
      </c>
      <c r="R22" s="25" t="str">
        <f aca="false">IF(OR(N22="",J22="",J22=0),"",ROUND((F22*1000)*((N22^2/(J22*E22/1200)+N22)-N22)/((N22^2/(J22*E22/1200)+N22)+(F22*1000)-2*N22)/1000,2))</f>
        <v/>
      </c>
      <c r="S22" s="25" t="str">
        <f aca="false">IF(OR(N22="",J22="",J22=0),"",IF((F22*1000)&gt;=(N22^2/(J22*E22/1200)+N22),"infinito",ROUND((F22*1000)*((N22^2/(J22*E22/1200)+N22)-N22)/((N22^2/(J22*E22/1200)+N22)-(F22*1000))/1000,2)))</f>
        <v/>
      </c>
      <c r="T22" s="26" t="str">
        <f aca="false">IF(M22="","",IF(M22="Falta tele","Aproxime a câmera até a distância indicada, use lente mais longa ou aceite a cena obtida",IF(M22="Falta angular","Afaste a câmera até a distância indicada, use lente mais aberta ou aceite a cena obtida",IF(AND(ISNUMBER(S22),ISNUMBER(R22)),IF(S22-R22&lt;0.5,"A lente alcança. Faixa em foco estreita: feche a íris se a pessoa anda","A lente alcança. Deixe o zoom digital desligado"),"A lente alcança. Deixe o zoom digital desligado"))))</f>
        <v/>
      </c>
      <c r="U22" s="5"/>
    </row>
    <row r="23" customFormat="false" ht="30" hidden="false" customHeight="true" outlineLevel="0" collapsed="false">
      <c r="B23" s="16" t="n">
        <v>11</v>
      </c>
      <c r="C23" s="5"/>
      <c r="D23" s="5"/>
      <c r="E23" s="17" t="str">
        <f aca="false">IF(D23="","",IFERROR(VLOOKUP(D23,Referência!$B$6:$C$16,2,FALSE()),""))</f>
        <v/>
      </c>
      <c r="F23" s="18"/>
      <c r="G23" s="19"/>
      <c r="H23" s="20"/>
      <c r="I23" s="20"/>
      <c r="J23" s="18"/>
      <c r="K23" s="21" t="str">
        <f aca="false">IF(OR(E23="",F23="",G23="",G23=0,E23=0),"",ROUND(F23*E23/G23,1))</f>
        <v/>
      </c>
      <c r="L23" s="22" t="str">
        <f aca="false">IF(K23="","",ROUND(K23*36/E23,0))</f>
        <v/>
      </c>
      <c r="M23" s="23" t="str">
        <f aca="false">IF(OR(K23="",H23="",I23=""),"",IF(K23&gt;I23,"Falta tele",IF(K23&lt;H23,"Falta angular","OK")))</f>
        <v/>
      </c>
      <c r="N23" s="17" t="str">
        <f aca="false">IF(K23="","",IF(OR(H23="",I23=""),K23,MIN(MAX(K23,H23),I23)))</f>
        <v/>
      </c>
      <c r="O23" s="24" t="str">
        <f aca="false">IF(N23="","",ROUND(F23*E23/N23,2))</f>
        <v/>
      </c>
      <c r="P23" s="25" t="str">
        <f aca="false">IF(O23="","",ROUND(O23*9/16,2))</f>
        <v/>
      </c>
      <c r="Q23" s="21" t="str">
        <f aca="false">IF(M23="Falta tele",ROUND(I23*G23/E23,1),IF(M23="Falta angular",ROUND(H23*G23/E23,1),""))</f>
        <v/>
      </c>
      <c r="R23" s="25" t="str">
        <f aca="false">IF(OR(N23="",J23="",J23=0),"",ROUND((F23*1000)*((N23^2/(J23*E23/1200)+N23)-N23)/((N23^2/(J23*E23/1200)+N23)+(F23*1000)-2*N23)/1000,2))</f>
        <v/>
      </c>
      <c r="S23" s="25" t="str">
        <f aca="false">IF(OR(N23="",J23="",J23=0),"",IF((F23*1000)&gt;=(N23^2/(J23*E23/1200)+N23),"infinito",ROUND((F23*1000)*((N23^2/(J23*E23/1200)+N23)-N23)/((N23^2/(J23*E23/1200)+N23)-(F23*1000))/1000,2)))</f>
        <v/>
      </c>
      <c r="T23" s="26" t="str">
        <f aca="false">IF(M23="","",IF(M23="Falta tele","Aproxime a câmera até a distância indicada, use lente mais longa ou aceite a cena obtida",IF(M23="Falta angular","Afaste a câmera até a distância indicada, use lente mais aberta ou aceite a cena obtida",IF(AND(ISNUMBER(S23),ISNUMBER(R23)),IF(S23-R23&lt;0.5,"A lente alcança. Faixa em foco estreita: feche a íris se a pessoa anda","A lente alcança. Deixe o zoom digital desligado"),"A lente alcança. Deixe o zoom digital desligado"))))</f>
        <v/>
      </c>
      <c r="U23" s="5"/>
    </row>
    <row r="24" customFormat="false" ht="30" hidden="false" customHeight="true" outlineLevel="0" collapsed="false">
      <c r="B24" s="16" t="n">
        <v>12</v>
      </c>
      <c r="C24" s="5"/>
      <c r="D24" s="5"/>
      <c r="E24" s="17" t="str">
        <f aca="false">IF(D24="","",IFERROR(VLOOKUP(D24,Referência!$B$6:$C$16,2,FALSE()),""))</f>
        <v/>
      </c>
      <c r="F24" s="18"/>
      <c r="G24" s="19"/>
      <c r="H24" s="20"/>
      <c r="I24" s="20"/>
      <c r="J24" s="18"/>
      <c r="K24" s="21" t="str">
        <f aca="false">IF(OR(E24="",F24="",G24="",G24=0,E24=0),"",ROUND(F24*E24/G24,1))</f>
        <v/>
      </c>
      <c r="L24" s="22" t="str">
        <f aca="false">IF(K24="","",ROUND(K24*36/E24,0))</f>
        <v/>
      </c>
      <c r="M24" s="23" t="str">
        <f aca="false">IF(OR(K24="",H24="",I24=""),"",IF(K24&gt;I24,"Falta tele",IF(K24&lt;H24,"Falta angular","OK")))</f>
        <v/>
      </c>
      <c r="N24" s="17" t="str">
        <f aca="false">IF(K24="","",IF(OR(H24="",I24=""),K24,MIN(MAX(K24,H24),I24)))</f>
        <v/>
      </c>
      <c r="O24" s="24" t="str">
        <f aca="false">IF(N24="","",ROUND(F24*E24/N24,2))</f>
        <v/>
      </c>
      <c r="P24" s="25" t="str">
        <f aca="false">IF(O24="","",ROUND(O24*9/16,2))</f>
        <v/>
      </c>
      <c r="Q24" s="21" t="str">
        <f aca="false">IF(M24="Falta tele",ROUND(I24*G24/E24,1),IF(M24="Falta angular",ROUND(H24*G24/E24,1),""))</f>
        <v/>
      </c>
      <c r="R24" s="25" t="str">
        <f aca="false">IF(OR(N24="",J24="",J24=0),"",ROUND((F24*1000)*((N24^2/(J24*E24/1200)+N24)-N24)/((N24^2/(J24*E24/1200)+N24)+(F24*1000)-2*N24)/1000,2))</f>
        <v/>
      </c>
      <c r="S24" s="25" t="str">
        <f aca="false">IF(OR(N24="",J24="",J24=0),"",IF((F24*1000)&gt;=(N24^2/(J24*E24/1200)+N24),"infinito",ROUND((F24*1000)*((N24^2/(J24*E24/1200)+N24)-N24)/((N24^2/(J24*E24/1200)+N24)-(F24*1000))/1000,2)))</f>
        <v/>
      </c>
      <c r="T24" s="26" t="str">
        <f aca="false">IF(M24="","",IF(M24="Falta tele","Aproxime a câmera até a distância indicada, use lente mais longa ou aceite a cena obtida",IF(M24="Falta angular","Afaste a câmera até a distância indicada, use lente mais aberta ou aceite a cena obtida",IF(AND(ISNUMBER(S24),ISNUMBER(R24)),IF(S24-R24&lt;0.5,"A lente alcança. Faixa em foco estreita: feche a íris se a pessoa anda","A lente alcança. Deixe o zoom digital desligado"),"A lente alcança. Deixe o zoom digital desligado"))))</f>
        <v/>
      </c>
      <c r="U24" s="5"/>
    </row>
    <row r="26" customFormat="false" ht="21.75" hidden="false" customHeight="true" outlineLevel="0" collapsed="false">
      <c r="B26" s="11" t="s">
        <v>96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9.5" hidden="false" customHeight="true" outlineLevel="0" collapsed="false">
      <c r="B27" s="27" t="s">
        <v>97</v>
      </c>
      <c r="C27" s="27"/>
      <c r="D27" s="27"/>
      <c r="E27" s="27"/>
      <c r="F27" s="23" t="n">
        <f aca="false">COUNTA(C13:C24)</f>
        <v>0</v>
      </c>
      <c r="G27" s="23"/>
    </row>
    <row r="28" customFormat="false" ht="19.5" hidden="false" customHeight="true" outlineLevel="0" collapsed="false">
      <c r="B28" s="27" t="s">
        <v>98</v>
      </c>
      <c r="C28" s="27"/>
      <c r="D28" s="27"/>
      <c r="E28" s="27"/>
      <c r="F28" s="23" t="n">
        <f aca="false">COUNTIF(M13:M24,"OK")</f>
        <v>0</v>
      </c>
      <c r="G28" s="23"/>
    </row>
    <row r="29" customFormat="false" ht="19.5" hidden="false" customHeight="true" outlineLevel="0" collapsed="false">
      <c r="B29" s="27" t="s">
        <v>94</v>
      </c>
      <c r="C29" s="27"/>
      <c r="D29" s="27"/>
      <c r="E29" s="27"/>
      <c r="F29" s="23" t="n">
        <f aca="false">COUNTIF(M13:M24,"Falta tele")</f>
        <v>0</v>
      </c>
      <c r="G29" s="23"/>
    </row>
    <row r="30" customFormat="false" ht="19.5" hidden="false" customHeight="true" outlineLevel="0" collapsed="false">
      <c r="B30" s="27" t="s">
        <v>99</v>
      </c>
      <c r="C30" s="27"/>
      <c r="D30" s="27"/>
      <c r="E30" s="27"/>
      <c r="F30" s="23" t="n">
        <f aca="false">COUNTIF(M13:M24,"Falta angular")</f>
        <v>0</v>
      </c>
      <c r="G30" s="23"/>
    </row>
    <row r="31" customFormat="false" ht="21.75" hidden="false" customHeight="true" outlineLevel="0" collapsed="false">
      <c r="B31" s="27" t="s">
        <v>100</v>
      </c>
      <c r="C31" s="27"/>
      <c r="D31" s="27"/>
      <c r="E31" s="27"/>
      <c r="F31" s="28" t="str">
        <f aca="false">IF(F27=0,"Liste as câmeras",IF(COUNTIF(M13:M24,"OK")+COUNTIF(M13:M24,"Falta tele")+COUNTIF(M13:M24,"Falta angular")&lt;F27,"Há câmera sem sensor, distância, cena ou lente",IF(F29+F30&gt;0,"Há quadro que a lente não alcança: decida antes de montar","OK")))</f>
        <v>Liste as câmeras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</row>
  </sheetData>
  <mergeCells count="26">
    <mergeCell ref="B1:U1"/>
    <mergeCell ref="B2:U2"/>
    <mergeCell ref="B4:C4"/>
    <mergeCell ref="D4:H4"/>
    <mergeCell ref="J4:U4"/>
    <mergeCell ref="B5:C5"/>
    <mergeCell ref="D5:H5"/>
    <mergeCell ref="J5:U5"/>
    <mergeCell ref="B6:C6"/>
    <mergeCell ref="D6:H6"/>
    <mergeCell ref="J6:U6"/>
    <mergeCell ref="B7:C7"/>
    <mergeCell ref="D7:H7"/>
    <mergeCell ref="J7:U7"/>
    <mergeCell ref="B9:U9"/>
    <mergeCell ref="B26:U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P31"/>
  </mergeCells>
  <conditionalFormatting sqref="M13:M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"Falta tele"</formula>
    </cfRule>
    <cfRule type="cellIs" priority="4" operator="equal" aboveAverage="0" equalAverage="0" bottom="0" percent="0" rank="0" text="" dxfId="1">
      <formula>"Falta angular"</formula>
    </cfRule>
  </conditionalFormatting>
  <conditionalFormatting sqref="F31:P31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Escolha o formato do sensor. Outro: digite a largura na aba Referência." promptTitle="Opções" showDropDown="false" showErrorMessage="true" showInputMessage="true" sqref="D13:D24" type="list">
      <formula1>Referência!$B$6:$B$16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3:J2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8"/>
    <col collapsed="false" customWidth="true" hidden="false" outlineLevel="0" max="13" min="13" style="0" width="50"/>
    <col collapsed="false" customWidth="true" hidden="false" outlineLevel="0" max="14" min="14" style="0" width="2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57</v>
      </c>
      <c r="C4" s="4"/>
      <c r="D4" s="5"/>
      <c r="E4" s="5"/>
      <c r="G4" s="4" t="s">
        <v>103</v>
      </c>
      <c r="H4" s="4"/>
      <c r="I4" s="4"/>
      <c r="J4" s="29" t="n">
        <v>3200</v>
      </c>
      <c r="K4" s="9" t="s">
        <v>104</v>
      </c>
      <c r="L4" s="9"/>
      <c r="M4" s="9"/>
      <c r="N4" s="9"/>
    </row>
    <row r="5" customFormat="false" ht="21.75" hidden="false" customHeight="true" outlineLevel="0" collapsed="false">
      <c r="B5" s="4" t="s">
        <v>59</v>
      </c>
      <c r="C5" s="4"/>
      <c r="D5" s="5"/>
      <c r="E5" s="5"/>
      <c r="G5" s="4" t="s">
        <v>105</v>
      </c>
      <c r="H5" s="4"/>
      <c r="I5" s="4"/>
      <c r="J5" s="29" t="n">
        <v>1</v>
      </c>
      <c r="K5" s="9" t="s">
        <v>106</v>
      </c>
      <c r="L5" s="9"/>
      <c r="M5" s="9"/>
      <c r="N5" s="9"/>
    </row>
    <row r="6" customFormat="false" ht="21.75" hidden="false" customHeight="true" outlineLevel="0" collapsed="false">
      <c r="B6" s="4" t="s">
        <v>61</v>
      </c>
      <c r="C6" s="4"/>
      <c r="D6" s="10"/>
      <c r="E6" s="10"/>
      <c r="G6" s="4" t="s">
        <v>107</v>
      </c>
      <c r="H6" s="4"/>
      <c r="I6" s="4"/>
      <c r="J6" s="29" t="n">
        <v>500</v>
      </c>
      <c r="K6" s="9" t="s">
        <v>108</v>
      </c>
      <c r="L6" s="9"/>
      <c r="M6" s="9"/>
      <c r="N6" s="9"/>
    </row>
    <row r="7" customFormat="false" ht="21.75" hidden="false" customHeight="true" outlineLevel="0" collapsed="false">
      <c r="B7" s="4" t="s">
        <v>63</v>
      </c>
      <c r="C7" s="4"/>
      <c r="D7" s="5"/>
      <c r="E7" s="5"/>
      <c r="G7" s="4" t="s">
        <v>109</v>
      </c>
      <c r="H7" s="4"/>
      <c r="I7" s="4"/>
      <c r="J7" s="29" t="n">
        <v>200</v>
      </c>
      <c r="K7" s="9" t="s">
        <v>110</v>
      </c>
      <c r="L7" s="9"/>
      <c r="M7" s="9"/>
      <c r="N7" s="9"/>
    </row>
    <row r="8" customFormat="false" ht="15" hidden="false" customHeight="true" outlineLevel="0" collapsed="false">
      <c r="G8" s="9" t="s">
        <v>111</v>
      </c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B9" s="27" t="s">
        <v>112</v>
      </c>
      <c r="C9" s="27"/>
      <c r="D9" s="27"/>
      <c r="E9" s="30" t="str">
        <f aca="false">IF(OR($J$5="",$J$5&lt;1,$J$5&gt;8),"",IF(INDEX(F14:F21,$J$5)="","",INDEX(F14:F21,$J$5)))</f>
        <v/>
      </c>
    </row>
    <row r="10" customFormat="false" ht="15" hidden="false" customHeight="true" outlineLevel="0" collapsed="false">
      <c r="B10" s="27" t="s">
        <v>113</v>
      </c>
      <c r="C10" s="27"/>
      <c r="D10" s="27"/>
      <c r="E10" s="8" t="str">
        <f aca="false">IF(OR($J$5="",$J$5&lt;1,$J$5&gt;8),"",IF(INDEX(H14:H21,$J$5)="","",INDEX(H14:H21,$J$5)))</f>
        <v/>
      </c>
    </row>
    <row r="11" customFormat="false" ht="21.75" hidden="false" customHeight="true" outlineLevel="0" collapsed="false">
      <c r="B11" s="11" t="s">
        <v>114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36" hidden="false" customHeight="true" outlineLevel="0" collapsed="false">
      <c r="B12" s="12" t="s">
        <v>66</v>
      </c>
      <c r="C12" s="12" t="s">
        <v>115</v>
      </c>
      <c r="D12" s="12" t="s">
        <v>116</v>
      </c>
      <c r="E12" s="31" t="s">
        <v>117</v>
      </c>
      <c r="F12" s="31" t="s">
        <v>118</v>
      </c>
      <c r="G12" s="31" t="s">
        <v>119</v>
      </c>
      <c r="H12" s="31" t="s">
        <v>120</v>
      </c>
      <c r="I12" s="31" t="s">
        <v>121</v>
      </c>
      <c r="J12" s="12" t="s">
        <v>122</v>
      </c>
      <c r="K12" s="12" t="s">
        <v>123</v>
      </c>
      <c r="L12" s="12" t="s">
        <v>48</v>
      </c>
      <c r="M12" s="12" t="s">
        <v>82</v>
      </c>
      <c r="N12" s="12" t="s">
        <v>83</v>
      </c>
    </row>
    <row r="13" customFormat="false" ht="21.75" hidden="false" customHeight="true" outlineLevel="0" collapsed="false">
      <c r="B13" s="15" t="s">
        <v>84</v>
      </c>
      <c r="C13" s="15"/>
      <c r="D13" s="15"/>
      <c r="E13" s="15" t="s">
        <v>86</v>
      </c>
      <c r="F13" s="15" t="s">
        <v>124</v>
      </c>
      <c r="G13" s="15" t="s">
        <v>125</v>
      </c>
      <c r="H13" s="15" t="s">
        <v>86</v>
      </c>
      <c r="I13" s="15" t="s">
        <v>126</v>
      </c>
      <c r="J13" s="15" t="s">
        <v>124</v>
      </c>
      <c r="K13" s="15" t="s">
        <v>124</v>
      </c>
      <c r="L13" s="15"/>
      <c r="M13" s="15"/>
      <c r="N13" s="15"/>
    </row>
    <row r="14" customFormat="false" ht="24" hidden="false" customHeight="true" outlineLevel="0" collapsed="false">
      <c r="B14" s="16" t="n">
        <v>1</v>
      </c>
      <c r="C14" s="5"/>
      <c r="D14" s="5"/>
      <c r="E14" s="32"/>
      <c r="F14" s="29"/>
      <c r="G14" s="33"/>
      <c r="H14" s="32"/>
      <c r="I14" s="32"/>
      <c r="J14" s="34" t="str">
        <f aca="false">IF(OR(F14="",$J$4=""),"",F14-$J$4)</f>
        <v/>
      </c>
      <c r="K14" s="34" t="str">
        <f aca="false">IF(OR(F14="",$E$9="",$J$5=1),"",F14-$E$9)</f>
        <v/>
      </c>
      <c r="L14" s="23" t="str">
        <f aca="false">IF(AND(C14="",E14=""),"",IF(E14="Automático","Automático",IF(F14="","Sem kelvin",IF(H14="Log","Perfil log",IF(AND($E$10&lt;&gt;"",H14&lt;&gt;"",H14&lt;&gt;$E$10),"Perfil diferente",IF(IF(J14="",FALSE(),ABS(J14)&gt;$J$6),"Longe da luz",IF(IF(K14="",FALSE(),ABS(K14)&gt;$J$7),"Diferente da referência",IF(I14&lt;&gt;"Sim","Conferir no monitor","OK"))))))))</f>
        <v/>
      </c>
      <c r="M14" s="26" t="str">
        <f aca="false">IF(L14="","",IF(L14="Automático","Passe para manual e faça o balanço com o cartão branco",IF(L14="Sem kelvin","Anote o kelvin que a câmera mostra",IF(L14="Perfil log","Ponha o perfil padrão, ou aplique a correção na mesa de corte",IF(L14="Perfil diferente","Ponha o mesmo perfil da câmera de referência e refaça o balanço",IF(L14="Longe da luz","Confira o modo e refaça o balanço com o cartão sob a luz do evento",IF(L14="Diferente da referência","Compare no monitor e ajuste alguns passos no kelvin ou no tint",IF(L14="Conferir no monitor","Compare lado a lado com a câmera de referência","Manter"))))))))</f>
        <v/>
      </c>
      <c r="N14" s="5"/>
    </row>
    <row r="15" customFormat="false" ht="24" hidden="false" customHeight="true" outlineLevel="0" collapsed="false">
      <c r="B15" s="16" t="n">
        <v>2</v>
      </c>
      <c r="C15" s="5"/>
      <c r="D15" s="5"/>
      <c r="E15" s="32"/>
      <c r="F15" s="29"/>
      <c r="G15" s="33"/>
      <c r="H15" s="32"/>
      <c r="I15" s="32"/>
      <c r="J15" s="34" t="str">
        <f aca="false">IF(OR(F15="",$J$4=""),"",F15-$J$4)</f>
        <v/>
      </c>
      <c r="K15" s="34" t="str">
        <f aca="false">IF(OR(F15="",$E$9="",$J$5=2),"",F15-$E$9)</f>
        <v/>
      </c>
      <c r="L15" s="23" t="str">
        <f aca="false">IF(AND(C15="",E15=""),"",IF(E15="Automático","Automático",IF(F15="","Sem kelvin",IF(H15="Log","Perfil log",IF(AND($E$10&lt;&gt;"",H15&lt;&gt;"",H15&lt;&gt;$E$10),"Perfil diferente",IF(IF(J15="",FALSE(),ABS(J15)&gt;$J$6),"Longe da luz",IF(IF(K15="",FALSE(),ABS(K15)&gt;$J$7),"Diferente da referência",IF(I15&lt;&gt;"Sim","Conferir no monitor","OK"))))))))</f>
        <v/>
      </c>
      <c r="M15" s="26" t="str">
        <f aca="false">IF(L15="","",IF(L15="Automático","Passe para manual e faça o balanço com o cartão branco",IF(L15="Sem kelvin","Anote o kelvin que a câmera mostra",IF(L15="Perfil log","Ponha o perfil padrão, ou aplique a correção na mesa de corte",IF(L15="Perfil diferente","Ponha o mesmo perfil da câmera de referência e refaça o balanço",IF(L15="Longe da luz","Confira o modo e refaça o balanço com o cartão sob a luz do evento",IF(L15="Diferente da referência","Compare no monitor e ajuste alguns passos no kelvin ou no tint",IF(L15="Conferir no monitor","Compare lado a lado com a câmera de referência","Manter"))))))))</f>
        <v/>
      </c>
      <c r="N15" s="5"/>
    </row>
    <row r="16" customFormat="false" ht="24" hidden="false" customHeight="true" outlineLevel="0" collapsed="false">
      <c r="B16" s="16" t="n">
        <v>3</v>
      </c>
      <c r="C16" s="5"/>
      <c r="D16" s="5"/>
      <c r="E16" s="32"/>
      <c r="F16" s="29"/>
      <c r="G16" s="33"/>
      <c r="H16" s="32"/>
      <c r="I16" s="32"/>
      <c r="J16" s="34" t="str">
        <f aca="false">IF(OR(F16="",$J$4=""),"",F16-$J$4)</f>
        <v/>
      </c>
      <c r="K16" s="34" t="str">
        <f aca="false">IF(OR(F16="",$E$9="",$J$5=3),"",F16-$E$9)</f>
        <v/>
      </c>
      <c r="L16" s="23" t="str">
        <f aca="false">IF(AND(C16="",E16=""),"",IF(E16="Automático","Automático",IF(F16="","Sem kelvin",IF(H16="Log","Perfil log",IF(AND($E$10&lt;&gt;"",H16&lt;&gt;"",H16&lt;&gt;$E$10),"Perfil diferente",IF(IF(J16="",FALSE(),ABS(J16)&gt;$J$6),"Longe da luz",IF(IF(K16="",FALSE(),ABS(K16)&gt;$J$7),"Diferente da referência",IF(I16&lt;&gt;"Sim","Conferir no monitor","OK"))))))))</f>
        <v/>
      </c>
      <c r="M16" s="26" t="str">
        <f aca="false">IF(L16="","",IF(L16="Automático","Passe para manual e faça o balanço com o cartão branco",IF(L16="Sem kelvin","Anote o kelvin que a câmera mostra",IF(L16="Perfil log","Ponha o perfil padrão, ou aplique a correção na mesa de corte",IF(L16="Perfil diferente","Ponha o mesmo perfil da câmera de referência e refaça o balanço",IF(L16="Longe da luz","Confira o modo e refaça o balanço com o cartão sob a luz do evento",IF(L16="Diferente da referência","Compare no monitor e ajuste alguns passos no kelvin ou no tint",IF(L16="Conferir no monitor","Compare lado a lado com a câmera de referência","Manter"))))))))</f>
        <v/>
      </c>
      <c r="N16" s="5"/>
    </row>
    <row r="17" customFormat="false" ht="24" hidden="false" customHeight="true" outlineLevel="0" collapsed="false">
      <c r="B17" s="16" t="n">
        <v>4</v>
      </c>
      <c r="C17" s="5"/>
      <c r="D17" s="5"/>
      <c r="E17" s="32"/>
      <c r="F17" s="29"/>
      <c r="G17" s="33"/>
      <c r="H17" s="32"/>
      <c r="I17" s="32"/>
      <c r="J17" s="34" t="str">
        <f aca="false">IF(OR(F17="",$J$4=""),"",F17-$J$4)</f>
        <v/>
      </c>
      <c r="K17" s="34" t="str">
        <f aca="false">IF(OR(F17="",$E$9="",$J$5=4),"",F17-$E$9)</f>
        <v/>
      </c>
      <c r="L17" s="23" t="str">
        <f aca="false">IF(AND(C17="",E17=""),"",IF(E17="Automático","Automático",IF(F17="","Sem kelvin",IF(H17="Log","Perfil log",IF(AND($E$10&lt;&gt;"",H17&lt;&gt;"",H17&lt;&gt;$E$10),"Perfil diferente",IF(IF(J17="",FALSE(),ABS(J17)&gt;$J$6),"Longe da luz",IF(IF(K17="",FALSE(),ABS(K17)&gt;$J$7),"Diferente da referência",IF(I17&lt;&gt;"Sim","Conferir no monitor","OK"))))))))</f>
        <v/>
      </c>
      <c r="M17" s="26" t="str">
        <f aca="false">IF(L17="","",IF(L17="Automático","Passe para manual e faça o balanço com o cartão branco",IF(L17="Sem kelvin","Anote o kelvin que a câmera mostra",IF(L17="Perfil log","Ponha o perfil padrão, ou aplique a correção na mesa de corte",IF(L17="Perfil diferente","Ponha o mesmo perfil da câmera de referência e refaça o balanço",IF(L17="Longe da luz","Confira o modo e refaça o balanço com o cartão sob a luz do evento",IF(L17="Diferente da referência","Compare no monitor e ajuste alguns passos no kelvin ou no tint",IF(L17="Conferir no monitor","Compare lado a lado com a câmera de referência","Manter"))))))))</f>
        <v/>
      </c>
      <c r="N17" s="5"/>
    </row>
    <row r="18" customFormat="false" ht="24" hidden="false" customHeight="true" outlineLevel="0" collapsed="false">
      <c r="B18" s="16" t="n">
        <v>5</v>
      </c>
      <c r="C18" s="5"/>
      <c r="D18" s="5"/>
      <c r="E18" s="32"/>
      <c r="F18" s="29"/>
      <c r="G18" s="33"/>
      <c r="H18" s="32"/>
      <c r="I18" s="32"/>
      <c r="J18" s="34" t="str">
        <f aca="false">IF(OR(F18="",$J$4=""),"",F18-$J$4)</f>
        <v/>
      </c>
      <c r="K18" s="34" t="str">
        <f aca="false">IF(OR(F18="",$E$9="",$J$5=5),"",F18-$E$9)</f>
        <v/>
      </c>
      <c r="L18" s="23" t="str">
        <f aca="false">IF(AND(C18="",E18=""),"",IF(E18="Automático","Automático",IF(F18="","Sem kelvin",IF(H18="Log","Perfil log",IF(AND($E$10&lt;&gt;"",H18&lt;&gt;"",H18&lt;&gt;$E$10),"Perfil diferente",IF(IF(J18="",FALSE(),ABS(J18)&gt;$J$6),"Longe da luz",IF(IF(K18="",FALSE(),ABS(K18)&gt;$J$7),"Diferente da referência",IF(I18&lt;&gt;"Sim","Conferir no monitor","OK"))))))))</f>
        <v/>
      </c>
      <c r="M18" s="26" t="str">
        <f aca="false">IF(L18="","",IF(L18="Automático","Passe para manual e faça o balanço com o cartão branco",IF(L18="Sem kelvin","Anote o kelvin que a câmera mostra",IF(L18="Perfil log","Ponha o perfil padrão, ou aplique a correção na mesa de corte",IF(L18="Perfil diferente","Ponha o mesmo perfil da câmera de referência e refaça o balanço",IF(L18="Longe da luz","Confira o modo e refaça o balanço com o cartão sob a luz do evento",IF(L18="Diferente da referência","Compare no monitor e ajuste alguns passos no kelvin ou no tint",IF(L18="Conferir no monitor","Compare lado a lado com a câmera de referência","Manter"))))))))</f>
        <v/>
      </c>
      <c r="N18" s="5"/>
    </row>
    <row r="19" customFormat="false" ht="24" hidden="false" customHeight="true" outlineLevel="0" collapsed="false">
      <c r="B19" s="16" t="n">
        <v>6</v>
      </c>
      <c r="C19" s="5"/>
      <c r="D19" s="5"/>
      <c r="E19" s="32"/>
      <c r="F19" s="29"/>
      <c r="G19" s="33"/>
      <c r="H19" s="32"/>
      <c r="I19" s="32"/>
      <c r="J19" s="34" t="str">
        <f aca="false">IF(OR(F19="",$J$4=""),"",F19-$J$4)</f>
        <v/>
      </c>
      <c r="K19" s="34" t="str">
        <f aca="false">IF(OR(F19="",$E$9="",$J$5=6),"",F19-$E$9)</f>
        <v/>
      </c>
      <c r="L19" s="23" t="str">
        <f aca="false">IF(AND(C19="",E19=""),"",IF(E19="Automático","Automático",IF(F19="","Sem kelvin",IF(H19="Log","Perfil log",IF(AND($E$10&lt;&gt;"",H19&lt;&gt;"",H19&lt;&gt;$E$10),"Perfil diferente",IF(IF(J19="",FALSE(),ABS(J19)&gt;$J$6),"Longe da luz",IF(IF(K19="",FALSE(),ABS(K19)&gt;$J$7),"Diferente da referência",IF(I19&lt;&gt;"Sim","Conferir no monitor","OK"))))))))</f>
        <v/>
      </c>
      <c r="M19" s="26" t="str">
        <f aca="false">IF(L19="","",IF(L19="Automático","Passe para manual e faça o balanço com o cartão branco",IF(L19="Sem kelvin","Anote o kelvin que a câmera mostra",IF(L19="Perfil log","Ponha o perfil padrão, ou aplique a correção na mesa de corte",IF(L19="Perfil diferente","Ponha o mesmo perfil da câmera de referência e refaça o balanço",IF(L19="Longe da luz","Confira o modo e refaça o balanço com o cartão sob a luz do evento",IF(L19="Diferente da referência","Compare no monitor e ajuste alguns passos no kelvin ou no tint",IF(L19="Conferir no monitor","Compare lado a lado com a câmera de referência","Manter"))))))))</f>
        <v/>
      </c>
      <c r="N19" s="5"/>
    </row>
    <row r="20" customFormat="false" ht="24" hidden="false" customHeight="true" outlineLevel="0" collapsed="false">
      <c r="B20" s="16" t="n">
        <v>7</v>
      </c>
      <c r="C20" s="5"/>
      <c r="D20" s="5"/>
      <c r="E20" s="32"/>
      <c r="F20" s="29"/>
      <c r="G20" s="33"/>
      <c r="H20" s="32"/>
      <c r="I20" s="32"/>
      <c r="J20" s="34" t="str">
        <f aca="false">IF(OR(F20="",$J$4=""),"",F20-$J$4)</f>
        <v/>
      </c>
      <c r="K20" s="34" t="str">
        <f aca="false">IF(OR(F20="",$E$9="",$J$5=7),"",F20-$E$9)</f>
        <v/>
      </c>
      <c r="L20" s="23" t="str">
        <f aca="false">IF(AND(C20="",E20=""),"",IF(E20="Automático","Automático",IF(F20="","Sem kelvin",IF(H20="Log","Perfil log",IF(AND($E$10&lt;&gt;"",H20&lt;&gt;"",H20&lt;&gt;$E$10),"Perfil diferente",IF(IF(J20="",FALSE(),ABS(J20)&gt;$J$6),"Longe da luz",IF(IF(K20="",FALSE(),ABS(K20)&gt;$J$7),"Diferente da referência",IF(I20&lt;&gt;"Sim","Conferir no monitor","OK"))))))))</f>
        <v/>
      </c>
      <c r="M20" s="26" t="str">
        <f aca="false">IF(L20="","",IF(L20="Automático","Passe para manual e faça o balanço com o cartão branco",IF(L20="Sem kelvin","Anote o kelvin que a câmera mostra",IF(L20="Perfil log","Ponha o perfil padrão, ou aplique a correção na mesa de corte",IF(L20="Perfil diferente","Ponha o mesmo perfil da câmera de referência e refaça o balanço",IF(L20="Longe da luz","Confira o modo e refaça o balanço com o cartão sob a luz do evento",IF(L20="Diferente da referência","Compare no monitor e ajuste alguns passos no kelvin ou no tint",IF(L20="Conferir no monitor","Compare lado a lado com a câmera de referência","Manter"))))))))</f>
        <v/>
      </c>
      <c r="N20" s="5"/>
    </row>
    <row r="21" customFormat="false" ht="24" hidden="false" customHeight="true" outlineLevel="0" collapsed="false">
      <c r="B21" s="16" t="n">
        <v>8</v>
      </c>
      <c r="C21" s="5"/>
      <c r="D21" s="5"/>
      <c r="E21" s="32"/>
      <c r="F21" s="29"/>
      <c r="G21" s="33"/>
      <c r="H21" s="32"/>
      <c r="I21" s="32"/>
      <c r="J21" s="34" t="str">
        <f aca="false">IF(OR(F21="",$J$4=""),"",F21-$J$4)</f>
        <v/>
      </c>
      <c r="K21" s="34" t="str">
        <f aca="false">IF(OR(F21="",$E$9="",$J$5=8),"",F21-$E$9)</f>
        <v/>
      </c>
      <c r="L21" s="23" t="str">
        <f aca="false">IF(AND(C21="",E21=""),"",IF(E21="Automático","Automático",IF(F21="","Sem kelvin",IF(H21="Log","Perfil log",IF(AND($E$10&lt;&gt;"",H21&lt;&gt;"",H21&lt;&gt;$E$10),"Perfil diferente",IF(IF(J21="",FALSE(),ABS(J21)&gt;$J$6),"Longe da luz",IF(IF(K21="",FALSE(),ABS(K21)&gt;$J$7),"Diferente da referência",IF(I21&lt;&gt;"Sim","Conferir no monitor","OK"))))))))</f>
        <v/>
      </c>
      <c r="M21" s="26" t="str">
        <f aca="false">IF(L21="","",IF(L21="Automático","Passe para manual e faça o balanço com o cartão branco",IF(L21="Sem kelvin","Anote o kelvin que a câmera mostra",IF(L21="Perfil log","Ponha o perfil padrão, ou aplique a correção na mesa de corte",IF(L21="Perfil diferente","Ponha o mesmo perfil da câmera de referência e refaça o balanço",IF(L21="Longe da luz","Confira o modo e refaça o balanço com o cartão sob a luz do evento",IF(L21="Diferente da referência","Compare no monitor e ajuste alguns passos no kelvin ou no tint",IF(L21="Conferir no monitor","Compare lado a lado com a câmera de referência","Manter"))))))))</f>
        <v/>
      </c>
      <c r="N21" s="5"/>
    </row>
    <row r="23" customFormat="false" ht="21.75" hidden="false" customHeight="true" outlineLevel="0" collapsed="false">
      <c r="B23" s="11" t="s">
        <v>96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9.5" hidden="false" customHeight="true" outlineLevel="0" collapsed="false">
      <c r="B24" s="27" t="s">
        <v>97</v>
      </c>
      <c r="C24" s="27"/>
      <c r="D24" s="27"/>
      <c r="E24" s="27"/>
      <c r="F24" s="23" t="n">
        <f aca="false">COUNTA(C14:C21)</f>
        <v>0</v>
      </c>
      <c r="G24" s="23"/>
    </row>
    <row r="25" customFormat="false" ht="19.5" hidden="false" customHeight="true" outlineLevel="0" collapsed="false">
      <c r="B25" s="27" t="s">
        <v>127</v>
      </c>
      <c r="C25" s="27"/>
      <c r="D25" s="27"/>
      <c r="E25" s="27"/>
      <c r="F25" s="23" t="n">
        <f aca="false">COUNTIF(L14:L21,"OK")</f>
        <v>0</v>
      </c>
      <c r="G25" s="23"/>
    </row>
    <row r="26" customFormat="false" ht="19.5" hidden="false" customHeight="true" outlineLevel="0" collapsed="false">
      <c r="B26" s="27" t="s">
        <v>128</v>
      </c>
      <c r="C26" s="27"/>
      <c r="D26" s="27"/>
      <c r="E26" s="27"/>
      <c r="F26" s="23" t="n">
        <f aca="false">COUNTIF(L14:L21,"Automático")+COUNTIF(L14:L21,"Perfil log")</f>
        <v>0</v>
      </c>
      <c r="G26" s="23"/>
    </row>
    <row r="27" customFormat="false" ht="19.5" hidden="false" customHeight="true" outlineLevel="0" collapsed="false">
      <c r="B27" s="27" t="s">
        <v>129</v>
      </c>
      <c r="C27" s="27"/>
      <c r="D27" s="27"/>
      <c r="E27" s="27"/>
      <c r="F27" s="30" t="str">
        <f aca="false">IF(COUNT(F14:F21)&lt;2,"",MAX(F14:F21)-MIN(F14:F21))</f>
        <v/>
      </c>
      <c r="G27" s="30"/>
    </row>
    <row r="28" customFormat="false" ht="21.75" hidden="false" customHeight="true" outlineLevel="0" collapsed="false">
      <c r="B28" s="27" t="s">
        <v>100</v>
      </c>
      <c r="C28" s="27"/>
      <c r="D28" s="27"/>
      <c r="E28" s="27"/>
      <c r="F28" s="28" t="str">
        <f aca="false">IF(F24=0,"Liste as câmeras",IF($J$4="","Informe a luz principal",IF(F26&gt;0,"Há câmera em automático ou em log: corrija antes do evento",IF(F25&lt;F24,"Há câmera a ajustar ou a conferir","OK"))))</f>
        <v>Liste as câmeras</v>
      </c>
      <c r="G28" s="28"/>
      <c r="H28" s="28"/>
      <c r="I28" s="28"/>
      <c r="J28" s="28"/>
      <c r="K28" s="28"/>
      <c r="L28" s="28"/>
      <c r="M28" s="28"/>
    </row>
  </sheetData>
  <mergeCells count="33">
    <mergeCell ref="B1:N1"/>
    <mergeCell ref="B2:N2"/>
    <mergeCell ref="B4:C4"/>
    <mergeCell ref="D4:E4"/>
    <mergeCell ref="G4:I4"/>
    <mergeCell ref="K4:N4"/>
    <mergeCell ref="B5:C5"/>
    <mergeCell ref="D5:E5"/>
    <mergeCell ref="G5:I5"/>
    <mergeCell ref="K5:N5"/>
    <mergeCell ref="B6:C6"/>
    <mergeCell ref="D6:E6"/>
    <mergeCell ref="G6:I6"/>
    <mergeCell ref="K6:N6"/>
    <mergeCell ref="B7:C7"/>
    <mergeCell ref="D7:E7"/>
    <mergeCell ref="G7:I7"/>
    <mergeCell ref="K7:N7"/>
    <mergeCell ref="G8:N8"/>
    <mergeCell ref="B9:D9"/>
    <mergeCell ref="B10:D10"/>
    <mergeCell ref="B11:N11"/>
    <mergeCell ref="B23:N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M28"/>
  </mergeCells>
  <conditionalFormatting sqref="L14:L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"Conferir no monitor"</formula>
    </cfRule>
    <cfRule type="cellIs" priority="4" operator="equal" aboveAverage="0" equalAverage="0" bottom="0" percent="0" rank="0" text="" dxfId="1">
      <formula>"Diferente da referência"</formula>
    </cfRule>
    <cfRule type="cellIs" priority="5" operator="equal" aboveAverage="0" equalAverage="0" bottom="0" percent="0" rank="0" text="" dxfId="1">
      <formula>"Perfil diferente"</formula>
    </cfRule>
    <cfRule type="cellIs" priority="6" operator="equal" aboveAverage="0" equalAverage="0" bottom="0" percent="0" rank="0" text="" dxfId="1">
      <formula>"Sem kelvin"</formula>
    </cfRule>
    <cfRule type="cellIs" priority="7" operator="equal" aboveAverage="0" equalAverage="0" bottom="0" percent="0" rank="0" text="" dxfId="2">
      <formula>"Longe da luz"</formula>
    </cfRule>
    <cfRule type="cellIs" priority="8" operator="equal" aboveAverage="0" equalAverage="0" bottom="0" percent="0" rank="0" text="" dxfId="2">
      <formula>"Automático"</formula>
    </cfRule>
    <cfRule type="cellIs" priority="9" operator="equal" aboveAverage="0" equalAverage="0" bottom="0" percent="0" rank="0" text="" dxfId="2">
      <formula>"Perfil log"</formula>
    </cfRule>
  </conditionalFormatting>
  <conditionalFormatting sqref="F28:M28">
    <cfRule type="cellIs" priority="10" operator="equal" aboveAverage="0" equalAverage="0" bottom="0" percent="0" rank="0" text="" dxfId="0">
      <formula>"OK"</formula>
    </cfRule>
    <cfRule type="cellIs" priority="11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J4:J7" type="decimal">
      <formula1>-1000000000</formula1>
      <formula2>1000000000</formula2>
    </dataValidation>
    <dataValidation allowBlank="true" error="Escolha uma das opções da lista." errorStyle="stop" errorTitle="Valor inválido" operator="between" prompt="Cartão branco, Kelvin, Preset ou Automático." promptTitle="Opções" showDropDown="false" showErrorMessage="true" showInputMessage="true" sqref="E14:E21" type="list">
      <formula1>"Cartão branco,Kelvin,Preset,Automático"</formula1>
      <formula2>0</formula2>
    </dataValidation>
    <dataValidation allowBlank="true" error="Escolha uma das opções da lista." errorStyle="stop" errorTitle="Valor inválido" operator="between" prompt="O perfil de imagem da câmera." promptTitle="Opções" showDropDown="false" showErrorMessage="true" showInputMessage="true" sqref="H14:H21" type="list">
      <formula1>"Padrão,Neutro,Vívido,Cinema,Log,Outro"</formula1>
      <formula2>0</formula2>
    </dataValidation>
    <dataValidation allowBlank="true" error="Escolha uma das opções da lista." errorStyle="stop" errorTitle="Valor inválido" operator="between" prompt="Comparada lado a lado no mesmo monitor?" promptTitle="Opções" showDropDown="false" showErrorMessage="true" showInputMessage="true" sqref="I14:I21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4:G2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56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130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131</v>
      </c>
      <c r="C2" s="2"/>
      <c r="D2" s="2"/>
      <c r="E2" s="2"/>
      <c r="F2" s="2"/>
    </row>
    <row r="4" customFormat="false" ht="21.75" hidden="false" customHeight="true" outlineLevel="0" collapsed="false">
      <c r="B4" s="11" t="s">
        <v>132</v>
      </c>
      <c r="C4" s="11"/>
      <c r="D4" s="11"/>
      <c r="E4" s="11"/>
      <c r="F4" s="11"/>
    </row>
    <row r="5" customFormat="false" ht="21.75" hidden="false" customHeight="true" outlineLevel="0" collapsed="false">
      <c r="B5" s="8" t="s">
        <v>68</v>
      </c>
      <c r="C5" s="8" t="s">
        <v>133</v>
      </c>
      <c r="D5" s="8" t="s">
        <v>134</v>
      </c>
      <c r="E5" s="8" t="s">
        <v>135</v>
      </c>
      <c r="F5" s="8" t="s">
        <v>136</v>
      </c>
    </row>
    <row r="6" customFormat="false" ht="19.5" hidden="false" customHeight="true" outlineLevel="0" collapsed="false">
      <c r="B6" s="35" t="s">
        <v>137</v>
      </c>
      <c r="C6" s="36" t="n">
        <v>36</v>
      </c>
      <c r="D6" s="36" t="n">
        <v>24</v>
      </c>
      <c r="E6" s="17" t="n">
        <f aca="false">IF(C6="","",ROUND(36/C6,1))</f>
        <v>1</v>
      </c>
      <c r="F6" s="7" t="s">
        <v>138</v>
      </c>
    </row>
    <row r="7" customFormat="false" ht="19.5" hidden="false" customHeight="true" outlineLevel="0" collapsed="false">
      <c r="B7" s="35" t="s">
        <v>139</v>
      </c>
      <c r="C7" s="36" t="n">
        <v>24</v>
      </c>
      <c r="D7" s="36" t="n">
        <v>13.5</v>
      </c>
      <c r="E7" s="17" t="n">
        <f aca="false">IF(C7="","",ROUND(36/C7,1))</f>
        <v>1.5</v>
      </c>
      <c r="F7" s="7" t="s">
        <v>140</v>
      </c>
    </row>
    <row r="8" customFormat="false" ht="19.5" hidden="false" customHeight="true" outlineLevel="0" collapsed="false">
      <c r="B8" s="35" t="s">
        <v>141</v>
      </c>
      <c r="C8" s="36" t="n">
        <v>23.5</v>
      </c>
      <c r="D8" s="36" t="n">
        <v>15.6</v>
      </c>
      <c r="E8" s="17" t="n">
        <f aca="false">IF(C8="","",ROUND(36/C8,1))</f>
        <v>1.5</v>
      </c>
      <c r="F8" s="7" t="s">
        <v>142</v>
      </c>
    </row>
    <row r="9" customFormat="false" ht="19.5" hidden="false" customHeight="true" outlineLevel="0" collapsed="false">
      <c r="B9" s="35" t="s">
        <v>143</v>
      </c>
      <c r="C9" s="36" t="n">
        <v>22.3</v>
      </c>
      <c r="D9" s="36" t="n">
        <v>14.9</v>
      </c>
      <c r="E9" s="17" t="n">
        <f aca="false">IF(C9="","",ROUND(36/C9,1))</f>
        <v>1.6</v>
      </c>
      <c r="F9" s="7" t="s">
        <v>144</v>
      </c>
    </row>
    <row r="10" customFormat="false" ht="19.5" hidden="false" customHeight="true" outlineLevel="0" collapsed="false">
      <c r="B10" s="35" t="s">
        <v>93</v>
      </c>
      <c r="C10" s="36" t="n">
        <v>17.3</v>
      </c>
      <c r="D10" s="36" t="n">
        <v>13</v>
      </c>
      <c r="E10" s="17" t="n">
        <f aca="false">IF(C10="","",ROUND(36/C10,1))</f>
        <v>2.1</v>
      </c>
      <c r="F10" s="7" t="s">
        <v>145</v>
      </c>
    </row>
    <row r="11" customFormat="false" ht="19.5" hidden="false" customHeight="true" outlineLevel="0" collapsed="false">
      <c r="B11" s="35" t="s">
        <v>146</v>
      </c>
      <c r="C11" s="36" t="n">
        <v>13.2</v>
      </c>
      <c r="D11" s="36" t="n">
        <v>8.8</v>
      </c>
      <c r="E11" s="17" t="n">
        <f aca="false">IF(C11="","",ROUND(36/C11,1))</f>
        <v>2.7</v>
      </c>
      <c r="F11" s="7" t="s">
        <v>147</v>
      </c>
    </row>
    <row r="12" customFormat="false" ht="19.5" hidden="false" customHeight="true" outlineLevel="0" collapsed="false">
      <c r="B12" s="35" t="s">
        <v>148</v>
      </c>
      <c r="C12" s="36" t="n">
        <v>9.6</v>
      </c>
      <c r="D12" s="36" t="n">
        <v>5.4</v>
      </c>
      <c r="E12" s="17" t="n">
        <f aca="false">IF(C12="","",ROUND(36/C12,1))</f>
        <v>3.8</v>
      </c>
      <c r="F12" s="7" t="s">
        <v>149</v>
      </c>
    </row>
    <row r="13" customFormat="false" ht="19.5" hidden="false" customHeight="true" outlineLevel="0" collapsed="false">
      <c r="B13" s="35" t="s">
        <v>150</v>
      </c>
      <c r="C13" s="36" t="n">
        <v>6.2</v>
      </c>
      <c r="D13" s="36" t="n">
        <v>4.6</v>
      </c>
      <c r="E13" s="17" t="n">
        <f aca="false">IF(C13="","",ROUND(36/C13,1))</f>
        <v>5.8</v>
      </c>
      <c r="F13" s="7" t="s">
        <v>151</v>
      </c>
    </row>
    <row r="14" customFormat="false" ht="19.5" hidden="false" customHeight="true" outlineLevel="0" collapsed="false">
      <c r="B14" s="35" t="s">
        <v>152</v>
      </c>
      <c r="C14" s="36" t="n">
        <v>5.6</v>
      </c>
      <c r="D14" s="36" t="n">
        <v>3.2</v>
      </c>
      <c r="E14" s="17" t="n">
        <f aca="false">IF(C14="","",ROUND(36/C14,1))</f>
        <v>6.4</v>
      </c>
      <c r="F14" s="7" t="s">
        <v>153</v>
      </c>
    </row>
    <row r="15" customFormat="false" ht="19.5" hidden="false" customHeight="true" outlineLevel="0" collapsed="false">
      <c r="B15" s="35" t="s">
        <v>154</v>
      </c>
      <c r="C15" s="36" t="n">
        <v>4.8</v>
      </c>
      <c r="D15" s="36" t="n">
        <v>3.6</v>
      </c>
      <c r="E15" s="17" t="n">
        <f aca="false">IF(C15="","",ROUND(36/C15,1))</f>
        <v>7.5</v>
      </c>
      <c r="F15" s="7" t="s">
        <v>155</v>
      </c>
    </row>
    <row r="16" customFormat="false" ht="19.5" hidden="false" customHeight="true" outlineLevel="0" collapsed="false">
      <c r="B16" s="35" t="s">
        <v>156</v>
      </c>
      <c r="C16" s="18"/>
      <c r="D16" s="18"/>
      <c r="E16" s="17" t="str">
        <f aca="false">IF(C16="","",ROUND(36/C16,1))</f>
        <v/>
      </c>
      <c r="F16" s="7" t="s">
        <v>157</v>
      </c>
    </row>
    <row r="17" customFormat="false" ht="27" hidden="false" customHeight="true" outlineLevel="0" collapsed="false">
      <c r="B17" s="9" t="s">
        <v>158</v>
      </c>
      <c r="C17" s="9"/>
      <c r="D17" s="9"/>
      <c r="E17" s="9"/>
      <c r="F17" s="9"/>
    </row>
    <row r="19" customFormat="false" ht="21.75" hidden="false" customHeight="true" outlineLevel="0" collapsed="false">
      <c r="B19" s="11" t="s">
        <v>159</v>
      </c>
      <c r="C19" s="11"/>
      <c r="D19" s="11"/>
      <c r="E19" s="11"/>
      <c r="F19" s="11"/>
    </row>
    <row r="20" customFormat="false" ht="21.75" hidden="false" customHeight="true" outlineLevel="0" collapsed="false">
      <c r="B20" s="8" t="s">
        <v>160</v>
      </c>
      <c r="C20" s="23" t="s">
        <v>161</v>
      </c>
      <c r="D20" s="23"/>
      <c r="E20" s="8" t="s">
        <v>162</v>
      </c>
      <c r="F20" s="8" t="s">
        <v>83</v>
      </c>
    </row>
    <row r="21" customFormat="false" ht="31.5" hidden="false" customHeight="true" outlineLevel="0" collapsed="false">
      <c r="B21" s="35" t="s">
        <v>163</v>
      </c>
      <c r="C21" s="37" t="s">
        <v>164</v>
      </c>
      <c r="D21" s="37"/>
      <c r="E21" s="37" t="s">
        <v>165</v>
      </c>
      <c r="F21" s="7" t="s">
        <v>166</v>
      </c>
    </row>
    <row r="22" customFormat="false" ht="31.5" hidden="false" customHeight="true" outlineLevel="0" collapsed="false">
      <c r="B22" s="35" t="s">
        <v>167</v>
      </c>
      <c r="C22" s="37" t="s">
        <v>168</v>
      </c>
      <c r="D22" s="37"/>
      <c r="E22" s="37" t="s">
        <v>169</v>
      </c>
      <c r="F22" s="7" t="s">
        <v>170</v>
      </c>
    </row>
    <row r="23" customFormat="false" ht="31.5" hidden="false" customHeight="true" outlineLevel="0" collapsed="false">
      <c r="B23" s="35" t="s">
        <v>171</v>
      </c>
      <c r="C23" s="37" t="s">
        <v>172</v>
      </c>
      <c r="D23" s="37"/>
      <c r="E23" s="37" t="s">
        <v>169</v>
      </c>
      <c r="F23" s="7" t="s">
        <v>173</v>
      </c>
    </row>
    <row r="24" customFormat="false" ht="31.5" hidden="false" customHeight="true" outlineLevel="0" collapsed="false">
      <c r="B24" s="35" t="s">
        <v>174</v>
      </c>
      <c r="C24" s="37" t="s">
        <v>175</v>
      </c>
      <c r="D24" s="37"/>
      <c r="E24" s="37" t="s">
        <v>165</v>
      </c>
      <c r="F24" s="7" t="s">
        <v>176</v>
      </c>
    </row>
    <row r="25" customFormat="false" ht="31.5" hidden="false" customHeight="true" outlineLevel="0" collapsed="false">
      <c r="B25" s="35" t="s">
        <v>177</v>
      </c>
      <c r="C25" s="37" t="s">
        <v>178</v>
      </c>
      <c r="D25" s="37"/>
      <c r="E25" s="37" t="s">
        <v>179</v>
      </c>
      <c r="F25" s="7" t="s">
        <v>180</v>
      </c>
    </row>
    <row r="26" customFormat="false" ht="31.5" hidden="false" customHeight="true" outlineLevel="0" collapsed="false">
      <c r="B26" s="35" t="s">
        <v>181</v>
      </c>
      <c r="C26" s="37" t="s">
        <v>182</v>
      </c>
      <c r="D26" s="37"/>
      <c r="E26" s="37" t="s">
        <v>179</v>
      </c>
      <c r="F26" s="7" t="s">
        <v>183</v>
      </c>
    </row>
    <row r="27" customFormat="false" ht="31.5" hidden="false" customHeight="true" outlineLevel="0" collapsed="false">
      <c r="B27" s="35" t="s">
        <v>184</v>
      </c>
      <c r="C27" s="37" t="s">
        <v>185</v>
      </c>
      <c r="D27" s="37"/>
      <c r="E27" s="37" t="s">
        <v>186</v>
      </c>
      <c r="F27" s="7" t="s">
        <v>187</v>
      </c>
    </row>
    <row r="28" customFormat="false" ht="31.5" hidden="false" customHeight="true" outlineLevel="0" collapsed="false">
      <c r="B28" s="35" t="s">
        <v>188</v>
      </c>
      <c r="C28" s="37" t="s">
        <v>189</v>
      </c>
      <c r="D28" s="37"/>
      <c r="E28" s="37" t="s">
        <v>165</v>
      </c>
      <c r="F28" s="7" t="s">
        <v>190</v>
      </c>
    </row>
    <row r="29" customFormat="false" ht="31.5" hidden="false" customHeight="true" outlineLevel="0" collapsed="false">
      <c r="B29" s="35" t="s">
        <v>191</v>
      </c>
      <c r="C29" s="37" t="s">
        <v>192</v>
      </c>
      <c r="D29" s="37"/>
      <c r="E29" s="37" t="s">
        <v>193</v>
      </c>
      <c r="F29" s="7" t="s">
        <v>194</v>
      </c>
    </row>
    <row r="31" customFormat="false" ht="21.75" hidden="false" customHeight="true" outlineLevel="0" collapsed="false">
      <c r="B31" s="11" t="s">
        <v>195</v>
      </c>
      <c r="C31" s="11"/>
      <c r="D31" s="11"/>
      <c r="E31" s="11"/>
      <c r="F31" s="11"/>
    </row>
    <row r="32" customFormat="false" ht="21.75" hidden="false" customHeight="true" outlineLevel="0" collapsed="false">
      <c r="B32" s="8" t="s">
        <v>196</v>
      </c>
      <c r="C32" s="23" t="s">
        <v>197</v>
      </c>
      <c r="D32" s="23"/>
      <c r="E32" s="8" t="s">
        <v>198</v>
      </c>
      <c r="F32" s="8" t="s">
        <v>199</v>
      </c>
    </row>
    <row r="33" customFormat="false" ht="19.5" hidden="false" customHeight="true" outlineLevel="0" collapsed="false">
      <c r="B33" s="35" t="s">
        <v>200</v>
      </c>
      <c r="C33" s="37" t="s">
        <v>201</v>
      </c>
      <c r="D33" s="37"/>
      <c r="E33" s="37" t="s">
        <v>202</v>
      </c>
      <c r="F33" s="7" t="s">
        <v>203</v>
      </c>
    </row>
    <row r="34" customFormat="false" ht="19.5" hidden="false" customHeight="true" outlineLevel="0" collapsed="false">
      <c r="B34" s="35" t="s">
        <v>204</v>
      </c>
      <c r="C34" s="37" t="s">
        <v>205</v>
      </c>
      <c r="D34" s="37"/>
      <c r="E34" s="37" t="s">
        <v>206</v>
      </c>
      <c r="F34" s="7" t="s">
        <v>207</v>
      </c>
    </row>
    <row r="35" customFormat="false" ht="19.5" hidden="false" customHeight="true" outlineLevel="0" collapsed="false">
      <c r="B35" s="35" t="s">
        <v>208</v>
      </c>
      <c r="C35" s="37" t="s">
        <v>209</v>
      </c>
      <c r="D35" s="37"/>
      <c r="E35" s="37" t="s">
        <v>210</v>
      </c>
      <c r="F35" s="7" t="s">
        <v>211</v>
      </c>
    </row>
    <row r="36" customFormat="false" ht="19.5" hidden="false" customHeight="true" outlineLevel="0" collapsed="false">
      <c r="B36" s="35" t="s">
        <v>212</v>
      </c>
      <c r="C36" s="37" t="s">
        <v>213</v>
      </c>
      <c r="D36" s="37"/>
      <c r="E36" s="37" t="s">
        <v>214</v>
      </c>
      <c r="F36" s="7" t="s">
        <v>215</v>
      </c>
    </row>
    <row r="37" customFormat="false" ht="19.5" hidden="false" customHeight="true" outlineLevel="0" collapsed="false">
      <c r="B37" s="35" t="s">
        <v>216</v>
      </c>
      <c r="C37" s="37" t="s">
        <v>217</v>
      </c>
      <c r="D37" s="37"/>
      <c r="E37" s="37" t="s">
        <v>218</v>
      </c>
      <c r="F37" s="7" t="s">
        <v>219</v>
      </c>
    </row>
    <row r="38" customFormat="false" ht="19.5" hidden="false" customHeight="true" outlineLevel="0" collapsed="false">
      <c r="B38" s="35" t="s">
        <v>220</v>
      </c>
      <c r="C38" s="37" t="s">
        <v>221</v>
      </c>
      <c r="D38" s="37"/>
      <c r="E38" s="37" t="s">
        <v>222</v>
      </c>
      <c r="F38" s="7" t="s">
        <v>223</v>
      </c>
    </row>
    <row r="39" customFormat="false" ht="19.5" hidden="false" customHeight="true" outlineLevel="0" collapsed="false">
      <c r="B39" s="35" t="s">
        <v>224</v>
      </c>
      <c r="C39" s="37" t="s">
        <v>225</v>
      </c>
      <c r="D39" s="37"/>
      <c r="E39" s="37" t="s">
        <v>226</v>
      </c>
      <c r="F39" s="7" t="s">
        <v>227</v>
      </c>
    </row>
    <row r="40" customFormat="false" ht="19.5" hidden="false" customHeight="true" outlineLevel="0" collapsed="false">
      <c r="B40" s="35" t="s">
        <v>228</v>
      </c>
      <c r="C40" s="37" t="s">
        <v>229</v>
      </c>
      <c r="D40" s="37"/>
      <c r="E40" s="37" t="s">
        <v>230</v>
      </c>
      <c r="F40" s="7" t="s">
        <v>231</v>
      </c>
    </row>
    <row r="42" customFormat="false" ht="21.75" hidden="false" customHeight="true" outlineLevel="0" collapsed="false">
      <c r="B42" s="11" t="s">
        <v>232</v>
      </c>
      <c r="C42" s="11"/>
      <c r="D42" s="11"/>
      <c r="E42" s="11"/>
      <c r="F42" s="11"/>
    </row>
    <row r="43" customFormat="false" ht="21.75" hidden="false" customHeight="true" outlineLevel="0" collapsed="false">
      <c r="B43" s="8" t="s">
        <v>48</v>
      </c>
      <c r="C43" s="23" t="s">
        <v>233</v>
      </c>
      <c r="D43" s="23"/>
      <c r="E43" s="8" t="s">
        <v>74</v>
      </c>
      <c r="F43" s="8" t="s">
        <v>234</v>
      </c>
    </row>
    <row r="44" customFormat="false" ht="31.5" hidden="false" customHeight="true" outlineLevel="0" collapsed="false">
      <c r="B44" s="35" t="s">
        <v>235</v>
      </c>
      <c r="C44" s="37" t="s">
        <v>236</v>
      </c>
      <c r="D44" s="37"/>
      <c r="E44" s="37" t="s">
        <v>237</v>
      </c>
      <c r="F44" s="7" t="s">
        <v>238</v>
      </c>
    </row>
    <row r="45" customFormat="false" ht="31.5" hidden="false" customHeight="true" outlineLevel="0" collapsed="false">
      <c r="B45" s="35" t="s">
        <v>239</v>
      </c>
      <c r="C45" s="37" t="s">
        <v>236</v>
      </c>
      <c r="D45" s="37"/>
      <c r="E45" s="37" t="s">
        <v>237</v>
      </c>
      <c r="F45" s="7" t="s">
        <v>240</v>
      </c>
    </row>
    <row r="46" customFormat="false" ht="31.5" hidden="false" customHeight="true" outlineLevel="0" collapsed="false">
      <c r="B46" s="35" t="s">
        <v>241</v>
      </c>
      <c r="C46" s="37" t="s">
        <v>242</v>
      </c>
      <c r="D46" s="37"/>
      <c r="E46" s="37" t="s">
        <v>243</v>
      </c>
      <c r="F46" s="7" t="s">
        <v>244</v>
      </c>
    </row>
    <row r="47" customFormat="false" ht="31.5" hidden="false" customHeight="true" outlineLevel="0" collapsed="false">
      <c r="B47" s="35" t="s">
        <v>245</v>
      </c>
      <c r="C47" s="37" t="s">
        <v>246</v>
      </c>
      <c r="D47" s="37"/>
      <c r="E47" s="37" t="s">
        <v>237</v>
      </c>
      <c r="F47" s="7" t="s">
        <v>247</v>
      </c>
    </row>
    <row r="48" customFormat="false" ht="31.5" hidden="false" customHeight="true" outlineLevel="0" collapsed="false">
      <c r="B48" s="35" t="s">
        <v>248</v>
      </c>
      <c r="C48" s="37" t="s">
        <v>236</v>
      </c>
      <c r="D48" s="37"/>
      <c r="E48" s="37" t="s">
        <v>237</v>
      </c>
      <c r="F48" s="7" t="s">
        <v>249</v>
      </c>
    </row>
    <row r="49" customFormat="false" ht="31.5" hidden="false" customHeight="true" outlineLevel="0" collapsed="false">
      <c r="B49" s="35" t="s">
        <v>250</v>
      </c>
      <c r="C49" s="37" t="s">
        <v>251</v>
      </c>
      <c r="D49" s="37"/>
      <c r="E49" s="37" t="s">
        <v>237</v>
      </c>
      <c r="F49" s="7" t="s">
        <v>252</v>
      </c>
    </row>
    <row r="51" customFormat="false" ht="21.75" hidden="false" customHeight="true" outlineLevel="0" collapsed="false">
      <c r="B51" s="11" t="s">
        <v>253</v>
      </c>
      <c r="C51" s="11"/>
      <c r="D51" s="11"/>
      <c r="E51" s="11"/>
      <c r="F51" s="11"/>
    </row>
    <row r="52" customFormat="false" ht="21.75" hidden="false" customHeight="true" outlineLevel="0" collapsed="false">
      <c r="B52" s="8" t="s">
        <v>117</v>
      </c>
      <c r="C52" s="23" t="s">
        <v>254</v>
      </c>
      <c r="D52" s="23"/>
      <c r="E52" s="8" t="s">
        <v>255</v>
      </c>
      <c r="F52" s="8" t="s">
        <v>256</v>
      </c>
    </row>
    <row r="53" customFormat="false" ht="31.5" hidden="false" customHeight="true" outlineLevel="0" collapsed="false">
      <c r="B53" s="35" t="s">
        <v>257</v>
      </c>
      <c r="C53" s="37" t="s">
        <v>258</v>
      </c>
      <c r="D53" s="37"/>
      <c r="E53" s="37" t="s">
        <v>259</v>
      </c>
      <c r="F53" s="7" t="s">
        <v>260</v>
      </c>
    </row>
    <row r="54" customFormat="false" ht="31.5" hidden="false" customHeight="true" outlineLevel="0" collapsed="false">
      <c r="B54" s="35" t="s">
        <v>261</v>
      </c>
      <c r="C54" s="37" t="s">
        <v>262</v>
      </c>
      <c r="D54" s="37"/>
      <c r="E54" s="37" t="s">
        <v>263</v>
      </c>
      <c r="F54" s="7" t="s">
        <v>264</v>
      </c>
    </row>
    <row r="55" customFormat="false" ht="31.5" hidden="false" customHeight="true" outlineLevel="0" collapsed="false">
      <c r="B55" s="35" t="s">
        <v>118</v>
      </c>
      <c r="C55" s="37" t="s">
        <v>265</v>
      </c>
      <c r="D55" s="37"/>
      <c r="E55" s="37" t="s">
        <v>266</v>
      </c>
      <c r="F55" s="7" t="s">
        <v>267</v>
      </c>
    </row>
    <row r="56" customFormat="false" ht="31.5" hidden="false" customHeight="true" outlineLevel="0" collapsed="false">
      <c r="B56" s="35" t="s">
        <v>268</v>
      </c>
      <c r="C56" s="37" t="s">
        <v>269</v>
      </c>
      <c r="D56" s="37"/>
      <c r="E56" s="37" t="s">
        <v>270</v>
      </c>
      <c r="F56" s="7" t="s">
        <v>271</v>
      </c>
    </row>
    <row r="57" customFormat="false" ht="15" hidden="false" customHeight="true" outlineLevel="0" collapsed="false">
      <c r="B57" s="9" t="s">
        <v>272</v>
      </c>
      <c r="C57" s="9"/>
      <c r="D57" s="9"/>
      <c r="E57" s="9"/>
      <c r="F57" s="9"/>
    </row>
  </sheetData>
  <mergeCells count="40">
    <mergeCell ref="B1:F1"/>
    <mergeCell ref="B2:F2"/>
    <mergeCell ref="B4:F4"/>
    <mergeCell ref="B17:F17"/>
    <mergeCell ref="B19:F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F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B42:F42"/>
    <mergeCell ref="C43:D43"/>
    <mergeCell ref="C44:D44"/>
    <mergeCell ref="C45:D45"/>
    <mergeCell ref="C46:D46"/>
    <mergeCell ref="C47:D47"/>
    <mergeCell ref="C48:D48"/>
    <mergeCell ref="C49:D49"/>
    <mergeCell ref="B51:F51"/>
    <mergeCell ref="C52:D52"/>
    <mergeCell ref="C53:D53"/>
    <mergeCell ref="C54:D54"/>
    <mergeCell ref="C55:D55"/>
    <mergeCell ref="C56:D56"/>
    <mergeCell ref="B57:F57"/>
  </mergeCells>
  <dataValidations count="1">
    <dataValidation allowBlank="true" error="Digite apenas o número, sem texto nem unidade." errorStyle="stop" errorTitle="Valor inválido" operator="between" showDropDown="false" showErrorMessage="true" showInputMessage="false" sqref="C16:D1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273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274</v>
      </c>
      <c r="C2" s="2"/>
      <c r="D2" s="2"/>
      <c r="E2" s="2"/>
      <c r="F2" s="2"/>
    </row>
    <row r="4" customFormat="false" ht="21.75" hidden="false" customHeight="true" outlineLevel="0" collapsed="false">
      <c r="B4" s="12" t="s">
        <v>66</v>
      </c>
      <c r="C4" s="12" t="s">
        <v>275</v>
      </c>
      <c r="D4" s="12" t="s">
        <v>276</v>
      </c>
      <c r="E4" s="12" t="s">
        <v>48</v>
      </c>
      <c r="F4" s="12" t="s">
        <v>83</v>
      </c>
    </row>
    <row r="5" customFormat="false" ht="31.5" hidden="false" customHeight="true" outlineLevel="0" collapsed="false">
      <c r="B5" s="16" t="n">
        <v>1</v>
      </c>
      <c r="C5" s="6" t="s">
        <v>277</v>
      </c>
      <c r="D5" s="7" t="s">
        <v>278</v>
      </c>
      <c r="E5" s="32"/>
      <c r="F5" s="5"/>
    </row>
    <row r="6" customFormat="false" ht="31.5" hidden="false" customHeight="true" outlineLevel="0" collapsed="false">
      <c r="B6" s="16" t="n">
        <v>2</v>
      </c>
      <c r="C6" s="6" t="s">
        <v>277</v>
      </c>
      <c r="D6" s="7" t="s">
        <v>279</v>
      </c>
      <c r="E6" s="32"/>
      <c r="F6" s="5"/>
    </row>
    <row r="7" customFormat="false" ht="31.5" hidden="false" customHeight="true" outlineLevel="0" collapsed="false">
      <c r="B7" s="16" t="n">
        <v>3</v>
      </c>
      <c r="C7" s="6" t="s">
        <v>277</v>
      </c>
      <c r="D7" s="7" t="s">
        <v>280</v>
      </c>
      <c r="E7" s="32"/>
      <c r="F7" s="5"/>
    </row>
    <row r="8" customFormat="false" ht="31.5" hidden="false" customHeight="true" outlineLevel="0" collapsed="false">
      <c r="B8" s="16" t="n">
        <v>4</v>
      </c>
      <c r="C8" s="6" t="s">
        <v>277</v>
      </c>
      <c r="D8" s="7" t="s">
        <v>281</v>
      </c>
      <c r="E8" s="32"/>
      <c r="F8" s="5"/>
    </row>
    <row r="9" customFormat="false" ht="31.5" hidden="false" customHeight="true" outlineLevel="0" collapsed="false">
      <c r="B9" s="16" t="n">
        <v>5</v>
      </c>
      <c r="C9" s="6" t="s">
        <v>282</v>
      </c>
      <c r="D9" s="7" t="s">
        <v>283</v>
      </c>
      <c r="E9" s="32"/>
      <c r="F9" s="5"/>
    </row>
    <row r="10" customFormat="false" ht="31.5" hidden="false" customHeight="true" outlineLevel="0" collapsed="false">
      <c r="B10" s="16" t="n">
        <v>6</v>
      </c>
      <c r="C10" s="6" t="s">
        <v>282</v>
      </c>
      <c r="D10" s="7" t="s">
        <v>284</v>
      </c>
      <c r="E10" s="32"/>
      <c r="F10" s="5"/>
    </row>
    <row r="11" customFormat="false" ht="19.5" hidden="false" customHeight="true" outlineLevel="0" collapsed="false">
      <c r="B11" s="16" t="n">
        <v>7</v>
      </c>
      <c r="C11" s="6" t="s">
        <v>282</v>
      </c>
      <c r="D11" s="7" t="s">
        <v>285</v>
      </c>
      <c r="E11" s="32"/>
      <c r="F11" s="5"/>
    </row>
    <row r="12" customFormat="false" ht="31.5" hidden="false" customHeight="true" outlineLevel="0" collapsed="false">
      <c r="B12" s="16" t="n">
        <v>8</v>
      </c>
      <c r="C12" s="6" t="s">
        <v>282</v>
      </c>
      <c r="D12" s="7" t="s">
        <v>286</v>
      </c>
      <c r="E12" s="32"/>
      <c r="F12" s="5"/>
    </row>
    <row r="13" customFormat="false" ht="19.5" hidden="false" customHeight="true" outlineLevel="0" collapsed="false">
      <c r="B13" s="16" t="n">
        <v>9</v>
      </c>
      <c r="C13" s="6" t="s">
        <v>287</v>
      </c>
      <c r="D13" s="7" t="s">
        <v>288</v>
      </c>
      <c r="E13" s="32"/>
      <c r="F13" s="5"/>
    </row>
    <row r="14" customFormat="false" ht="31.5" hidden="false" customHeight="true" outlineLevel="0" collapsed="false">
      <c r="B14" s="16" t="n">
        <v>10</v>
      </c>
      <c r="C14" s="6" t="s">
        <v>287</v>
      </c>
      <c r="D14" s="7" t="s">
        <v>289</v>
      </c>
      <c r="E14" s="32"/>
      <c r="F14" s="5"/>
    </row>
    <row r="15" customFormat="false" ht="31.5" hidden="false" customHeight="true" outlineLevel="0" collapsed="false">
      <c r="B15" s="16" t="n">
        <v>11</v>
      </c>
      <c r="C15" s="6" t="s">
        <v>287</v>
      </c>
      <c r="D15" s="7" t="s">
        <v>290</v>
      </c>
      <c r="E15" s="32"/>
      <c r="F15" s="5"/>
    </row>
    <row r="16" customFormat="false" ht="31.5" hidden="false" customHeight="true" outlineLevel="0" collapsed="false">
      <c r="B16" s="16" t="n">
        <v>12</v>
      </c>
      <c r="C16" s="6" t="s">
        <v>287</v>
      </c>
      <c r="D16" s="7" t="s">
        <v>291</v>
      </c>
      <c r="E16" s="32"/>
      <c r="F16" s="5"/>
    </row>
    <row r="18" customFormat="false" ht="19.5" hidden="false" customHeight="true" outlineLevel="0" collapsed="false">
      <c r="B18" s="27" t="s">
        <v>292</v>
      </c>
      <c r="C18" s="27"/>
      <c r="D18" s="27"/>
      <c r="E18" s="8" t="n">
        <f aca="false">COUNTA(E5:E16)</f>
        <v>0</v>
      </c>
    </row>
    <row r="19" customFormat="false" ht="19.5" hidden="false" customHeight="true" outlineLevel="0" collapsed="false">
      <c r="B19" s="27" t="s">
        <v>293</v>
      </c>
      <c r="C19" s="27"/>
      <c r="D19" s="27"/>
      <c r="E19" s="38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7" t="s">
        <v>48</v>
      </c>
      <c r="C20" s="27"/>
      <c r="D20" s="27"/>
      <c r="E20" s="23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U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7" min="5" style="0" width="9"/>
    <col collapsed="false" customWidth="true" hidden="false" outlineLevel="0" max="10" min="8" style="0" width="8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false" outlineLevel="0" max="16" min="14" style="0" width="9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44"/>
    <col collapsed="false" customWidth="true" hidden="false" outlineLevel="0" max="21" min="21" style="0" width="26"/>
    <col collapsed="false" customWidth="true" hidden="false" outlineLevel="0" max="22" min="22" style="0" width="2"/>
  </cols>
  <sheetData>
    <row r="1" customFormat="false" ht="31.5" hidden="false" customHeight="true" outlineLevel="0" collapsed="false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B2" s="2" t="s">
        <v>294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21.75" hidden="false" customHeight="true" outlineLevel="0" collapsed="false">
      <c r="B4" s="4" t="s">
        <v>57</v>
      </c>
      <c r="C4" s="4"/>
      <c r="D4" s="39" t="s">
        <v>295</v>
      </c>
      <c r="E4" s="39"/>
      <c r="F4" s="39"/>
      <c r="G4" s="39"/>
      <c r="H4" s="39"/>
      <c r="J4" s="9" t="s">
        <v>58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21.75" hidden="false" customHeight="true" outlineLevel="0" collapsed="false">
      <c r="B5" s="4" t="s">
        <v>59</v>
      </c>
      <c r="C5" s="4"/>
      <c r="D5" s="39" t="s">
        <v>296</v>
      </c>
      <c r="E5" s="39"/>
      <c r="F5" s="39"/>
      <c r="G5" s="39"/>
      <c r="H5" s="39"/>
      <c r="J5" s="9" t="s">
        <v>60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21.75" hidden="false" customHeight="true" outlineLevel="0" collapsed="false">
      <c r="B6" s="4" t="s">
        <v>61</v>
      </c>
      <c r="C6" s="4"/>
      <c r="D6" s="40" t="n">
        <v>46299</v>
      </c>
      <c r="E6" s="40"/>
      <c r="F6" s="40"/>
      <c r="G6" s="40"/>
      <c r="H6" s="40"/>
      <c r="J6" s="9" t="s">
        <v>62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21.75" hidden="false" customHeight="true" outlineLevel="0" collapsed="false">
      <c r="B7" s="4" t="s">
        <v>63</v>
      </c>
      <c r="C7" s="4"/>
      <c r="D7" s="39" t="s">
        <v>297</v>
      </c>
      <c r="E7" s="39"/>
      <c r="F7" s="39"/>
      <c r="G7" s="39"/>
      <c r="H7" s="39"/>
      <c r="J7" s="9" t="s">
        <v>64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9" customFormat="false" ht="21.75" hidden="false" customHeight="true" outlineLevel="0" collapsed="false">
      <c r="B9" s="11" t="s">
        <v>65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customFormat="false" ht="42" hidden="false" customHeight="true" outlineLevel="0" collapsed="false">
      <c r="B10" s="12" t="s">
        <v>66</v>
      </c>
      <c r="C10" s="12" t="s">
        <v>67</v>
      </c>
      <c r="D10" s="12" t="s">
        <v>68</v>
      </c>
      <c r="E10" s="12" t="s">
        <v>69</v>
      </c>
      <c r="F10" s="13" t="s">
        <v>70</v>
      </c>
      <c r="G10" s="13" t="s">
        <v>71</v>
      </c>
      <c r="H10" s="13" t="s">
        <v>72</v>
      </c>
      <c r="I10" s="13" t="s">
        <v>73</v>
      </c>
      <c r="J10" s="14" t="s">
        <v>74</v>
      </c>
      <c r="K10" s="13" t="s">
        <v>75</v>
      </c>
      <c r="L10" s="13" t="s">
        <v>46</v>
      </c>
      <c r="M10" s="13" t="s">
        <v>48</v>
      </c>
      <c r="N10" s="13" t="s">
        <v>76</v>
      </c>
      <c r="O10" s="13" t="s">
        <v>77</v>
      </c>
      <c r="P10" s="13" t="s">
        <v>78</v>
      </c>
      <c r="Q10" s="13" t="s">
        <v>79</v>
      </c>
      <c r="R10" s="14" t="s">
        <v>80</v>
      </c>
      <c r="S10" s="14" t="s">
        <v>81</v>
      </c>
      <c r="T10" s="12" t="s">
        <v>82</v>
      </c>
      <c r="U10" s="12" t="s">
        <v>83</v>
      </c>
    </row>
    <row r="11" customFormat="false" ht="21.75" hidden="false" customHeight="true" outlineLevel="0" collapsed="false">
      <c r="B11" s="15" t="s">
        <v>84</v>
      </c>
      <c r="C11" s="15" t="s">
        <v>85</v>
      </c>
      <c r="D11" s="15" t="s">
        <v>86</v>
      </c>
      <c r="E11" s="15" t="s">
        <v>87</v>
      </c>
      <c r="F11" s="15" t="s">
        <v>88</v>
      </c>
      <c r="G11" s="15" t="s">
        <v>89</v>
      </c>
      <c r="H11" s="15" t="s">
        <v>87</v>
      </c>
      <c r="I11" s="15" t="s">
        <v>87</v>
      </c>
      <c r="J11" s="15" t="s">
        <v>90</v>
      </c>
      <c r="K11" s="15" t="s">
        <v>87</v>
      </c>
      <c r="L11" s="15" t="s">
        <v>87</v>
      </c>
      <c r="M11" s="15"/>
      <c r="N11" s="15" t="s">
        <v>87</v>
      </c>
      <c r="O11" s="15" t="s">
        <v>89</v>
      </c>
      <c r="P11" s="15" t="s">
        <v>88</v>
      </c>
      <c r="Q11" s="15" t="s">
        <v>88</v>
      </c>
      <c r="R11" s="15" t="s">
        <v>88</v>
      </c>
      <c r="S11" s="15" t="s">
        <v>88</v>
      </c>
      <c r="T11" s="15"/>
      <c r="U11" s="15"/>
    </row>
    <row r="12" customFormat="false" ht="24" hidden="false" customHeight="true" outlineLevel="0" collapsed="false">
      <c r="B12" s="9" t="s">
        <v>298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30" hidden="false" customHeight="true" outlineLevel="0" collapsed="false">
      <c r="B13" s="16" t="n">
        <v>1</v>
      </c>
      <c r="C13" s="39" t="s">
        <v>299</v>
      </c>
      <c r="D13" s="39" t="s">
        <v>93</v>
      </c>
      <c r="E13" s="17" t="n">
        <f aca="false">IF(D13="","",IFERROR(VLOOKUP(D13,Referência!$B$6:$C$16,2,FALSE()),""))</f>
        <v>17.3</v>
      </c>
      <c r="F13" s="41" t="n">
        <v>18</v>
      </c>
      <c r="G13" s="42" t="n">
        <v>1.6</v>
      </c>
      <c r="H13" s="43" t="n">
        <v>14</v>
      </c>
      <c r="I13" s="43" t="n">
        <v>140</v>
      </c>
      <c r="J13" s="41" t="n">
        <v>5.6</v>
      </c>
      <c r="K13" s="21" t="n">
        <f aca="false">IF(OR(E13="",F13="",G13="",G13=0,E13=0),"",ROUND(F13*E13/G13,1))</f>
        <v>194.6</v>
      </c>
      <c r="L13" s="22" t="n">
        <f aca="false">IF(K13="","",ROUND(K13*36/E13,0))</f>
        <v>405</v>
      </c>
      <c r="M13" s="23" t="str">
        <f aca="false">IF(OR(K13="",H13="",I13=""),"",IF(K13&gt;I13,"Falta tele",IF(K13&lt;H13,"Falta angular","OK")))</f>
        <v>Falta tele</v>
      </c>
      <c r="N13" s="17" t="n">
        <f aca="false">IF(K13="","",IF(OR(H13="",I13=""),K13,MIN(MAX(K13,H13),I13)))</f>
        <v>140</v>
      </c>
      <c r="O13" s="24" t="n">
        <f aca="false">IF(N13="","",ROUND(F13*E13/N13,2))</f>
        <v>2.22</v>
      </c>
      <c r="P13" s="25" t="n">
        <f aca="false">IF(O13="","",ROUND(O13*9/16,2))</f>
        <v>1.25</v>
      </c>
      <c r="Q13" s="21" t="n">
        <f aca="false">IF(M13="Falta tele",ROUND(I13*G13/E13,1),IF(M13="Falta angular",ROUND(H13*G13/E13,1),""))</f>
        <v>12.9</v>
      </c>
      <c r="R13" s="25" t="n">
        <f aca="false">IF(OR(N13="",J13="",J13=0),"",ROUND((F13*1000)*((N13^2/(J13*E13/1200)+N13)-N13)/((N13^2/(J13*E13/1200)+N13)+(F13*1000)-2*N13)/1000,2))</f>
        <v>16.77</v>
      </c>
      <c r="S13" s="25" t="n">
        <f aca="false">IF(OR(N13="",J13="",J13=0),"",IF((F13*1000)&gt;=(N13^2/(J13*E13/1200)+N13),"infinito",ROUND((F13*1000)*((N13^2/(J13*E13/1200)+N13)-N13)/((N13^2/(J13*E13/1200)+N13)-(F13*1000))/1000,2)))</f>
        <v>19.43</v>
      </c>
      <c r="T13" s="26" t="str">
        <f aca="false">IF(M13="","",IF(M13="Falta tele","Aproxime a câmera até a distância indicada, use lente mais longa ou aceite a cena obtida",IF(M13="Falta angular","Afaste a câmera até a distância indicada, use lente mais aberta ou aceite a cena obtida",IF(AND(ISNUMBER(S13),ISNUMBER(R13)),IF(S13-R13&lt;0.5,"A lente alcança. Faixa em foco estreita: feche a íris se a pessoa anda","A lente alcança. Deixe o zoom digital desligado"),"A lente alcança. Deixe o zoom digital desligado"))))</f>
        <v>Aproxime a câmera até a distância indicada, use lente mais longa ou aceite a cena obtida</v>
      </c>
      <c r="U13" s="39"/>
    </row>
    <row r="14" customFormat="false" ht="30" hidden="false" customHeight="true" outlineLevel="0" collapsed="false">
      <c r="B14" s="16" t="n">
        <v>2</v>
      </c>
      <c r="C14" s="39" t="s">
        <v>300</v>
      </c>
      <c r="D14" s="39" t="s">
        <v>152</v>
      </c>
      <c r="E14" s="17" t="n">
        <f aca="false">IF(D14="","",IFERROR(VLOOKUP(D14,Referência!$B$6:$C$16,2,FALSE()),""))</f>
        <v>5.6</v>
      </c>
      <c r="F14" s="41" t="n">
        <v>18</v>
      </c>
      <c r="G14" s="42" t="n">
        <v>10</v>
      </c>
      <c r="H14" s="43" t="n">
        <v>4.3</v>
      </c>
      <c r="I14" s="43" t="n">
        <v>129</v>
      </c>
      <c r="J14" s="41" t="n">
        <v>2.8</v>
      </c>
      <c r="K14" s="21" t="n">
        <f aca="false">IF(OR(E14="",F14="",G14="",G14=0,E14=0),"",ROUND(F14*E14/G14,1))</f>
        <v>10.1</v>
      </c>
      <c r="L14" s="22" t="n">
        <f aca="false">IF(K14="","",ROUND(K14*36/E14,0))</f>
        <v>65</v>
      </c>
      <c r="M14" s="23" t="str">
        <f aca="false">IF(OR(K14="",H14="",I14=""),"",IF(K14&gt;I14,"Falta tele",IF(K14&lt;H14,"Falta angular","OK")))</f>
        <v>OK</v>
      </c>
      <c r="N14" s="17" t="n">
        <f aca="false">IF(K14="","",IF(OR(H14="",I14=""),K14,MIN(MAX(K14,H14),I14)))</f>
        <v>10.1</v>
      </c>
      <c r="O14" s="24" t="n">
        <f aca="false">IF(N14="","",ROUND(F14*E14/N14,2))</f>
        <v>9.98</v>
      </c>
      <c r="P14" s="25" t="n">
        <f aca="false">IF(O14="","",ROUND(O14*9/16,2))</f>
        <v>5.61</v>
      </c>
      <c r="Q14" s="21" t="str">
        <f aca="false">IF(M14="Falta tele",ROUND(I14*G14/E14,1),IF(M14="Falta angular",ROUND(H14*G14/E14,1),""))</f>
        <v/>
      </c>
      <c r="R14" s="25" t="n">
        <f aca="false">IF(OR(N14="",J14="",J14=0),"",ROUND((F14*1000)*((N14^2/(J14*E14/1200)+N14)-N14)/((N14^2/(J14*E14/1200)+N14)+(F14*1000)-2*N14)/1000,2))</f>
        <v>5.45</v>
      </c>
      <c r="S14" s="25" t="str">
        <f aca="false">IF(OR(N14="",J14="",J14=0),"",IF((F14*1000)&gt;=(N14^2/(J14*E14/1200)+N14),"infinito",ROUND((F14*1000)*((N14^2/(J14*E14/1200)+N14)-N14)/((N14^2/(J14*E14/1200)+N14)-(F14*1000))/1000,2)))</f>
        <v>infinito</v>
      </c>
      <c r="T14" s="26" t="str">
        <f aca="false">IF(M14="","",IF(M14="Falta tele","Aproxime a câmera até a distância indicada, use lente mais longa ou aceite a cena obtida",IF(M14="Falta angular","Afaste a câmera até a distância indicada, use lente mais aberta ou aceite a cena obtida",IF(AND(ISNUMBER(S14),ISNUMBER(R14)),IF(S14-R14&lt;0.5,"A lente alcança. Faixa em foco estreita: feche a íris se a pessoa anda","A lente alcança. Deixe o zoom digital desligado"),"A lente alcança. Deixe o zoom digital desligado"))))</f>
        <v>A lente alcança. Deixe o zoom digital desligado</v>
      </c>
      <c r="U14" s="39"/>
    </row>
    <row r="15" customFormat="false" ht="30" hidden="false" customHeight="true" outlineLevel="0" collapsed="false">
      <c r="B15" s="16" t="n">
        <v>3</v>
      </c>
      <c r="C15" s="39" t="s">
        <v>301</v>
      </c>
      <c r="D15" s="39" t="s">
        <v>141</v>
      </c>
      <c r="E15" s="17" t="n">
        <f aca="false">IF(D15="","",IFERROR(VLOOKUP(D15,Referência!$B$6:$C$16,2,FALSE()),""))</f>
        <v>23.5</v>
      </c>
      <c r="F15" s="41" t="n">
        <v>6</v>
      </c>
      <c r="G15" s="42" t="n">
        <v>1</v>
      </c>
      <c r="H15" s="43" t="n">
        <v>18</v>
      </c>
      <c r="I15" s="43" t="n">
        <v>55</v>
      </c>
      <c r="J15" s="41" t="n">
        <v>5.6</v>
      </c>
      <c r="K15" s="21" t="n">
        <f aca="false">IF(OR(E15="",F15="",G15="",G15=0,E15=0),"",ROUND(F15*E15/G15,1))</f>
        <v>141</v>
      </c>
      <c r="L15" s="22" t="n">
        <f aca="false">IF(K15="","",ROUND(K15*36/E15,0))</f>
        <v>216</v>
      </c>
      <c r="M15" s="23" t="str">
        <f aca="false">IF(OR(K15="",H15="",I15=""),"",IF(K15&gt;I15,"Falta tele",IF(K15&lt;H15,"Falta angular","OK")))</f>
        <v>Falta tele</v>
      </c>
      <c r="N15" s="17" t="n">
        <f aca="false">IF(K15="","",IF(OR(H15="",I15=""),K15,MIN(MAX(K15,H15),I15)))</f>
        <v>55</v>
      </c>
      <c r="O15" s="24" t="n">
        <f aca="false">IF(N15="","",ROUND(F15*E15/N15,2))</f>
        <v>2.56</v>
      </c>
      <c r="P15" s="25" t="n">
        <f aca="false">IF(O15="","",ROUND(O15*9/16,2))</f>
        <v>1.44</v>
      </c>
      <c r="Q15" s="21" t="n">
        <f aca="false">IF(M15="Falta tele",ROUND(I15*G15/E15,1),IF(M15="Falta angular",ROUND(H15*G15/E15,1),""))</f>
        <v>2.3</v>
      </c>
      <c r="R15" s="25" t="n">
        <f aca="false">IF(OR(N15="",J15="",J15=0),"",ROUND((F15*1000)*((N15^2/(J15*E15/1200)+N15)-N15)/((N15^2/(J15*E15/1200)+N15)+(F15*1000)-2*N15)/1000,2))</f>
        <v>4.94</v>
      </c>
      <c r="S15" s="25" t="n">
        <f aca="false">IF(OR(N15="",J15="",J15=0),"",IF((F15*1000)&gt;=(N15^2/(J15*E15/1200)+N15),"infinito",ROUND((F15*1000)*((N15^2/(J15*E15/1200)+N15)-N15)/((N15^2/(J15*E15/1200)+N15)-(F15*1000))/1000,2)))</f>
        <v>7.65</v>
      </c>
      <c r="T15" s="26" t="str">
        <f aca="false">IF(M15="","",IF(M15="Falta tele","Aproxime a câmera até a distância indicada, use lente mais longa ou aceite a cena obtida",IF(M15="Falta angular","Afaste a câmera até a distância indicada, use lente mais aberta ou aceite a cena obtida",IF(AND(ISNUMBER(S15),ISNUMBER(R15)),IF(S15-R15&lt;0.5,"A lente alcança. Faixa em foco estreita: feche a íris se a pessoa anda","A lente alcança. Deixe o zoom digital desligado"),"A lente alcança. Deixe o zoom digital desligado"))))</f>
        <v>Aproxime a câmera até a distância indicada, use lente mais longa ou aceite a cena obtida</v>
      </c>
      <c r="U15" s="39"/>
    </row>
    <row r="16" customFormat="false" ht="30" hidden="false" customHeight="true" outlineLevel="0" collapsed="false">
      <c r="B16" s="16" t="n">
        <v>4</v>
      </c>
      <c r="C16" s="39" t="s">
        <v>302</v>
      </c>
      <c r="D16" s="39" t="s">
        <v>137</v>
      </c>
      <c r="E16" s="17" t="n">
        <f aca="false">IF(D16="","",IFERROR(VLOOKUP(D16,Referência!$B$6:$C$16,2,FALSE()),""))</f>
        <v>36</v>
      </c>
      <c r="F16" s="41" t="n">
        <v>3</v>
      </c>
      <c r="G16" s="42" t="n">
        <v>8</v>
      </c>
      <c r="H16" s="43" t="n">
        <v>24</v>
      </c>
      <c r="I16" s="43" t="n">
        <v>70</v>
      </c>
      <c r="J16" s="41" t="n">
        <v>4</v>
      </c>
      <c r="K16" s="21" t="n">
        <f aca="false">IF(OR(E16="",F16="",G16="",G16=0,E16=0),"",ROUND(F16*E16/G16,1))</f>
        <v>13.5</v>
      </c>
      <c r="L16" s="22" t="n">
        <f aca="false">IF(K16="","",ROUND(K16*36/E16,0))</f>
        <v>14</v>
      </c>
      <c r="M16" s="23" t="str">
        <f aca="false">IF(OR(K16="",H16="",I16=""),"",IF(K16&gt;I16,"Falta tele",IF(K16&lt;H16,"Falta angular","OK")))</f>
        <v>Falta angular</v>
      </c>
      <c r="N16" s="17" t="n">
        <f aca="false">IF(K16="","",IF(OR(H16="",I16=""),K16,MIN(MAX(K16,H16),I16)))</f>
        <v>24</v>
      </c>
      <c r="O16" s="24" t="n">
        <f aca="false">IF(N16="","",ROUND(F16*E16/N16,2))</f>
        <v>4.5</v>
      </c>
      <c r="P16" s="25" t="n">
        <f aca="false">IF(O16="","",ROUND(O16*9/16,2))</f>
        <v>2.53</v>
      </c>
      <c r="Q16" s="21" t="n">
        <f aca="false">IF(M16="Falta tele",ROUND(I16*G16/E16,1),IF(M16="Falta angular",ROUND(H16*G16/E16,1),""))</f>
        <v>5.3</v>
      </c>
      <c r="R16" s="25" t="n">
        <f aca="false">IF(OR(N16="",J16="",J16=0),"",ROUND((F16*1000)*((N16^2/(J16*E16/1200)+N16)-N16)/((N16^2/(J16*E16/1200)+N16)+(F16*1000)-2*N16)/1000,2))</f>
        <v>1.85</v>
      </c>
      <c r="S16" s="25" t="n">
        <f aca="false">IF(OR(N16="",J16="",J16=0),"",IF((F16*1000)&gt;=(N16^2/(J16*E16/1200)+N16),"infinito",ROUND((F16*1000)*((N16^2/(J16*E16/1200)+N16)-N16)/((N16^2/(J16*E16/1200)+N16)-(F16*1000))/1000,2)))</f>
        <v>7.89</v>
      </c>
      <c r="T16" s="26" t="str">
        <f aca="false">IF(M16="","",IF(M16="Falta tele","Aproxime a câmera até a distância indicada, use lente mais longa ou aceite a cena obtida",IF(M16="Falta angular","Afaste a câmera até a distância indicada, use lente mais aberta ou aceite a cena obtida",IF(AND(ISNUMBER(S16),ISNUMBER(R16)),IF(S16-R16&lt;0.5,"A lente alcança. Faixa em foco estreita: feche a íris se a pessoa anda","A lente alcança. Deixe o zoom digital desligado"),"A lente alcança. Deixe o zoom digital desligado"))))</f>
        <v>Afaste a câmera até a distância indicada, use lente mais aberta ou aceite a cena obtida</v>
      </c>
      <c r="U16" s="39"/>
    </row>
    <row r="17" customFormat="false" ht="30" hidden="false" customHeight="true" outlineLevel="0" collapsed="false">
      <c r="B17" s="16" t="n">
        <v>5</v>
      </c>
      <c r="C17" s="39"/>
      <c r="D17" s="39"/>
      <c r="E17" s="17" t="str">
        <f aca="false">IF(D17="","",IFERROR(VLOOKUP(D17,Referência!$B$6:$C$16,2,FALSE()),""))</f>
        <v/>
      </c>
      <c r="F17" s="41"/>
      <c r="G17" s="42"/>
      <c r="H17" s="43"/>
      <c r="I17" s="43"/>
      <c r="J17" s="41"/>
      <c r="K17" s="21" t="str">
        <f aca="false">IF(OR(E17="",F17="",G17="",G17=0,E17=0),"",ROUND(F17*E17/G17,1))</f>
        <v/>
      </c>
      <c r="L17" s="22" t="str">
        <f aca="false">IF(K17="","",ROUND(K17*36/E17,0))</f>
        <v/>
      </c>
      <c r="M17" s="23" t="str">
        <f aca="false">IF(OR(K17="",H17="",I17=""),"",IF(K17&gt;I17,"Falta tele",IF(K17&lt;H17,"Falta angular","OK")))</f>
        <v/>
      </c>
      <c r="N17" s="17" t="str">
        <f aca="false">IF(K17="","",IF(OR(H17="",I17=""),K17,MIN(MAX(K17,H17),I17)))</f>
        <v/>
      </c>
      <c r="O17" s="24" t="str">
        <f aca="false">IF(N17="","",ROUND(F17*E17/N17,2))</f>
        <v/>
      </c>
      <c r="P17" s="25" t="str">
        <f aca="false">IF(O17="","",ROUND(O17*9/16,2))</f>
        <v/>
      </c>
      <c r="Q17" s="21" t="str">
        <f aca="false">IF(M17="Falta tele",ROUND(I17*G17/E17,1),IF(M17="Falta angular",ROUND(H17*G17/E17,1),""))</f>
        <v/>
      </c>
      <c r="R17" s="25" t="str">
        <f aca="false">IF(OR(N17="",J17="",J17=0),"",ROUND((F17*1000)*((N17^2/(J17*E17/1200)+N17)-N17)/((N17^2/(J17*E17/1200)+N17)+(F17*1000)-2*N17)/1000,2))</f>
        <v/>
      </c>
      <c r="S17" s="25" t="str">
        <f aca="false">IF(OR(N17="",J17="",J17=0),"",IF((F17*1000)&gt;=(N17^2/(J17*E17/1200)+N17),"infinito",ROUND((F17*1000)*((N17^2/(J17*E17/1200)+N17)-N17)/((N17^2/(J17*E17/1200)+N17)-(F17*1000))/1000,2)))</f>
        <v/>
      </c>
      <c r="T17" s="26" t="str">
        <f aca="false">IF(M17="","",IF(M17="Falta tele","Aproxime a câmera até a distância indicada, use lente mais longa ou aceite a cena obtida",IF(M17="Falta angular","Afaste a câmera até a distância indicada, use lente mais aberta ou aceite a cena obtida",IF(AND(ISNUMBER(S17),ISNUMBER(R17)),IF(S17-R17&lt;0.5,"A lente alcança. Faixa em foco estreita: feche a íris se a pessoa anda","A lente alcança. Deixe o zoom digital desligado"),"A lente alcança. Deixe o zoom digital desligado"))))</f>
        <v/>
      </c>
      <c r="U17" s="39"/>
    </row>
    <row r="18" customFormat="false" ht="30" hidden="false" customHeight="true" outlineLevel="0" collapsed="false">
      <c r="B18" s="16" t="n">
        <v>6</v>
      </c>
      <c r="C18" s="39"/>
      <c r="D18" s="39"/>
      <c r="E18" s="17" t="str">
        <f aca="false">IF(D18="","",IFERROR(VLOOKUP(D18,Referência!$B$6:$C$16,2,FALSE()),""))</f>
        <v/>
      </c>
      <c r="F18" s="41"/>
      <c r="G18" s="42"/>
      <c r="H18" s="43"/>
      <c r="I18" s="43"/>
      <c r="J18" s="41"/>
      <c r="K18" s="21" t="str">
        <f aca="false">IF(OR(E18="",F18="",G18="",G18=0,E18=0),"",ROUND(F18*E18/G18,1))</f>
        <v/>
      </c>
      <c r="L18" s="22" t="str">
        <f aca="false">IF(K18="","",ROUND(K18*36/E18,0))</f>
        <v/>
      </c>
      <c r="M18" s="23" t="str">
        <f aca="false">IF(OR(K18="",H18="",I18=""),"",IF(K18&gt;I18,"Falta tele",IF(K18&lt;H18,"Falta angular","OK")))</f>
        <v/>
      </c>
      <c r="N18" s="17" t="str">
        <f aca="false">IF(K18="","",IF(OR(H18="",I18=""),K18,MIN(MAX(K18,H18),I18)))</f>
        <v/>
      </c>
      <c r="O18" s="24" t="str">
        <f aca="false">IF(N18="","",ROUND(F18*E18/N18,2))</f>
        <v/>
      </c>
      <c r="P18" s="25" t="str">
        <f aca="false">IF(O18="","",ROUND(O18*9/16,2))</f>
        <v/>
      </c>
      <c r="Q18" s="21" t="str">
        <f aca="false">IF(M18="Falta tele",ROUND(I18*G18/E18,1),IF(M18="Falta angular",ROUND(H18*G18/E18,1),""))</f>
        <v/>
      </c>
      <c r="R18" s="25" t="str">
        <f aca="false">IF(OR(N18="",J18="",J18=0),"",ROUND((F18*1000)*((N18^2/(J18*E18/1200)+N18)-N18)/((N18^2/(J18*E18/1200)+N18)+(F18*1000)-2*N18)/1000,2))</f>
        <v/>
      </c>
      <c r="S18" s="25" t="str">
        <f aca="false">IF(OR(N18="",J18="",J18=0),"",IF((F18*1000)&gt;=(N18^2/(J18*E18/1200)+N18),"infinito",ROUND((F18*1000)*((N18^2/(J18*E18/1200)+N18)-N18)/((N18^2/(J18*E18/1200)+N18)-(F18*1000))/1000,2)))</f>
        <v/>
      </c>
      <c r="T18" s="26" t="str">
        <f aca="false">IF(M18="","",IF(M18="Falta tele","Aproxime a câmera até a distância indicada, use lente mais longa ou aceite a cena obtida",IF(M18="Falta angular","Afaste a câmera até a distância indicada, use lente mais aberta ou aceite a cena obtida",IF(AND(ISNUMBER(S18),ISNUMBER(R18)),IF(S18-R18&lt;0.5,"A lente alcança. Faixa em foco estreita: feche a íris se a pessoa anda","A lente alcança. Deixe o zoom digital desligado"),"A lente alcança. Deixe o zoom digital desligado"))))</f>
        <v/>
      </c>
      <c r="U18" s="39"/>
    </row>
    <row r="19" customFormat="false" ht="30" hidden="false" customHeight="true" outlineLevel="0" collapsed="false">
      <c r="B19" s="16" t="n">
        <v>7</v>
      </c>
      <c r="C19" s="39"/>
      <c r="D19" s="39"/>
      <c r="E19" s="17" t="str">
        <f aca="false">IF(D19="","",IFERROR(VLOOKUP(D19,Referência!$B$6:$C$16,2,FALSE()),""))</f>
        <v/>
      </c>
      <c r="F19" s="41"/>
      <c r="G19" s="42"/>
      <c r="H19" s="43"/>
      <c r="I19" s="43"/>
      <c r="J19" s="41"/>
      <c r="K19" s="21" t="str">
        <f aca="false">IF(OR(E19="",F19="",G19="",G19=0,E19=0),"",ROUND(F19*E19/G19,1))</f>
        <v/>
      </c>
      <c r="L19" s="22" t="str">
        <f aca="false">IF(K19="","",ROUND(K19*36/E19,0))</f>
        <v/>
      </c>
      <c r="M19" s="23" t="str">
        <f aca="false">IF(OR(K19="",H19="",I19=""),"",IF(K19&gt;I19,"Falta tele",IF(K19&lt;H19,"Falta angular","OK")))</f>
        <v/>
      </c>
      <c r="N19" s="17" t="str">
        <f aca="false">IF(K19="","",IF(OR(H19="",I19=""),K19,MIN(MAX(K19,H19),I19)))</f>
        <v/>
      </c>
      <c r="O19" s="24" t="str">
        <f aca="false">IF(N19="","",ROUND(F19*E19/N19,2))</f>
        <v/>
      </c>
      <c r="P19" s="25" t="str">
        <f aca="false">IF(O19="","",ROUND(O19*9/16,2))</f>
        <v/>
      </c>
      <c r="Q19" s="21" t="str">
        <f aca="false">IF(M19="Falta tele",ROUND(I19*G19/E19,1),IF(M19="Falta angular",ROUND(H19*G19/E19,1),""))</f>
        <v/>
      </c>
      <c r="R19" s="25" t="str">
        <f aca="false">IF(OR(N19="",J19="",J19=0),"",ROUND((F19*1000)*((N19^2/(J19*E19/1200)+N19)-N19)/((N19^2/(J19*E19/1200)+N19)+(F19*1000)-2*N19)/1000,2))</f>
        <v/>
      </c>
      <c r="S19" s="25" t="str">
        <f aca="false">IF(OR(N19="",J19="",J19=0),"",IF((F19*1000)&gt;=(N19^2/(J19*E19/1200)+N19),"infinito",ROUND((F19*1000)*((N19^2/(J19*E19/1200)+N19)-N19)/((N19^2/(J19*E19/1200)+N19)-(F19*1000))/1000,2)))</f>
        <v/>
      </c>
      <c r="T19" s="26" t="str">
        <f aca="false">IF(M19="","",IF(M19="Falta tele","Aproxime a câmera até a distância indicada, use lente mais longa ou aceite a cena obtida",IF(M19="Falta angular","Afaste a câmera até a distância indicada, use lente mais aberta ou aceite a cena obtida",IF(AND(ISNUMBER(S19),ISNUMBER(R19)),IF(S19-R19&lt;0.5,"A lente alcança. Faixa em foco estreita: feche a íris se a pessoa anda","A lente alcança. Deixe o zoom digital desligado"),"A lente alcança. Deixe o zoom digital desligado"))))</f>
        <v/>
      </c>
      <c r="U19" s="39"/>
    </row>
    <row r="20" customFormat="false" ht="30" hidden="false" customHeight="true" outlineLevel="0" collapsed="false">
      <c r="B20" s="16" t="n">
        <v>8</v>
      </c>
      <c r="C20" s="39"/>
      <c r="D20" s="39"/>
      <c r="E20" s="17" t="str">
        <f aca="false">IF(D20="","",IFERROR(VLOOKUP(D20,Referência!$B$6:$C$16,2,FALSE()),""))</f>
        <v/>
      </c>
      <c r="F20" s="41"/>
      <c r="G20" s="42"/>
      <c r="H20" s="43"/>
      <c r="I20" s="43"/>
      <c r="J20" s="41"/>
      <c r="K20" s="21" t="str">
        <f aca="false">IF(OR(E20="",F20="",G20="",G20=0,E20=0),"",ROUND(F20*E20/G20,1))</f>
        <v/>
      </c>
      <c r="L20" s="22" t="str">
        <f aca="false">IF(K20="","",ROUND(K20*36/E20,0))</f>
        <v/>
      </c>
      <c r="M20" s="23" t="str">
        <f aca="false">IF(OR(K20="",H20="",I20=""),"",IF(K20&gt;I20,"Falta tele",IF(K20&lt;H20,"Falta angular","OK")))</f>
        <v/>
      </c>
      <c r="N20" s="17" t="str">
        <f aca="false">IF(K20="","",IF(OR(H20="",I20=""),K20,MIN(MAX(K20,H20),I20)))</f>
        <v/>
      </c>
      <c r="O20" s="24" t="str">
        <f aca="false">IF(N20="","",ROUND(F20*E20/N20,2))</f>
        <v/>
      </c>
      <c r="P20" s="25" t="str">
        <f aca="false">IF(O20="","",ROUND(O20*9/16,2))</f>
        <v/>
      </c>
      <c r="Q20" s="21" t="str">
        <f aca="false">IF(M20="Falta tele",ROUND(I20*G20/E20,1),IF(M20="Falta angular",ROUND(H20*G20/E20,1),""))</f>
        <v/>
      </c>
      <c r="R20" s="25" t="str">
        <f aca="false">IF(OR(N20="",J20="",J20=0),"",ROUND((F20*1000)*((N20^2/(J20*E20/1200)+N20)-N20)/((N20^2/(J20*E20/1200)+N20)+(F20*1000)-2*N20)/1000,2))</f>
        <v/>
      </c>
      <c r="S20" s="25" t="str">
        <f aca="false">IF(OR(N20="",J20="",J20=0),"",IF((F20*1000)&gt;=(N20^2/(J20*E20/1200)+N20),"infinito",ROUND((F20*1000)*((N20^2/(J20*E20/1200)+N20)-N20)/((N20^2/(J20*E20/1200)+N20)-(F20*1000))/1000,2)))</f>
        <v/>
      </c>
      <c r="T20" s="26" t="str">
        <f aca="false">IF(M20="","",IF(M20="Falta tele","Aproxime a câmera até a distância indicada, use lente mais longa ou aceite a cena obtida",IF(M20="Falta angular","Afaste a câmera até a distância indicada, use lente mais aberta ou aceite a cena obtida",IF(AND(ISNUMBER(S20),ISNUMBER(R20)),IF(S20-R20&lt;0.5,"A lente alcança. Faixa em foco estreita: feche a íris se a pessoa anda","A lente alcança. Deixe o zoom digital desligado"),"A lente alcança. Deixe o zoom digital desligado"))))</f>
        <v/>
      </c>
      <c r="U20" s="39"/>
    </row>
    <row r="21" customFormat="false" ht="30" hidden="false" customHeight="true" outlineLevel="0" collapsed="false">
      <c r="B21" s="16" t="n">
        <v>9</v>
      </c>
      <c r="C21" s="39"/>
      <c r="D21" s="39"/>
      <c r="E21" s="17" t="str">
        <f aca="false">IF(D21="","",IFERROR(VLOOKUP(D21,Referência!$B$6:$C$16,2,FALSE()),""))</f>
        <v/>
      </c>
      <c r="F21" s="41"/>
      <c r="G21" s="42"/>
      <c r="H21" s="43"/>
      <c r="I21" s="43"/>
      <c r="J21" s="41"/>
      <c r="K21" s="21" t="str">
        <f aca="false">IF(OR(E21="",F21="",G21="",G21=0,E21=0),"",ROUND(F21*E21/G21,1))</f>
        <v/>
      </c>
      <c r="L21" s="22" t="str">
        <f aca="false">IF(K21="","",ROUND(K21*36/E21,0))</f>
        <v/>
      </c>
      <c r="M21" s="23" t="str">
        <f aca="false">IF(OR(K21="",H21="",I21=""),"",IF(K21&gt;I21,"Falta tele",IF(K21&lt;H21,"Falta angular","OK")))</f>
        <v/>
      </c>
      <c r="N21" s="17" t="str">
        <f aca="false">IF(K21="","",IF(OR(H21="",I21=""),K21,MIN(MAX(K21,H21),I21)))</f>
        <v/>
      </c>
      <c r="O21" s="24" t="str">
        <f aca="false">IF(N21="","",ROUND(F21*E21/N21,2))</f>
        <v/>
      </c>
      <c r="P21" s="25" t="str">
        <f aca="false">IF(O21="","",ROUND(O21*9/16,2))</f>
        <v/>
      </c>
      <c r="Q21" s="21" t="str">
        <f aca="false">IF(M21="Falta tele",ROUND(I21*G21/E21,1),IF(M21="Falta angular",ROUND(H21*G21/E21,1),""))</f>
        <v/>
      </c>
      <c r="R21" s="25" t="str">
        <f aca="false">IF(OR(N21="",J21="",J21=0),"",ROUND((F21*1000)*((N21^2/(J21*E21/1200)+N21)-N21)/((N21^2/(J21*E21/1200)+N21)+(F21*1000)-2*N21)/1000,2))</f>
        <v/>
      </c>
      <c r="S21" s="25" t="str">
        <f aca="false">IF(OR(N21="",J21="",J21=0),"",IF((F21*1000)&gt;=(N21^2/(J21*E21/1200)+N21),"infinito",ROUND((F21*1000)*((N21^2/(J21*E21/1200)+N21)-N21)/((N21^2/(J21*E21/1200)+N21)-(F21*1000))/1000,2)))</f>
        <v/>
      </c>
      <c r="T21" s="26" t="str">
        <f aca="false">IF(M21="","",IF(M21="Falta tele","Aproxime a câmera até a distância indicada, use lente mais longa ou aceite a cena obtida",IF(M21="Falta angular","Afaste a câmera até a distância indicada, use lente mais aberta ou aceite a cena obtida",IF(AND(ISNUMBER(S21),ISNUMBER(R21)),IF(S21-R21&lt;0.5,"A lente alcança. Faixa em foco estreita: feche a íris se a pessoa anda","A lente alcança. Deixe o zoom digital desligado"),"A lente alcança. Deixe o zoom digital desligado"))))</f>
        <v/>
      </c>
      <c r="U21" s="39"/>
    </row>
    <row r="22" customFormat="false" ht="30" hidden="false" customHeight="true" outlineLevel="0" collapsed="false">
      <c r="B22" s="16" t="n">
        <v>10</v>
      </c>
      <c r="C22" s="39"/>
      <c r="D22" s="39"/>
      <c r="E22" s="17" t="str">
        <f aca="false">IF(D22="","",IFERROR(VLOOKUP(D22,Referência!$B$6:$C$16,2,FALSE()),""))</f>
        <v/>
      </c>
      <c r="F22" s="41"/>
      <c r="G22" s="42"/>
      <c r="H22" s="43"/>
      <c r="I22" s="43"/>
      <c r="J22" s="41"/>
      <c r="K22" s="21" t="str">
        <f aca="false">IF(OR(E22="",F22="",G22="",G22=0,E22=0),"",ROUND(F22*E22/G22,1))</f>
        <v/>
      </c>
      <c r="L22" s="22" t="str">
        <f aca="false">IF(K22="","",ROUND(K22*36/E22,0))</f>
        <v/>
      </c>
      <c r="M22" s="23" t="str">
        <f aca="false">IF(OR(K22="",H22="",I22=""),"",IF(K22&gt;I22,"Falta tele",IF(K22&lt;H22,"Falta angular","OK")))</f>
        <v/>
      </c>
      <c r="N22" s="17" t="str">
        <f aca="false">IF(K22="","",IF(OR(H22="",I22=""),K22,MIN(MAX(K22,H22),I22)))</f>
        <v/>
      </c>
      <c r="O22" s="24" t="str">
        <f aca="false">IF(N22="","",ROUND(F22*E22/N22,2))</f>
        <v/>
      </c>
      <c r="P22" s="25" t="str">
        <f aca="false">IF(O22="","",ROUND(O22*9/16,2))</f>
        <v/>
      </c>
      <c r="Q22" s="21" t="str">
        <f aca="false">IF(M22="Falta tele",ROUND(I22*G22/E22,1),IF(M22="Falta angular",ROUND(H22*G22/E22,1),""))</f>
        <v/>
      </c>
      <c r="R22" s="25" t="str">
        <f aca="false">IF(OR(N22="",J22="",J22=0),"",ROUND((F22*1000)*((N22^2/(J22*E22/1200)+N22)-N22)/((N22^2/(J22*E22/1200)+N22)+(F22*1000)-2*N22)/1000,2))</f>
        <v/>
      </c>
      <c r="S22" s="25" t="str">
        <f aca="false">IF(OR(N22="",J22="",J22=0),"",IF((F22*1000)&gt;=(N22^2/(J22*E22/1200)+N22),"infinito",ROUND((F22*1000)*((N22^2/(J22*E22/1200)+N22)-N22)/((N22^2/(J22*E22/1200)+N22)-(F22*1000))/1000,2)))</f>
        <v/>
      </c>
      <c r="T22" s="26" t="str">
        <f aca="false">IF(M22="","",IF(M22="Falta tele","Aproxime a câmera até a distância indicada, use lente mais longa ou aceite a cena obtida",IF(M22="Falta angular","Afaste a câmera até a distância indicada, use lente mais aberta ou aceite a cena obtida",IF(AND(ISNUMBER(S22),ISNUMBER(R22)),IF(S22-R22&lt;0.5,"A lente alcança. Faixa em foco estreita: feche a íris se a pessoa anda","A lente alcança. Deixe o zoom digital desligado"),"A lente alcança. Deixe o zoom digital desligado"))))</f>
        <v/>
      </c>
      <c r="U22" s="39"/>
    </row>
    <row r="23" customFormat="false" ht="30" hidden="false" customHeight="true" outlineLevel="0" collapsed="false">
      <c r="B23" s="16" t="n">
        <v>11</v>
      </c>
      <c r="C23" s="39"/>
      <c r="D23" s="39"/>
      <c r="E23" s="17" t="str">
        <f aca="false">IF(D23="","",IFERROR(VLOOKUP(D23,Referência!$B$6:$C$16,2,FALSE()),""))</f>
        <v/>
      </c>
      <c r="F23" s="41"/>
      <c r="G23" s="42"/>
      <c r="H23" s="43"/>
      <c r="I23" s="43"/>
      <c r="J23" s="41"/>
      <c r="K23" s="21" t="str">
        <f aca="false">IF(OR(E23="",F23="",G23="",G23=0,E23=0),"",ROUND(F23*E23/G23,1))</f>
        <v/>
      </c>
      <c r="L23" s="22" t="str">
        <f aca="false">IF(K23="","",ROUND(K23*36/E23,0))</f>
        <v/>
      </c>
      <c r="M23" s="23" t="str">
        <f aca="false">IF(OR(K23="",H23="",I23=""),"",IF(K23&gt;I23,"Falta tele",IF(K23&lt;H23,"Falta angular","OK")))</f>
        <v/>
      </c>
      <c r="N23" s="17" t="str">
        <f aca="false">IF(K23="","",IF(OR(H23="",I23=""),K23,MIN(MAX(K23,H23),I23)))</f>
        <v/>
      </c>
      <c r="O23" s="24" t="str">
        <f aca="false">IF(N23="","",ROUND(F23*E23/N23,2))</f>
        <v/>
      </c>
      <c r="P23" s="25" t="str">
        <f aca="false">IF(O23="","",ROUND(O23*9/16,2))</f>
        <v/>
      </c>
      <c r="Q23" s="21" t="str">
        <f aca="false">IF(M23="Falta tele",ROUND(I23*G23/E23,1),IF(M23="Falta angular",ROUND(H23*G23/E23,1),""))</f>
        <v/>
      </c>
      <c r="R23" s="25" t="str">
        <f aca="false">IF(OR(N23="",J23="",J23=0),"",ROUND((F23*1000)*((N23^2/(J23*E23/1200)+N23)-N23)/((N23^2/(J23*E23/1200)+N23)+(F23*1000)-2*N23)/1000,2))</f>
        <v/>
      </c>
      <c r="S23" s="25" t="str">
        <f aca="false">IF(OR(N23="",J23="",J23=0),"",IF((F23*1000)&gt;=(N23^2/(J23*E23/1200)+N23),"infinito",ROUND((F23*1000)*((N23^2/(J23*E23/1200)+N23)-N23)/((N23^2/(J23*E23/1200)+N23)-(F23*1000))/1000,2)))</f>
        <v/>
      </c>
      <c r="T23" s="26" t="str">
        <f aca="false">IF(M23="","",IF(M23="Falta tele","Aproxime a câmera até a distância indicada, use lente mais longa ou aceite a cena obtida",IF(M23="Falta angular","Afaste a câmera até a distância indicada, use lente mais aberta ou aceite a cena obtida",IF(AND(ISNUMBER(S23),ISNUMBER(R23)),IF(S23-R23&lt;0.5,"A lente alcança. Faixa em foco estreita: feche a íris se a pessoa anda","A lente alcança. Deixe o zoom digital desligado"),"A lente alcança. Deixe o zoom digital desligado"))))</f>
        <v/>
      </c>
      <c r="U23" s="39"/>
    </row>
    <row r="24" customFormat="false" ht="30" hidden="false" customHeight="true" outlineLevel="0" collapsed="false">
      <c r="B24" s="16" t="n">
        <v>12</v>
      </c>
      <c r="C24" s="39"/>
      <c r="D24" s="39"/>
      <c r="E24" s="17" t="str">
        <f aca="false">IF(D24="","",IFERROR(VLOOKUP(D24,Referência!$B$6:$C$16,2,FALSE()),""))</f>
        <v/>
      </c>
      <c r="F24" s="41"/>
      <c r="G24" s="42"/>
      <c r="H24" s="43"/>
      <c r="I24" s="43"/>
      <c r="J24" s="41"/>
      <c r="K24" s="21" t="str">
        <f aca="false">IF(OR(E24="",F24="",G24="",G24=0,E24=0),"",ROUND(F24*E24/G24,1))</f>
        <v/>
      </c>
      <c r="L24" s="22" t="str">
        <f aca="false">IF(K24="","",ROUND(K24*36/E24,0))</f>
        <v/>
      </c>
      <c r="M24" s="23" t="str">
        <f aca="false">IF(OR(K24="",H24="",I24=""),"",IF(K24&gt;I24,"Falta tele",IF(K24&lt;H24,"Falta angular","OK")))</f>
        <v/>
      </c>
      <c r="N24" s="17" t="str">
        <f aca="false">IF(K24="","",IF(OR(H24="",I24=""),K24,MIN(MAX(K24,H24),I24)))</f>
        <v/>
      </c>
      <c r="O24" s="24" t="str">
        <f aca="false">IF(N24="","",ROUND(F24*E24/N24,2))</f>
        <v/>
      </c>
      <c r="P24" s="25" t="str">
        <f aca="false">IF(O24="","",ROUND(O24*9/16,2))</f>
        <v/>
      </c>
      <c r="Q24" s="21" t="str">
        <f aca="false">IF(M24="Falta tele",ROUND(I24*G24/E24,1),IF(M24="Falta angular",ROUND(H24*G24/E24,1),""))</f>
        <v/>
      </c>
      <c r="R24" s="25" t="str">
        <f aca="false">IF(OR(N24="",J24="",J24=0),"",ROUND((F24*1000)*((N24^2/(J24*E24/1200)+N24)-N24)/((N24^2/(J24*E24/1200)+N24)+(F24*1000)-2*N24)/1000,2))</f>
        <v/>
      </c>
      <c r="S24" s="25" t="str">
        <f aca="false">IF(OR(N24="",J24="",J24=0),"",IF((F24*1000)&gt;=(N24^2/(J24*E24/1200)+N24),"infinito",ROUND((F24*1000)*((N24^2/(J24*E24/1200)+N24)-N24)/((N24^2/(J24*E24/1200)+N24)-(F24*1000))/1000,2)))</f>
        <v/>
      </c>
      <c r="T24" s="26" t="str">
        <f aca="false">IF(M24="","",IF(M24="Falta tele","Aproxime a câmera até a distância indicada, use lente mais longa ou aceite a cena obtida",IF(M24="Falta angular","Afaste a câmera até a distância indicada, use lente mais aberta ou aceite a cena obtida",IF(AND(ISNUMBER(S24),ISNUMBER(R24)),IF(S24-R24&lt;0.5,"A lente alcança. Faixa em foco estreita: feche a íris se a pessoa anda","A lente alcança. Deixe o zoom digital desligado"),"A lente alcança. Deixe o zoom digital desligado"))))</f>
        <v/>
      </c>
      <c r="U24" s="39"/>
    </row>
    <row r="26" customFormat="false" ht="21.75" hidden="false" customHeight="true" outlineLevel="0" collapsed="false">
      <c r="B26" s="11" t="s">
        <v>96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9.5" hidden="false" customHeight="true" outlineLevel="0" collapsed="false">
      <c r="B27" s="27" t="s">
        <v>97</v>
      </c>
      <c r="C27" s="27"/>
      <c r="D27" s="27"/>
      <c r="E27" s="27"/>
      <c r="F27" s="23" t="n">
        <f aca="false">COUNTA(C13:C24)</f>
        <v>4</v>
      </c>
      <c r="G27" s="23"/>
    </row>
    <row r="28" customFormat="false" ht="19.5" hidden="false" customHeight="true" outlineLevel="0" collapsed="false">
      <c r="B28" s="27" t="s">
        <v>98</v>
      </c>
      <c r="C28" s="27"/>
      <c r="D28" s="27"/>
      <c r="E28" s="27"/>
      <c r="F28" s="23" t="n">
        <f aca="false">COUNTIF(M13:M24,"OK")</f>
        <v>1</v>
      </c>
      <c r="G28" s="23"/>
    </row>
    <row r="29" customFormat="false" ht="19.5" hidden="false" customHeight="true" outlineLevel="0" collapsed="false">
      <c r="B29" s="27" t="s">
        <v>94</v>
      </c>
      <c r="C29" s="27"/>
      <c r="D29" s="27"/>
      <c r="E29" s="27"/>
      <c r="F29" s="23" t="n">
        <f aca="false">COUNTIF(M13:M24,"Falta tele")</f>
        <v>2</v>
      </c>
      <c r="G29" s="23"/>
    </row>
    <row r="30" customFormat="false" ht="19.5" hidden="false" customHeight="true" outlineLevel="0" collapsed="false">
      <c r="B30" s="27" t="s">
        <v>99</v>
      </c>
      <c r="C30" s="27"/>
      <c r="D30" s="27"/>
      <c r="E30" s="27"/>
      <c r="F30" s="23" t="n">
        <f aca="false">COUNTIF(M13:M24,"Falta angular")</f>
        <v>1</v>
      </c>
      <c r="G30" s="23"/>
    </row>
    <row r="31" customFormat="false" ht="21.75" hidden="false" customHeight="true" outlineLevel="0" collapsed="false">
      <c r="B31" s="27" t="s">
        <v>100</v>
      </c>
      <c r="C31" s="27"/>
      <c r="D31" s="27"/>
      <c r="E31" s="27"/>
      <c r="F31" s="28" t="str">
        <f aca="false">IF(F27=0,"Liste as câmeras",IF(COUNTIF(M13:M24,"OK")+COUNTIF(M13:M24,"Falta tele")+COUNTIF(M13:M24,"Falta angular")&lt;F27,"Há câmera sem sensor, distância, cena ou lente",IF(F29+F30&gt;0,"Há quadro que a lente não alcança: decida antes de montar","OK")))</f>
        <v>Há quadro que a lente não alcança: decida antes de montar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3" customFormat="false" ht="21.75" hidden="false" customHeight="true" outlineLevel="0" collapsed="false">
      <c r="B33" s="11" t="s">
        <v>303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customFormat="false" ht="21.75" hidden="false" customHeight="true" outlineLevel="0" collapsed="false">
      <c r="B34" s="8" t="s">
        <v>304</v>
      </c>
      <c r="C34" s="8" t="s">
        <v>305</v>
      </c>
      <c r="D34" s="8"/>
      <c r="E34" s="8"/>
      <c r="F34" s="8"/>
      <c r="G34" s="8"/>
      <c r="H34" s="8"/>
      <c r="I34" s="8"/>
      <c r="J34" s="8"/>
      <c r="K34" s="8"/>
      <c r="L34" s="8"/>
      <c r="M34" s="8" t="s">
        <v>306</v>
      </c>
      <c r="N34" s="8"/>
      <c r="O34" s="8"/>
      <c r="P34" s="8"/>
      <c r="Q34" s="8"/>
      <c r="R34" s="8"/>
      <c r="S34" s="8"/>
      <c r="T34" s="8"/>
      <c r="U34" s="8"/>
    </row>
    <row r="35" customFormat="false" ht="30" hidden="false" customHeight="true" outlineLevel="0" collapsed="false">
      <c r="B35" s="16" t="s">
        <v>16</v>
      </c>
      <c r="C35" s="7" t="s">
        <v>307</v>
      </c>
      <c r="D35" s="7"/>
      <c r="E35" s="7"/>
      <c r="F35" s="7"/>
      <c r="G35" s="7"/>
      <c r="H35" s="7"/>
      <c r="I35" s="7"/>
      <c r="J35" s="7"/>
      <c r="K35" s="7"/>
      <c r="L35" s="7"/>
      <c r="M35" s="7" t="s">
        <v>308</v>
      </c>
      <c r="N35" s="7"/>
      <c r="O35" s="7"/>
      <c r="P35" s="7"/>
      <c r="Q35" s="7"/>
      <c r="R35" s="7"/>
      <c r="S35" s="7"/>
      <c r="T35" s="7"/>
      <c r="U35" s="7"/>
    </row>
    <row r="36" customFormat="false" ht="30" hidden="false" customHeight="true" outlineLevel="0" collapsed="false">
      <c r="B36" s="16" t="s">
        <v>18</v>
      </c>
      <c r="C36" s="7" t="s">
        <v>309</v>
      </c>
      <c r="D36" s="7"/>
      <c r="E36" s="7"/>
      <c r="F36" s="7"/>
      <c r="G36" s="7"/>
      <c r="H36" s="7"/>
      <c r="I36" s="7"/>
      <c r="J36" s="7"/>
      <c r="K36" s="7"/>
      <c r="L36" s="7"/>
      <c r="M36" s="7" t="s">
        <v>310</v>
      </c>
      <c r="N36" s="7"/>
      <c r="O36" s="7"/>
      <c r="P36" s="7"/>
      <c r="Q36" s="7"/>
      <c r="R36" s="7"/>
      <c r="S36" s="7"/>
      <c r="T36" s="7"/>
      <c r="U36" s="7"/>
    </row>
    <row r="37" customFormat="false" ht="30" hidden="false" customHeight="true" outlineLevel="0" collapsed="false">
      <c r="B37" s="16" t="s">
        <v>20</v>
      </c>
      <c r="C37" s="7" t="s">
        <v>311</v>
      </c>
      <c r="D37" s="7"/>
      <c r="E37" s="7"/>
      <c r="F37" s="7"/>
      <c r="G37" s="7"/>
      <c r="H37" s="7"/>
      <c r="I37" s="7"/>
      <c r="J37" s="7"/>
      <c r="K37" s="7"/>
      <c r="L37" s="7"/>
      <c r="M37" s="7" t="s">
        <v>312</v>
      </c>
      <c r="N37" s="7"/>
      <c r="O37" s="7"/>
      <c r="P37" s="7"/>
      <c r="Q37" s="7"/>
      <c r="R37" s="7"/>
      <c r="S37" s="7"/>
      <c r="T37" s="7"/>
      <c r="U37" s="7"/>
    </row>
    <row r="38" customFormat="false" ht="30" hidden="false" customHeight="true" outlineLevel="0" collapsed="false">
      <c r="B38" s="16" t="s">
        <v>22</v>
      </c>
      <c r="C38" s="7" t="s">
        <v>313</v>
      </c>
      <c r="D38" s="7"/>
      <c r="E38" s="7"/>
      <c r="F38" s="7"/>
      <c r="G38" s="7"/>
      <c r="H38" s="7"/>
      <c r="I38" s="7"/>
      <c r="J38" s="7"/>
      <c r="K38" s="7"/>
      <c r="L38" s="7"/>
      <c r="M38" s="7" t="s">
        <v>314</v>
      </c>
      <c r="N38" s="7"/>
      <c r="O38" s="7"/>
      <c r="P38" s="7"/>
      <c r="Q38" s="7"/>
      <c r="R38" s="7"/>
      <c r="S38" s="7"/>
      <c r="T38" s="7"/>
      <c r="U38" s="7"/>
    </row>
    <row r="39" customFormat="false" ht="30" hidden="false" customHeight="true" outlineLevel="0" collapsed="false">
      <c r="B39" s="16" t="s">
        <v>315</v>
      </c>
      <c r="C39" s="7" t="s">
        <v>316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mergeCells count="40">
    <mergeCell ref="B1:U1"/>
    <mergeCell ref="B2:U2"/>
    <mergeCell ref="B4:C4"/>
    <mergeCell ref="D4:H4"/>
    <mergeCell ref="J4:U4"/>
    <mergeCell ref="B5:C5"/>
    <mergeCell ref="D5:H5"/>
    <mergeCell ref="J5:U5"/>
    <mergeCell ref="B6:C6"/>
    <mergeCell ref="D6:H6"/>
    <mergeCell ref="J6:U6"/>
    <mergeCell ref="B7:C7"/>
    <mergeCell ref="D7:H7"/>
    <mergeCell ref="J7:U7"/>
    <mergeCell ref="B9:U9"/>
    <mergeCell ref="B12:U12"/>
    <mergeCell ref="B26:U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P31"/>
    <mergeCell ref="B33:U33"/>
    <mergeCell ref="C34:L34"/>
    <mergeCell ref="M34:U34"/>
    <mergeCell ref="C35:L35"/>
    <mergeCell ref="M35:U35"/>
    <mergeCell ref="C36:L36"/>
    <mergeCell ref="M36:U36"/>
    <mergeCell ref="C37:L37"/>
    <mergeCell ref="M37:U37"/>
    <mergeCell ref="C38:L38"/>
    <mergeCell ref="M38:U38"/>
    <mergeCell ref="C39:L39"/>
    <mergeCell ref="M39:U39"/>
  </mergeCells>
  <conditionalFormatting sqref="M13:M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"Falta tele"</formula>
    </cfRule>
    <cfRule type="cellIs" priority="4" operator="equal" aboveAverage="0" equalAverage="0" bottom="0" percent="0" rank="0" text="" dxfId="1">
      <formula>"Falta angular"</formula>
    </cfRule>
  </conditionalFormatting>
  <conditionalFormatting sqref="F31:P31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Escolha o formato do sensor. Outro: digite a largura na aba Referência." promptTitle="Opções" showDropDown="false" showErrorMessage="true" showInputMessage="true" sqref="D13:D24" type="list">
      <formula1>Referência!$B$6:$B$16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3:J2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8"/>
    <col collapsed="false" customWidth="true" hidden="false" outlineLevel="0" max="13" min="13" style="0" width="50"/>
    <col collapsed="false" customWidth="true" hidden="false" outlineLevel="0" max="14" min="14" style="0" width="2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317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57</v>
      </c>
      <c r="C4" s="4"/>
      <c r="D4" s="39" t="s">
        <v>318</v>
      </c>
      <c r="E4" s="39"/>
      <c r="G4" s="4" t="s">
        <v>103</v>
      </c>
      <c r="H4" s="4"/>
      <c r="I4" s="4"/>
      <c r="J4" s="44" t="n">
        <v>3200</v>
      </c>
      <c r="K4" s="9" t="s">
        <v>104</v>
      </c>
      <c r="L4" s="9"/>
      <c r="M4" s="9"/>
      <c r="N4" s="9"/>
    </row>
    <row r="5" customFormat="false" ht="21.75" hidden="false" customHeight="true" outlineLevel="0" collapsed="false">
      <c r="B5" s="4" t="s">
        <v>59</v>
      </c>
      <c r="C5" s="4"/>
      <c r="D5" s="39" t="s">
        <v>319</v>
      </c>
      <c r="E5" s="39"/>
      <c r="G5" s="4" t="s">
        <v>105</v>
      </c>
      <c r="H5" s="4"/>
      <c r="I5" s="4"/>
      <c r="J5" s="44" t="n">
        <v>1</v>
      </c>
      <c r="K5" s="9" t="s">
        <v>106</v>
      </c>
      <c r="L5" s="9"/>
      <c r="M5" s="9"/>
      <c r="N5" s="9"/>
    </row>
    <row r="6" customFormat="false" ht="21.75" hidden="false" customHeight="true" outlineLevel="0" collapsed="false">
      <c r="B6" s="4" t="s">
        <v>61</v>
      </c>
      <c r="C6" s="4"/>
      <c r="D6" s="40" t="n">
        <v>46368</v>
      </c>
      <c r="E6" s="40"/>
      <c r="G6" s="4" t="s">
        <v>107</v>
      </c>
      <c r="H6" s="4"/>
      <c r="I6" s="4"/>
      <c r="J6" s="44" t="n">
        <v>500</v>
      </c>
      <c r="K6" s="9" t="s">
        <v>108</v>
      </c>
      <c r="L6" s="9"/>
      <c r="M6" s="9"/>
      <c r="N6" s="9"/>
    </row>
    <row r="7" customFormat="false" ht="21.75" hidden="false" customHeight="true" outlineLevel="0" collapsed="false">
      <c r="B7" s="4" t="s">
        <v>63</v>
      </c>
      <c r="C7" s="4"/>
      <c r="D7" s="39" t="s">
        <v>320</v>
      </c>
      <c r="E7" s="39"/>
      <c r="G7" s="4" t="s">
        <v>109</v>
      </c>
      <c r="H7" s="4"/>
      <c r="I7" s="4"/>
      <c r="J7" s="44" t="n">
        <v>200</v>
      </c>
      <c r="K7" s="9" t="s">
        <v>110</v>
      </c>
      <c r="L7" s="9"/>
      <c r="M7" s="9"/>
      <c r="N7" s="9"/>
    </row>
    <row r="8" customFormat="false" ht="15" hidden="false" customHeight="true" outlineLevel="0" collapsed="false">
      <c r="G8" s="9" t="s">
        <v>111</v>
      </c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B9" s="27" t="s">
        <v>112</v>
      </c>
      <c r="C9" s="27"/>
      <c r="D9" s="27"/>
      <c r="E9" s="30" t="n">
        <f aca="false">IF(OR($J$5="",$J$5&lt;1,$J$5&gt;8),"",IF(INDEX(F14:F21,$J$5)="","",INDEX(F14:F21,$J$5)))</f>
        <v>3300</v>
      </c>
    </row>
    <row r="10" customFormat="false" ht="15" hidden="false" customHeight="true" outlineLevel="0" collapsed="false">
      <c r="B10" s="27" t="s">
        <v>113</v>
      </c>
      <c r="C10" s="27"/>
      <c r="D10" s="27"/>
      <c r="E10" s="8" t="str">
        <f aca="false">IF(OR($J$5="",$J$5&lt;1,$J$5&gt;8),"",IF(INDEX(H14:H21,$J$5)="","",INDEX(H14:H21,$J$5)))</f>
        <v>Padrão</v>
      </c>
    </row>
    <row r="11" customFormat="false" ht="21.75" hidden="false" customHeight="true" outlineLevel="0" collapsed="false">
      <c r="B11" s="11" t="s">
        <v>114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36" hidden="false" customHeight="true" outlineLevel="0" collapsed="false">
      <c r="B12" s="12" t="s">
        <v>66</v>
      </c>
      <c r="C12" s="12" t="s">
        <v>115</v>
      </c>
      <c r="D12" s="12" t="s">
        <v>116</v>
      </c>
      <c r="E12" s="31" t="s">
        <v>117</v>
      </c>
      <c r="F12" s="31" t="s">
        <v>118</v>
      </c>
      <c r="G12" s="31" t="s">
        <v>119</v>
      </c>
      <c r="H12" s="31" t="s">
        <v>120</v>
      </c>
      <c r="I12" s="31" t="s">
        <v>121</v>
      </c>
      <c r="J12" s="12" t="s">
        <v>122</v>
      </c>
      <c r="K12" s="12" t="s">
        <v>123</v>
      </c>
      <c r="L12" s="12" t="s">
        <v>48</v>
      </c>
      <c r="M12" s="12" t="s">
        <v>82</v>
      </c>
      <c r="N12" s="12" t="s">
        <v>83</v>
      </c>
    </row>
    <row r="13" customFormat="false" ht="21.75" hidden="false" customHeight="true" outlineLevel="0" collapsed="false">
      <c r="B13" s="15" t="s">
        <v>84</v>
      </c>
      <c r="C13" s="15"/>
      <c r="D13" s="15"/>
      <c r="E13" s="15" t="s">
        <v>86</v>
      </c>
      <c r="F13" s="15" t="s">
        <v>124</v>
      </c>
      <c r="G13" s="15" t="s">
        <v>125</v>
      </c>
      <c r="H13" s="15" t="s">
        <v>86</v>
      </c>
      <c r="I13" s="15" t="s">
        <v>126</v>
      </c>
      <c r="J13" s="15" t="s">
        <v>124</v>
      </c>
      <c r="K13" s="15" t="s">
        <v>124</v>
      </c>
      <c r="L13" s="15"/>
      <c r="M13" s="15"/>
      <c r="N13" s="15"/>
    </row>
    <row r="14" customFormat="false" ht="24" hidden="false" customHeight="true" outlineLevel="0" collapsed="false">
      <c r="B14" s="16" t="n">
        <v>1</v>
      </c>
      <c r="C14" s="39" t="s">
        <v>321</v>
      </c>
      <c r="D14" s="39" t="s">
        <v>322</v>
      </c>
      <c r="E14" s="45" t="s">
        <v>323</v>
      </c>
      <c r="F14" s="44" t="n">
        <v>3300</v>
      </c>
      <c r="G14" s="46" t="n">
        <v>0</v>
      </c>
      <c r="H14" s="45" t="s">
        <v>324</v>
      </c>
      <c r="I14" s="45" t="s">
        <v>325</v>
      </c>
      <c r="J14" s="34" t="n">
        <f aca="false">IF(OR(F14="",$J$4=""),"",F14-$J$4)</f>
        <v>100</v>
      </c>
      <c r="K14" s="34" t="str">
        <f aca="false">IF(OR(F14="",$E$9="",$J$5=1),"",F14-$E$9)</f>
        <v/>
      </c>
      <c r="L14" s="23" t="str">
        <f aca="false">IF(AND(C14="",E14=""),"",IF(E14="Automático","Automático",IF(F14="","Sem kelvin",IF(H14="Log","Perfil log",IF(AND($E$10&lt;&gt;"",H14&lt;&gt;"",H14&lt;&gt;$E$10),"Perfil diferente",IF(IF(J14="",FALSE(),ABS(J14)&gt;$J$6),"Longe da luz",IF(IF(K14="",FALSE(),ABS(K14)&gt;$J$7),"Diferente da referência",IF(I14&lt;&gt;"Sim","Conferir no monitor","OK"))))))))</f>
        <v>OK</v>
      </c>
      <c r="M14" s="26" t="str">
        <f aca="false">IF(L14="","",IF(L14="Automático","Passe para manual e faça o balanço com o cartão branco",IF(L14="Sem kelvin","Anote o kelvin que a câmera mostra",IF(L14="Perfil log","Ponha o perfil padrão, ou aplique a correção na mesa de corte",IF(L14="Perfil diferente","Ponha o mesmo perfil da câmera de referência e refaça o balanço",IF(L14="Longe da luz","Confira o modo e refaça o balanço com o cartão sob a luz do evento",IF(L14="Diferente da referência","Compare no monitor e ajuste alguns passos no kelvin ou no tint",IF(L14="Conferir no monitor","Compare lado a lado com a câmera de referência","Manter"))))))))</f>
        <v>Manter</v>
      </c>
      <c r="N14" s="39"/>
    </row>
    <row r="15" customFormat="false" ht="24" hidden="false" customHeight="true" outlineLevel="0" collapsed="false">
      <c r="B15" s="16" t="n">
        <v>2</v>
      </c>
      <c r="C15" s="39" t="s">
        <v>326</v>
      </c>
      <c r="D15" s="39" t="s">
        <v>327</v>
      </c>
      <c r="E15" s="45" t="s">
        <v>118</v>
      </c>
      <c r="F15" s="44" t="n">
        <v>3200</v>
      </c>
      <c r="G15" s="46" t="n">
        <v>0</v>
      </c>
      <c r="H15" s="45" t="s">
        <v>328</v>
      </c>
      <c r="I15" s="45" t="s">
        <v>329</v>
      </c>
      <c r="J15" s="34" t="n">
        <f aca="false">IF(OR(F15="",$J$4=""),"",F15-$J$4)</f>
        <v>0</v>
      </c>
      <c r="K15" s="34" t="n">
        <f aca="false">IF(OR(F15="",$E$9="",$J$5=2),"",F15-$E$9)</f>
        <v>-100</v>
      </c>
      <c r="L15" s="23" t="str">
        <f aca="false">IF(AND(C15="",E15=""),"",IF(E15="Automático","Automático",IF(F15="","Sem kelvin",IF(H15="Log","Perfil log",IF(AND($E$10&lt;&gt;"",H15&lt;&gt;"",H15&lt;&gt;$E$10),"Perfil diferente",IF(IF(J15="",FALSE(),ABS(J15)&gt;$J$6),"Longe da luz",IF(IF(K15="",FALSE(),ABS(K15)&gt;$J$7),"Diferente da referência",IF(I15&lt;&gt;"Sim","Conferir no monitor","OK"))))))))</f>
        <v>Perfil diferente</v>
      </c>
      <c r="M15" s="26" t="str">
        <f aca="false">IF(L15="","",IF(L15="Automático","Passe para manual e faça o balanço com o cartão branco",IF(L15="Sem kelvin","Anote o kelvin que a câmera mostra",IF(L15="Perfil log","Ponha o perfil padrão, ou aplique a correção na mesa de corte",IF(L15="Perfil diferente","Ponha o mesmo perfil da câmera de referência e refaça o balanço",IF(L15="Longe da luz","Confira o modo e refaça o balanço com o cartão sob a luz do evento",IF(L15="Diferente da referência","Compare no monitor e ajuste alguns passos no kelvin ou no tint",IF(L15="Conferir no monitor","Compare lado a lado com a câmera de referência","Manter"))))))))</f>
        <v>Ponha o mesmo perfil da câmera de referência e refaça o balanço</v>
      </c>
      <c r="N15" s="39"/>
    </row>
    <row r="16" customFormat="false" ht="24" hidden="false" customHeight="true" outlineLevel="0" collapsed="false">
      <c r="B16" s="16" t="n">
        <v>3</v>
      </c>
      <c r="C16" s="39" t="s">
        <v>330</v>
      </c>
      <c r="D16" s="39" t="s">
        <v>331</v>
      </c>
      <c r="E16" s="45" t="s">
        <v>261</v>
      </c>
      <c r="F16" s="44" t="n">
        <v>5600</v>
      </c>
      <c r="G16" s="46" t="n">
        <v>0</v>
      </c>
      <c r="H16" s="45" t="s">
        <v>324</v>
      </c>
      <c r="I16" s="45" t="s">
        <v>329</v>
      </c>
      <c r="J16" s="34" t="n">
        <f aca="false">IF(OR(F16="",$J$4=""),"",F16-$J$4)</f>
        <v>2400</v>
      </c>
      <c r="K16" s="34" t="n">
        <f aca="false">IF(OR(F16="",$E$9="",$J$5=3),"",F16-$E$9)</f>
        <v>2300</v>
      </c>
      <c r="L16" s="23" t="str">
        <f aca="false">IF(AND(C16="",E16=""),"",IF(E16="Automático","Automático",IF(F16="","Sem kelvin",IF(H16="Log","Perfil log",IF(AND($E$10&lt;&gt;"",H16&lt;&gt;"",H16&lt;&gt;$E$10),"Perfil diferente",IF(IF(J16="",FALSE(),ABS(J16)&gt;$J$6),"Longe da luz",IF(IF(K16="",FALSE(),ABS(K16)&gt;$J$7),"Diferente da referência",IF(I16&lt;&gt;"Sim","Conferir no monitor","OK"))))))))</f>
        <v>Longe da luz</v>
      </c>
      <c r="M16" s="26" t="str">
        <f aca="false">IF(L16="","",IF(L16="Automático","Passe para manual e faça o balanço com o cartão branco",IF(L16="Sem kelvin","Anote o kelvin que a câmera mostra",IF(L16="Perfil log","Ponha o perfil padrão, ou aplique a correção na mesa de corte",IF(L16="Perfil diferente","Ponha o mesmo perfil da câmera de referência e refaça o balanço",IF(L16="Longe da luz","Confira o modo e refaça o balanço com o cartão sob a luz do evento",IF(L16="Diferente da referência","Compare no monitor e ajuste alguns passos no kelvin ou no tint",IF(L16="Conferir no monitor","Compare lado a lado com a câmera de referência","Manter"))))))))</f>
        <v>Confira o modo e refaça o balanço com o cartão sob a luz do evento</v>
      </c>
      <c r="N16" s="39"/>
    </row>
    <row r="17" customFormat="false" ht="24" hidden="false" customHeight="true" outlineLevel="0" collapsed="false">
      <c r="B17" s="16" t="n">
        <v>4</v>
      </c>
      <c r="C17" s="39" t="s">
        <v>332</v>
      </c>
      <c r="D17" s="39" t="s">
        <v>333</v>
      </c>
      <c r="E17" s="45" t="s">
        <v>334</v>
      </c>
      <c r="F17" s="44"/>
      <c r="G17" s="46"/>
      <c r="H17" s="45" t="s">
        <v>324</v>
      </c>
      <c r="I17" s="45" t="s">
        <v>329</v>
      </c>
      <c r="J17" s="34" t="str">
        <f aca="false">IF(OR(F17="",$J$4=""),"",F17-$J$4)</f>
        <v/>
      </c>
      <c r="K17" s="34" t="str">
        <f aca="false">IF(OR(F17="",$E$9="",$J$5=4),"",F17-$E$9)</f>
        <v/>
      </c>
      <c r="L17" s="23" t="str">
        <f aca="false">IF(AND(C17="",E17=""),"",IF(E17="Automático","Automático",IF(F17="","Sem kelvin",IF(H17="Log","Perfil log",IF(AND($E$10&lt;&gt;"",H17&lt;&gt;"",H17&lt;&gt;$E$10),"Perfil diferente",IF(IF(J17="",FALSE(),ABS(J17)&gt;$J$6),"Longe da luz",IF(IF(K17="",FALSE(),ABS(K17)&gt;$J$7),"Diferente da referência",IF(I17&lt;&gt;"Sim","Conferir no monitor","OK"))))))))</f>
        <v>Automático</v>
      </c>
      <c r="M17" s="26" t="str">
        <f aca="false">IF(L17="","",IF(L17="Automático","Passe para manual e faça o balanço com o cartão branco",IF(L17="Sem kelvin","Anote o kelvin que a câmera mostra",IF(L17="Perfil log","Ponha o perfil padrão, ou aplique a correção na mesa de corte",IF(L17="Perfil diferente","Ponha o mesmo perfil da câmera de referência e refaça o balanço",IF(L17="Longe da luz","Confira o modo e refaça o balanço com o cartão sob a luz do evento",IF(L17="Diferente da referência","Compare no monitor e ajuste alguns passos no kelvin ou no tint",IF(L17="Conferir no monitor","Compare lado a lado com a câmera de referência","Manter"))))))))</f>
        <v>Passe para manual e faça o balanço com o cartão branco</v>
      </c>
      <c r="N17" s="39"/>
    </row>
    <row r="18" customFormat="false" ht="24" hidden="false" customHeight="true" outlineLevel="0" collapsed="false">
      <c r="B18" s="16" t="n">
        <v>5</v>
      </c>
      <c r="C18" s="39"/>
      <c r="D18" s="39"/>
      <c r="E18" s="45"/>
      <c r="F18" s="44"/>
      <c r="G18" s="46"/>
      <c r="H18" s="45"/>
      <c r="I18" s="45"/>
      <c r="J18" s="34" t="str">
        <f aca="false">IF(OR(F18="",$J$4=""),"",F18-$J$4)</f>
        <v/>
      </c>
      <c r="K18" s="34" t="str">
        <f aca="false">IF(OR(F18="",$E$9="",$J$5=5),"",F18-$E$9)</f>
        <v/>
      </c>
      <c r="L18" s="23" t="str">
        <f aca="false">IF(AND(C18="",E18=""),"",IF(E18="Automático","Automático",IF(F18="","Sem kelvin",IF(H18="Log","Perfil log",IF(AND($E$10&lt;&gt;"",H18&lt;&gt;"",H18&lt;&gt;$E$10),"Perfil diferente",IF(IF(J18="",FALSE(),ABS(J18)&gt;$J$6),"Longe da luz",IF(IF(K18="",FALSE(),ABS(K18)&gt;$J$7),"Diferente da referência",IF(I18&lt;&gt;"Sim","Conferir no monitor","OK"))))))))</f>
        <v/>
      </c>
      <c r="M18" s="26" t="str">
        <f aca="false">IF(L18="","",IF(L18="Automático","Passe para manual e faça o balanço com o cartão branco",IF(L18="Sem kelvin","Anote o kelvin que a câmera mostra",IF(L18="Perfil log","Ponha o perfil padrão, ou aplique a correção na mesa de corte",IF(L18="Perfil diferente","Ponha o mesmo perfil da câmera de referência e refaça o balanço",IF(L18="Longe da luz","Confira o modo e refaça o balanço com o cartão sob a luz do evento",IF(L18="Diferente da referência","Compare no monitor e ajuste alguns passos no kelvin ou no tint",IF(L18="Conferir no monitor","Compare lado a lado com a câmera de referência","Manter"))))))))</f>
        <v/>
      </c>
      <c r="N18" s="39"/>
    </row>
    <row r="19" customFormat="false" ht="24" hidden="false" customHeight="true" outlineLevel="0" collapsed="false">
      <c r="B19" s="16" t="n">
        <v>6</v>
      </c>
      <c r="C19" s="39"/>
      <c r="D19" s="39"/>
      <c r="E19" s="45"/>
      <c r="F19" s="44"/>
      <c r="G19" s="46"/>
      <c r="H19" s="45"/>
      <c r="I19" s="45"/>
      <c r="J19" s="34" t="str">
        <f aca="false">IF(OR(F19="",$J$4=""),"",F19-$J$4)</f>
        <v/>
      </c>
      <c r="K19" s="34" t="str">
        <f aca="false">IF(OR(F19="",$E$9="",$J$5=6),"",F19-$E$9)</f>
        <v/>
      </c>
      <c r="L19" s="23" t="str">
        <f aca="false">IF(AND(C19="",E19=""),"",IF(E19="Automático","Automático",IF(F19="","Sem kelvin",IF(H19="Log","Perfil log",IF(AND($E$10&lt;&gt;"",H19&lt;&gt;"",H19&lt;&gt;$E$10),"Perfil diferente",IF(IF(J19="",FALSE(),ABS(J19)&gt;$J$6),"Longe da luz",IF(IF(K19="",FALSE(),ABS(K19)&gt;$J$7),"Diferente da referência",IF(I19&lt;&gt;"Sim","Conferir no monitor","OK"))))))))</f>
        <v/>
      </c>
      <c r="M19" s="26" t="str">
        <f aca="false">IF(L19="","",IF(L19="Automático","Passe para manual e faça o balanço com o cartão branco",IF(L19="Sem kelvin","Anote o kelvin que a câmera mostra",IF(L19="Perfil log","Ponha o perfil padrão, ou aplique a correção na mesa de corte",IF(L19="Perfil diferente","Ponha o mesmo perfil da câmera de referência e refaça o balanço",IF(L19="Longe da luz","Confira o modo e refaça o balanço com o cartão sob a luz do evento",IF(L19="Diferente da referência","Compare no monitor e ajuste alguns passos no kelvin ou no tint",IF(L19="Conferir no monitor","Compare lado a lado com a câmera de referência","Manter"))))))))</f>
        <v/>
      </c>
      <c r="N19" s="39"/>
    </row>
    <row r="20" customFormat="false" ht="24" hidden="false" customHeight="true" outlineLevel="0" collapsed="false">
      <c r="B20" s="16" t="n">
        <v>7</v>
      </c>
      <c r="C20" s="39"/>
      <c r="D20" s="39"/>
      <c r="E20" s="45"/>
      <c r="F20" s="44"/>
      <c r="G20" s="46"/>
      <c r="H20" s="45"/>
      <c r="I20" s="45"/>
      <c r="J20" s="34" t="str">
        <f aca="false">IF(OR(F20="",$J$4=""),"",F20-$J$4)</f>
        <v/>
      </c>
      <c r="K20" s="34" t="str">
        <f aca="false">IF(OR(F20="",$E$9="",$J$5=7),"",F20-$E$9)</f>
        <v/>
      </c>
      <c r="L20" s="23" t="str">
        <f aca="false">IF(AND(C20="",E20=""),"",IF(E20="Automático","Automático",IF(F20="","Sem kelvin",IF(H20="Log","Perfil log",IF(AND($E$10&lt;&gt;"",H20&lt;&gt;"",H20&lt;&gt;$E$10),"Perfil diferente",IF(IF(J20="",FALSE(),ABS(J20)&gt;$J$6),"Longe da luz",IF(IF(K20="",FALSE(),ABS(K20)&gt;$J$7),"Diferente da referência",IF(I20&lt;&gt;"Sim","Conferir no monitor","OK"))))))))</f>
        <v/>
      </c>
      <c r="M20" s="26" t="str">
        <f aca="false">IF(L20="","",IF(L20="Automático","Passe para manual e faça o balanço com o cartão branco",IF(L20="Sem kelvin","Anote o kelvin que a câmera mostra",IF(L20="Perfil log","Ponha o perfil padrão, ou aplique a correção na mesa de corte",IF(L20="Perfil diferente","Ponha o mesmo perfil da câmera de referência e refaça o balanço",IF(L20="Longe da luz","Confira o modo e refaça o balanço com o cartão sob a luz do evento",IF(L20="Diferente da referência","Compare no monitor e ajuste alguns passos no kelvin ou no tint",IF(L20="Conferir no monitor","Compare lado a lado com a câmera de referência","Manter"))))))))</f>
        <v/>
      </c>
      <c r="N20" s="39"/>
    </row>
    <row r="21" customFormat="false" ht="24" hidden="false" customHeight="true" outlineLevel="0" collapsed="false">
      <c r="B21" s="16" t="n">
        <v>8</v>
      </c>
      <c r="C21" s="39"/>
      <c r="D21" s="39"/>
      <c r="E21" s="45"/>
      <c r="F21" s="44"/>
      <c r="G21" s="46"/>
      <c r="H21" s="45"/>
      <c r="I21" s="45"/>
      <c r="J21" s="34" t="str">
        <f aca="false">IF(OR(F21="",$J$4=""),"",F21-$J$4)</f>
        <v/>
      </c>
      <c r="K21" s="34" t="str">
        <f aca="false">IF(OR(F21="",$E$9="",$J$5=8),"",F21-$E$9)</f>
        <v/>
      </c>
      <c r="L21" s="23" t="str">
        <f aca="false">IF(AND(C21="",E21=""),"",IF(E21="Automático","Automático",IF(F21="","Sem kelvin",IF(H21="Log","Perfil log",IF(AND($E$10&lt;&gt;"",H21&lt;&gt;"",H21&lt;&gt;$E$10),"Perfil diferente",IF(IF(J21="",FALSE(),ABS(J21)&gt;$J$6),"Longe da luz",IF(IF(K21="",FALSE(),ABS(K21)&gt;$J$7),"Diferente da referência",IF(I21&lt;&gt;"Sim","Conferir no monitor","OK"))))))))</f>
        <v/>
      </c>
      <c r="M21" s="26" t="str">
        <f aca="false">IF(L21="","",IF(L21="Automático","Passe para manual e faça o balanço com o cartão branco",IF(L21="Sem kelvin","Anote o kelvin que a câmera mostra",IF(L21="Perfil log","Ponha o perfil padrão, ou aplique a correção na mesa de corte",IF(L21="Perfil diferente","Ponha o mesmo perfil da câmera de referência e refaça o balanço",IF(L21="Longe da luz","Confira o modo e refaça o balanço com o cartão sob a luz do evento",IF(L21="Diferente da referência","Compare no monitor e ajuste alguns passos no kelvin ou no tint",IF(L21="Conferir no monitor","Compare lado a lado com a câmera de referência","Manter"))))))))</f>
        <v/>
      </c>
      <c r="N21" s="39"/>
    </row>
    <row r="23" customFormat="false" ht="21.75" hidden="false" customHeight="true" outlineLevel="0" collapsed="false">
      <c r="B23" s="11" t="s">
        <v>96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customFormat="false" ht="19.5" hidden="false" customHeight="true" outlineLevel="0" collapsed="false">
      <c r="B24" s="27" t="s">
        <v>97</v>
      </c>
      <c r="C24" s="27"/>
      <c r="D24" s="27"/>
      <c r="E24" s="27"/>
      <c r="F24" s="23" t="n">
        <f aca="false">COUNTA(C14:C21)</f>
        <v>4</v>
      </c>
      <c r="G24" s="23"/>
    </row>
    <row r="25" customFormat="false" ht="19.5" hidden="false" customHeight="true" outlineLevel="0" collapsed="false">
      <c r="B25" s="27" t="s">
        <v>127</v>
      </c>
      <c r="C25" s="27"/>
      <c r="D25" s="27"/>
      <c r="E25" s="27"/>
      <c r="F25" s="23" t="n">
        <f aca="false">COUNTIF(L14:L21,"OK")</f>
        <v>1</v>
      </c>
      <c r="G25" s="23"/>
    </row>
    <row r="26" customFormat="false" ht="19.5" hidden="false" customHeight="true" outlineLevel="0" collapsed="false">
      <c r="B26" s="27" t="s">
        <v>128</v>
      </c>
      <c r="C26" s="27"/>
      <c r="D26" s="27"/>
      <c r="E26" s="27"/>
      <c r="F26" s="23" t="n">
        <f aca="false">COUNTIF(L14:L21,"Automático")+COUNTIF(L14:L21,"Perfil log")</f>
        <v>1</v>
      </c>
      <c r="G26" s="23"/>
    </row>
    <row r="27" customFormat="false" ht="19.5" hidden="false" customHeight="true" outlineLevel="0" collapsed="false">
      <c r="B27" s="27" t="s">
        <v>129</v>
      </c>
      <c r="C27" s="27"/>
      <c r="D27" s="27"/>
      <c r="E27" s="27"/>
      <c r="F27" s="30" t="n">
        <f aca="false">IF(COUNT(F14:F21)&lt;2,"",MAX(F14:F21)-MIN(F14:F21))</f>
        <v>2400</v>
      </c>
      <c r="G27" s="30"/>
    </row>
    <row r="28" customFormat="false" ht="21.75" hidden="false" customHeight="true" outlineLevel="0" collapsed="false">
      <c r="B28" s="27" t="s">
        <v>100</v>
      </c>
      <c r="C28" s="27"/>
      <c r="D28" s="27"/>
      <c r="E28" s="27"/>
      <c r="F28" s="28" t="str">
        <f aca="false">IF(F24=0,"Liste as câmeras",IF($J$4="","Informe a luz principal",IF(F26&gt;0,"Há câmera em automático ou em log: corrija antes do evento",IF(F25&lt;F24,"Há câmera a ajustar ou a conferir","OK"))))</f>
        <v>Há câmera em automático ou em log: corrija antes do evento</v>
      </c>
      <c r="G28" s="28"/>
      <c r="H28" s="28"/>
      <c r="I28" s="28"/>
      <c r="J28" s="28"/>
      <c r="K28" s="28"/>
      <c r="L28" s="28"/>
      <c r="M28" s="28"/>
    </row>
    <row r="30" customFormat="false" ht="21.75" hidden="false" customHeight="true" outlineLevel="0" collapsed="false">
      <c r="B30" s="11" t="s">
        <v>303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1.75" hidden="false" customHeight="true" outlineLevel="0" collapsed="false">
      <c r="B31" s="8" t="s">
        <v>304</v>
      </c>
      <c r="C31" s="8" t="s">
        <v>335</v>
      </c>
      <c r="D31" s="8"/>
      <c r="E31" s="8"/>
      <c r="F31" s="8"/>
      <c r="G31" s="8"/>
      <c r="H31" s="8"/>
      <c r="I31" s="8" t="s">
        <v>305</v>
      </c>
      <c r="J31" s="8"/>
      <c r="K31" s="8"/>
      <c r="L31" s="8"/>
      <c r="M31" s="8"/>
      <c r="N31" s="8"/>
    </row>
    <row r="32" customFormat="false" ht="30" hidden="false" customHeight="true" outlineLevel="0" collapsed="false">
      <c r="B32" s="16" t="s">
        <v>315</v>
      </c>
      <c r="C32" s="7" t="s">
        <v>336</v>
      </c>
      <c r="D32" s="7"/>
      <c r="E32" s="7"/>
      <c r="F32" s="7"/>
      <c r="G32" s="7"/>
      <c r="H32" s="7"/>
      <c r="I32" s="7" t="s">
        <v>337</v>
      </c>
      <c r="J32" s="7"/>
      <c r="K32" s="7"/>
      <c r="L32" s="7"/>
      <c r="M32" s="7"/>
      <c r="N32" s="7"/>
    </row>
    <row r="33" customFormat="false" ht="30" hidden="false" customHeight="true" outlineLevel="0" collapsed="false">
      <c r="B33" s="16" t="s">
        <v>16</v>
      </c>
      <c r="C33" s="7" t="s">
        <v>338</v>
      </c>
      <c r="D33" s="7"/>
      <c r="E33" s="7"/>
      <c r="F33" s="7"/>
      <c r="G33" s="7"/>
      <c r="H33" s="7"/>
      <c r="I33" s="7" t="s">
        <v>339</v>
      </c>
      <c r="J33" s="7"/>
      <c r="K33" s="7"/>
      <c r="L33" s="7"/>
      <c r="M33" s="7"/>
      <c r="N33" s="7"/>
    </row>
    <row r="34" customFormat="false" ht="30" hidden="false" customHeight="true" outlineLevel="0" collapsed="false">
      <c r="B34" s="16" t="s">
        <v>18</v>
      </c>
      <c r="C34" s="7" t="s">
        <v>340</v>
      </c>
      <c r="D34" s="7"/>
      <c r="E34" s="7"/>
      <c r="F34" s="7"/>
      <c r="G34" s="7"/>
      <c r="H34" s="7"/>
      <c r="I34" s="7" t="s">
        <v>341</v>
      </c>
      <c r="J34" s="7"/>
      <c r="K34" s="7"/>
      <c r="L34" s="7"/>
      <c r="M34" s="7"/>
      <c r="N34" s="7"/>
    </row>
    <row r="35" customFormat="false" ht="30" hidden="false" customHeight="true" outlineLevel="0" collapsed="false">
      <c r="B35" s="16" t="s">
        <v>20</v>
      </c>
      <c r="C35" s="7" t="s">
        <v>342</v>
      </c>
      <c r="D35" s="7"/>
      <c r="E35" s="7"/>
      <c r="F35" s="7"/>
      <c r="G35" s="7"/>
      <c r="H35" s="7"/>
      <c r="I35" s="7" t="s">
        <v>343</v>
      </c>
      <c r="J35" s="7"/>
      <c r="K35" s="7"/>
      <c r="L35" s="7"/>
      <c r="M35" s="7"/>
      <c r="N35" s="7"/>
    </row>
    <row r="36" customFormat="false" ht="30" hidden="false" customHeight="true" outlineLevel="0" collapsed="false">
      <c r="B36" s="16" t="s">
        <v>22</v>
      </c>
      <c r="C36" s="7" t="s">
        <v>344</v>
      </c>
      <c r="D36" s="7"/>
      <c r="E36" s="7"/>
      <c r="F36" s="7"/>
      <c r="G36" s="7"/>
      <c r="H36" s="7"/>
      <c r="I36" s="7" t="s">
        <v>345</v>
      </c>
      <c r="J36" s="7"/>
      <c r="K36" s="7"/>
      <c r="L36" s="7"/>
      <c r="M36" s="7"/>
      <c r="N36" s="7"/>
    </row>
    <row r="37" customFormat="false" ht="30" hidden="false" customHeight="true" outlineLevel="0" collapsed="false">
      <c r="B37" s="16" t="s">
        <v>306</v>
      </c>
      <c r="C37" s="7" t="s">
        <v>346</v>
      </c>
      <c r="D37" s="7"/>
      <c r="E37" s="7"/>
      <c r="F37" s="7"/>
      <c r="G37" s="7"/>
      <c r="H37" s="7"/>
      <c r="I37" s="7" t="s">
        <v>347</v>
      </c>
      <c r="J37" s="7"/>
      <c r="K37" s="7"/>
      <c r="L37" s="7"/>
      <c r="M37" s="7"/>
      <c r="N37" s="7"/>
    </row>
  </sheetData>
  <mergeCells count="48">
    <mergeCell ref="B1:N1"/>
    <mergeCell ref="B2:N2"/>
    <mergeCell ref="B4:C4"/>
    <mergeCell ref="D4:E4"/>
    <mergeCell ref="G4:I4"/>
    <mergeCell ref="K4:N4"/>
    <mergeCell ref="B5:C5"/>
    <mergeCell ref="D5:E5"/>
    <mergeCell ref="G5:I5"/>
    <mergeCell ref="K5:N5"/>
    <mergeCell ref="B6:C6"/>
    <mergeCell ref="D6:E6"/>
    <mergeCell ref="G6:I6"/>
    <mergeCell ref="K6:N6"/>
    <mergeCell ref="B7:C7"/>
    <mergeCell ref="D7:E7"/>
    <mergeCell ref="G7:I7"/>
    <mergeCell ref="K7:N7"/>
    <mergeCell ref="G8:N8"/>
    <mergeCell ref="B9:D9"/>
    <mergeCell ref="B10:D10"/>
    <mergeCell ref="B11:N11"/>
    <mergeCell ref="B23:N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M28"/>
    <mergeCell ref="B30:N30"/>
    <mergeCell ref="C31:H31"/>
    <mergeCell ref="I31:N31"/>
    <mergeCell ref="C32:H32"/>
    <mergeCell ref="I32:N32"/>
    <mergeCell ref="C33:H33"/>
    <mergeCell ref="I33:N33"/>
    <mergeCell ref="C34:H34"/>
    <mergeCell ref="I34:N34"/>
    <mergeCell ref="C35:H35"/>
    <mergeCell ref="I35:N35"/>
    <mergeCell ref="C36:H36"/>
    <mergeCell ref="I36:N36"/>
    <mergeCell ref="C37:H37"/>
    <mergeCell ref="I37:N37"/>
  </mergeCells>
  <conditionalFormatting sqref="L14:L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"Conferir no monitor"</formula>
    </cfRule>
    <cfRule type="cellIs" priority="4" operator="equal" aboveAverage="0" equalAverage="0" bottom="0" percent="0" rank="0" text="" dxfId="1">
      <formula>"Diferente da referência"</formula>
    </cfRule>
    <cfRule type="cellIs" priority="5" operator="equal" aboveAverage="0" equalAverage="0" bottom="0" percent="0" rank="0" text="" dxfId="1">
      <formula>"Perfil diferente"</formula>
    </cfRule>
    <cfRule type="cellIs" priority="6" operator="equal" aboveAverage="0" equalAverage="0" bottom="0" percent="0" rank="0" text="" dxfId="1">
      <formula>"Sem kelvin"</formula>
    </cfRule>
    <cfRule type="cellIs" priority="7" operator="equal" aboveAverage="0" equalAverage="0" bottom="0" percent="0" rank="0" text="" dxfId="2">
      <formula>"Longe da luz"</formula>
    </cfRule>
    <cfRule type="cellIs" priority="8" operator="equal" aboveAverage="0" equalAverage="0" bottom="0" percent="0" rank="0" text="" dxfId="2">
      <formula>"Automático"</formula>
    </cfRule>
    <cfRule type="cellIs" priority="9" operator="equal" aboveAverage="0" equalAverage="0" bottom="0" percent="0" rank="0" text="" dxfId="2">
      <formula>"Perfil log"</formula>
    </cfRule>
  </conditionalFormatting>
  <conditionalFormatting sqref="F28:M28">
    <cfRule type="cellIs" priority="10" operator="equal" aboveAverage="0" equalAverage="0" bottom="0" percent="0" rank="0" text="" dxfId="0">
      <formula>"OK"</formula>
    </cfRule>
    <cfRule type="cellIs" priority="11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J4:J7" type="decimal">
      <formula1>-1000000000</formula1>
      <formula2>1000000000</formula2>
    </dataValidation>
    <dataValidation allowBlank="true" error="Escolha uma das opções da lista." errorStyle="stop" errorTitle="Valor inválido" operator="between" prompt="Cartão branco, Kelvin, Preset ou Automático." promptTitle="Opções" showDropDown="false" showErrorMessage="true" showInputMessage="true" sqref="E14:E21" type="list">
      <formula1>"Cartão branco,Kelvin,Preset,Automático"</formula1>
      <formula2>0</formula2>
    </dataValidation>
    <dataValidation allowBlank="true" error="Escolha uma das opções da lista." errorStyle="stop" errorTitle="Valor inválido" operator="between" prompt="O perfil de imagem da câmera." promptTitle="Opções" showDropDown="false" showErrorMessage="true" showInputMessage="true" sqref="H14:H21" type="list">
      <formula1>"Padrão,Neutro,Vívido,Cinema,Log,Outro"</formula1>
      <formula2>0</formula2>
    </dataValidation>
    <dataValidation allowBlank="true" error="Escolha uma das opções da lista." errorStyle="stop" errorTitle="Valor inválido" operator="between" prompt="Comparada lado a lado no mesmo monitor?" promptTitle="Opções" showDropDown="false" showErrorMessage="true" showInputMessage="true" sqref="I14:I21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4:G2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2026-10-01T12:59:22Z</dcterms:created>
  <dc:creator>Estudos: Técnico em áudio e vídeo</dc:creator>
  <dc:description/>
  <dc:language>pt-BR</dc:language>
  <cp:lastModifiedBy/>
  <dcterms:modified xsi:type="dcterms:W3CDTF">2026-10-01T12:59:22Z</dcterms:modified>
  <cp:revision>0</cp:revision>
  <dc:subject/>
  <dc:title>Lentes, foco e cor — calculadora de enquadramento e ficha de cor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