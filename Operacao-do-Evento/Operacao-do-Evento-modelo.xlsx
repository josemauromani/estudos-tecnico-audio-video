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Roteiro técnico" sheetId="2" state="visible" r:id="rId4"/>
    <sheet name="Escala e cronograma" sheetId="3" state="visible" r:id="rId5"/>
    <sheet name="Inventário" sheetId="4" state="visible" r:id="rId6"/>
    <sheet name="Ocorrências e revisão" sheetId="5" state="visible" r:id="rId7"/>
    <sheet name="Referência" sheetId="6" state="visible" r:id="rId8"/>
    <sheet name="Checklist" sheetId="7" state="visible" r:id="rId9"/>
    <sheet name="Exemplo - Roteiro" sheetId="8" state="visible" r:id="rId10"/>
  </sheets>
  <definedNames>
    <definedName function="false" hidden="false" localSheetId="6" name="_xlnm.Print_Area" vbProcedure="false">Checklist!$B$1:$F$20</definedName>
    <definedName function="false" hidden="false" localSheetId="2" name="_xlnm.Print_Area" vbProcedure="false">'Escala e cronograma'!$B$1:$K$46</definedName>
    <definedName function="false" hidden="false" localSheetId="7" name="_xlnm.Print_Area" vbProcedure="false">'Exemplo - Roteiro'!$B$1:$O$58</definedName>
    <definedName function="false" hidden="false" localSheetId="0" name="_xlnm.Print_Area" vbProcedure="false">Instruções!$B$1:$C$39</definedName>
    <definedName function="false" hidden="false" localSheetId="3" name="_xlnm.Print_Area" vbProcedure="false">Inventário!$B$1:$M$62</definedName>
    <definedName function="false" hidden="false" localSheetId="4" name="_xlnm.Print_Area" vbProcedure="false">'Ocorrências e revisão'!$B$1:$N$40</definedName>
    <definedName function="false" hidden="false" localSheetId="5" name="_xlnm.Print_Area" vbProcedure="false">Referência!$B$1:$E$57</definedName>
    <definedName function="false" hidden="false" localSheetId="1" name="_xlnm.Print_Area" vbProcedure="false">'Roteiro técnico'!$B$1:$O$52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11" authorId="0">
      <text>
        <r>
          <rPr>
            <sz val="10"/>
            <rFont val="Arial"/>
            <family val="2"/>
          </rPr>
          <t xml:space="preserve">Duração prevista, em minutos.
Use durações medidas em eventos anteriores, e conte as trocas de palco.</t>
        </r>
      </text>
    </comment>
    <comment ref="E11" authorId="0">
      <text>
        <r>
          <rPr>
            <sz val="10"/>
            <rFont val="Arial"/>
            <family val="2"/>
          </rPr>
          <t xml:space="preserve">Hora de início mais a soma das durações das linhas de cima.</t>
        </r>
      </text>
    </comment>
    <comment ref="L11" authorId="0">
      <text>
        <r>
          <rPr>
            <sz val="10"/>
            <rFont val="Arial"/>
            <family val="2"/>
          </rPr>
          <t xml:space="preserve">O sinal combinado que dispara a entrada do momento: uma frase, um gesto, o fim de uma música ou um comando.</t>
        </r>
      </text>
    </comment>
    <comment ref="M11" authorId="0">
      <text>
        <r>
          <rPr>
            <sz val="10"/>
            <rFont val="Arial"/>
            <family val="2"/>
          </rPr>
          <t xml:space="preserve">Hora em que o momento começou de fato. Anote durante o evento, no formato 19:21.</t>
        </r>
      </text>
    </comment>
    <comment ref="O11" authorId="0">
      <text>
        <r>
          <rPr>
            <sz val="10"/>
            <rFont val="Arial"/>
            <family val="2"/>
          </rPr>
          <t xml:space="preserve">Passa do limite: o momento termina depois da hora limite.
Atrasado ou Adiantado: desvio maior que a tolerância.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24" authorId="0">
      <text>
        <r>
          <rPr>
            <sz val="10"/>
            <rFont val="Arial"/>
            <family val="2"/>
          </rPr>
          <t xml:space="preserve">Folga: reserve sempre uma etapa de folga, com hora marcada.</t>
        </r>
      </text>
    </comment>
    <comment ref="F24" authorId="0">
      <text>
        <r>
          <rPr>
            <sz val="10"/>
            <rFont val="Arial"/>
            <family val="2"/>
          </rPr>
          <t xml:space="preserve">Hora do evento menos a soma das durações desta etapa e das de baixo.</t>
        </r>
      </text>
    </comment>
    <comment ref="I10" authorId="0">
      <text>
        <r>
          <rPr>
            <sz val="10"/>
            <rFont val="Arial"/>
            <family val="2"/>
          </rPr>
          <t xml:space="preserve">A pessoa confirmou presença na véspera?</t>
        </r>
      </text>
    </comment>
    <comment ref="J10" authorId="0">
      <text>
        <r>
          <rPr>
            <sz val="10"/>
            <rFont val="Arial"/>
            <family val="2"/>
          </rPr>
          <t xml:space="preserve">Sem responsável: a função está sem nome.
A confirmar: o nome existe, mas a presença não foi confirmada.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10" authorId="0">
      <text>
        <r>
          <rPr>
            <sz val="10"/>
            <rFont val="Arial"/>
            <family val="2"/>
          </rPr>
          <t xml:space="preserve">Código curto, igual ao da etiqueta no equipamento: C-12, MIC-03.
Use o mesmo código nas ocorrências.</t>
        </r>
      </text>
    </comment>
    <comment ref="J10" authorId="0">
      <text>
        <r>
          <rPr>
            <sz val="10"/>
            <rFont val="Arial"/>
            <family val="2"/>
          </rPr>
          <t xml:space="preserve">De quantos em quantos meses o item é revisado ou testado.
Cabos: 1. Tripés e suportes: 6. Quadro e tomadas: 12.</t>
        </r>
      </text>
    </comment>
    <comment ref="L10" authorId="0">
      <text>
        <r>
          <rPr>
            <sz val="10"/>
            <rFont val="Arial"/>
            <family val="2"/>
          </rPr>
          <t xml:space="preserve">Fora de uso: item com defeito ou em conserto.
Sem data: falta a última manutenção ou o intervalo.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F10" authorId="0">
      <text>
        <r>
          <rPr>
            <sz val="10"/>
            <rFont val="Arial"/>
            <family val="2"/>
          </rPr>
          <t xml:space="preserve">Público percebeu: a falha chegou à sala ou à transmissão.
Quase falha: foi notada a tempo.
Interna: só a equipe percebeu.</t>
        </r>
      </text>
    </comment>
    <comment ref="H10" authorId="0">
      <text>
        <r>
          <rPr>
            <sz val="10"/>
            <rFont val="Arial"/>
            <family val="2"/>
          </rPr>
          <t xml:space="preserve">Procure a causa no processo (roteiro, checklist, equipamento), e não um culpado.</t>
        </r>
      </text>
    </comment>
    <comment ref="N10" authorId="0">
      <text>
        <r>
          <rPr>
            <sz val="10"/>
            <rFont val="Arial"/>
            <family val="2"/>
          </rPr>
          <t xml:space="preserve">Defina a ação, Sem responsável, Sem prazo: a ocorrência ainda não virou mudança.
Atrasada: o prazo passou e a ação não foi feita.</t>
        </r>
      </text>
    </comment>
  </commentList>
</comments>
</file>

<file path=xl/sharedStrings.xml><?xml version="1.0" encoding="utf-8"?>
<sst xmlns="http://schemas.openxmlformats.org/spreadsheetml/2006/main" count="652" uniqueCount="499">
  <si>
    <t xml:space="preserve">Operação do evento — como usar esta planilha</t>
  </si>
  <si>
    <t xml:space="preserve">Roteiro técnico, escala e cronograma de montagem, inventário e registro de ocorrências, do antes ao depois do evento.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</si>
  <si>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</si>
  <si>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</si>
  <si>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</si>
  <si>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</si>
  <si>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horas calculadas, situações, avisos). Não altere.</t>
  </si>
  <si>
    <t xml:space="preserve">Cinza em itálico</t>
  </si>
  <si>
    <t xml:space="preserve">Linha de exemplo (marcada com “Ex.”) e dicas de preenchimento. Não entram nas contas.</t>
  </si>
  <si>
    <t xml:space="preserve">Horas e datas</t>
  </si>
  <si>
    <t xml:space="preserve">Horas no formato 19:00; datas no formato dia/mês/ano. Durações em minutos, só o número.</t>
  </si>
  <si>
    <t xml:space="preserve">Listas suspensas</t>
  </si>
  <si>
    <t xml:space="preserve">Tipo de etapa, estado, categoria, área, gravidade e situação aceitam só as opções da lista.</t>
  </si>
  <si>
    <t xml:space="preserve">Comentários</t>
  </si>
  <si>
    <t xml:space="preserve">Células com triângulo vermelho no canto trazem uma dica. Passe o mouse sobre elas.</t>
  </si>
  <si>
    <t xml:space="preserve">Ordem de preenchimento</t>
  </si>
  <si>
    <t xml:space="preserve">1</t>
  </si>
  <si>
    <t xml:space="preserve">Dias antes. Aba Roteiro técnico: hora de início, hora limite e os momentos, na ordem, com a duração e a deixa.</t>
  </si>
  <si>
    <t xml:space="preserve">2</t>
  </si>
  <si>
    <t xml:space="preserve">Veja a folga até a hora limite. Se o roteiro não couber, combine com quem conduz o que sai.</t>
  </si>
  <si>
    <t xml:space="preserve">3</t>
  </si>
  <si>
    <t xml:space="preserve">Aba Escala e cronograma: a hora do evento, a escala e as etapas de montagem com as durações da sua equipe.</t>
  </si>
  <si>
    <t xml:space="preserve">4</t>
  </si>
  <si>
    <t xml:space="preserve">Aba Inventário: confira se o que vai ao evento está em dia e se nada está fora de uso.</t>
  </si>
  <si>
    <t xml:space="preserve">5</t>
  </si>
  <si>
    <t xml:space="preserve">No evento. Anote no Roteiro técnico a hora real de cada momento, e nas Ocorrências tudo o que falhar.</t>
  </si>
  <si>
    <t xml:space="preserve">6</t>
  </si>
  <si>
    <t xml:space="preserve">Depois. Na reunião de revisão, complete em Ocorrências a causa, a ação, o responsável e o prazo.</t>
  </si>
  <si>
    <t xml:space="preserve">7</t>
  </si>
  <si>
    <t xml:space="preserve">Atualize o Inventário (estado e manutenção) e marque o Checklist.</t>
  </si>
  <si>
    <t xml:space="preserve">Abas da planilha</t>
  </si>
  <si>
    <t xml:space="preserve">Roteiro técnico</t>
  </si>
  <si>
    <t xml:space="preserve">Até 30 momentos, com início e fim calculados, folga até a hora limite e desvio da hora real.</t>
  </si>
  <si>
    <t xml:space="preserve">Escala e cronograma</t>
  </si>
  <si>
    <t xml:space="preserve">Escala de até 10 funções e até 12 etapas de montagem, contadas para trás a partir do evento.</t>
  </si>
  <si>
    <t xml:space="preserve">Inventário</t>
  </si>
  <si>
    <t xml:space="preserve">Até 40 itens, com a próxima manutenção e a situação de cada um.</t>
  </si>
  <si>
    <t xml:space="preserve">Ocorrências e revisão</t>
  </si>
  <si>
    <t xml:space="preserve">Até 15 ocorrências, com alerta das ações sem dono, sem prazo ou atrasadas, e as três perguntas da revisão.</t>
  </si>
  <si>
    <t xml:space="preserve">Referência</t>
  </si>
  <si>
    <t xml:space="preserve">Sintomas e causas prováveis, capacidade dos circuitos, durações de montagem, kit e ordem de ligar.</t>
  </si>
  <si>
    <t xml:space="preserve">Checklist</t>
  </si>
  <si>
    <t xml:space="preserve">Os doze itens do treinamento, com percentual atendido.</t>
  </si>
  <si>
    <t xml:space="preserve">Exemplo - Roteiro</t>
  </si>
  <si>
    <t xml:space="preserve">O roteiro do culto do exemplo 1 do treinamento, com as horas reais e o que a revisão decidiu.</t>
  </si>
  <si>
    <t xml:space="preserve">Regras e premissas do modelo</t>
  </si>
  <si>
    <t xml:space="preserve">Início de cada momento</t>
  </si>
  <si>
    <t xml:space="preserve">Hora de início do evento mais a soma das durações das linhas de cima. Linha sem duração fica sem hora.</t>
  </si>
  <si>
    <t xml:space="preserve">Situação no roteiro</t>
  </si>
  <si>
    <t xml:space="preserve">Passa do limite: termina depois da hora limite. Atrasado ou Adiantado: desvio da hora real maior que a tolerância.</t>
  </si>
  <si>
    <t xml:space="preserve">Cronograma para trás</t>
  </si>
  <si>
    <t xml:space="preserve">Cada etapa começa na hora do evento menos a soma da sua duração e das de baixo. Liste na ordem em que acontecem.</t>
  </si>
  <si>
    <t xml:space="preserve">Próxima manutenção = última + intervalo em meses. Vence logo: nos próximos 30 dias. Item com defeito ou em conserto fica Fora de uso.</t>
  </si>
  <si>
    <t xml:space="preserve">Data de referência</t>
  </si>
  <si>
    <t xml:space="preserve">Em branco, as abas Inventário e Ocorrências usam a data de hoje para dizer o que venceu.</t>
  </si>
  <si>
    <t xml:space="preserve">Valores de referência</t>
  </si>
  <si>
    <t xml:space="preserve">Durações típicas, consumo e limite de 80% do circuito são ponto de partida, e não norma. Confira a etiqueta dos equipamentos e o quadro do local.</t>
  </si>
  <si>
    <t xml:space="preserve">Exemplos</t>
  </si>
  <si>
    <t xml:space="preserve">Os dados das linhas de exemplo e da aba de exemplo são ilustrativos, criados para este material.</t>
  </si>
  <si>
    <t xml:space="preserve">Roteiro técnico — o evento minuto a minuto</t>
  </si>
  <si>
    <t xml:space="preserve">Liste os momentos na ordem, com a duração. O início e o fim de cada momento são calculados.</t>
  </si>
  <si>
    <t xml:space="preserve">Evento</t>
  </si>
  <si>
    <t xml:space="preserve">Hora de início</t>
  </si>
  <si>
    <t xml:space="preserve">A hora em que o evento começa.</t>
  </si>
  <si>
    <t xml:space="preserve">Local</t>
  </si>
  <si>
    <t xml:space="preserve">Hora limite</t>
  </si>
  <si>
    <t xml:space="preserve">A hora em que o evento precisa terminar.</t>
  </si>
  <si>
    <t xml:space="preserve">Data</t>
  </si>
  <si>
    <t xml:space="preserve">Folga mínima (min)</t>
  </si>
  <si>
    <t xml:space="preserve">Quanto deve sobrar até a hora limite.</t>
  </si>
  <si>
    <t xml:space="preserve">Diretor técnico</t>
  </si>
  <si>
    <t xml:space="preserve">Tolerância (min)</t>
  </si>
  <si>
    <t xml:space="preserve">Atraso que ainda conta como no horário.</t>
  </si>
  <si>
    <t xml:space="preserve">Versão do roteiro</t>
  </si>
  <si>
    <t xml:space="preserve">Horas no formato 19:00. Durações e desvios em minutos.</t>
  </si>
  <si>
    <t xml:space="preserve">Momentos do evento, na ordem</t>
  </si>
  <si>
    <t xml:space="preserve">#</t>
  </si>
  <si>
    <t xml:space="preserve">Momento</t>
  </si>
  <si>
    <t xml:space="preserve">Duração</t>
  </si>
  <si>
    <t xml:space="preserve">Início</t>
  </si>
  <si>
    <t xml:space="preserve">Fim</t>
  </si>
  <si>
    <t xml:space="preserve">Quem conduz</t>
  </si>
  <si>
    <t xml:space="preserve">Som</t>
  </si>
  <si>
    <t xml:space="preserve">Vídeo e câmeras</t>
  </si>
  <si>
    <t xml:space="preserve">Luz</t>
  </si>
  <si>
    <t xml:space="preserve">Mídia e telão</t>
  </si>
  <si>
    <t xml:space="preserve">Deixa de entrada</t>
  </si>
  <si>
    <t xml:space="preserve">Hora real</t>
  </si>
  <si>
    <t xml:space="preserve">Desvio</t>
  </si>
  <si>
    <t xml:space="preserve">Situação</t>
  </si>
  <si>
    <t xml:space="preserve">nome usado pela equipe</t>
  </si>
  <si>
    <t xml:space="preserve">min</t>
  </si>
  <si>
    <t xml:space="preserve">calculado</t>
  </si>
  <si>
    <t xml:space="preserve">no palco</t>
  </si>
  <si>
    <t xml:space="preserve">canais, cuidados</t>
  </si>
  <si>
    <t xml:space="preserve">programa</t>
  </si>
  <si>
    <t xml:space="preserve">cena</t>
  </si>
  <si>
    <t xml:space="preserve">nome exato do arquivo</t>
  </si>
  <si>
    <t xml:space="preserve">o que dispara</t>
  </si>
  <si>
    <t xml:space="preserve">anotada no evento</t>
  </si>
  <si>
    <t xml:space="preserve">Ex.</t>
  </si>
  <si>
    <t xml:space="preserve">Avisos, em vídeo</t>
  </si>
  <si>
    <t xml:space="preserve">19:18</t>
  </si>
  <si>
    <t xml:space="preserve">19:22</t>
  </si>
  <si>
    <t xml:space="preserve">Vídeo</t>
  </si>
  <si>
    <t xml:space="preserve">Som do vídeo no canal 11</t>
  </si>
  <si>
    <t xml:space="preserve">Vídeo no programa</t>
  </si>
  <si>
    <t xml:space="preserve">Palco em meia-luz</t>
  </si>
  <si>
    <t xml:space="preserve">avisos.mp4, com áudio</t>
  </si>
  <si>
    <t xml:space="preserve">Último acorde da música</t>
  </si>
  <si>
    <t xml:space="preserve">19:21</t>
  </si>
  <si>
    <t xml:space="preserve">+3</t>
  </si>
  <si>
    <t xml:space="preserve">No horário</t>
  </si>
  <si>
    <t xml:space="preserve">Resumo automático</t>
  </si>
  <si>
    <t xml:space="preserve">Momentos no roteiro</t>
  </si>
  <si>
    <t xml:space="preserve">Duração total (min)</t>
  </si>
  <si>
    <t xml:space="preserve">Fim previsto</t>
  </si>
  <si>
    <t xml:space="preserve">Folga até a hora limite (min)</t>
  </si>
  <si>
    <t xml:space="preserve">Momentos atrasados</t>
  </si>
  <si>
    <t xml:space="preserve">Maior desvio (min)</t>
  </si>
  <si>
    <t xml:space="preserve">Aviso</t>
  </si>
  <si>
    <t xml:space="preserve">Escala e cronograma — quem faz o quê, e a que horas</t>
  </si>
  <si>
    <t xml:space="preserve">O cronograma é contado para trás, a partir da hora do evento. As células cinza são calculadas.</t>
  </si>
  <si>
    <t xml:space="preserve">Hora do evento</t>
  </si>
  <si>
    <t xml:space="preserve">Liberação do local</t>
  </si>
  <si>
    <t xml:space="preserve">A partir de que horas o espaço está disponível.</t>
  </si>
  <si>
    <t xml:space="preserve">Atraso de etapa que ainda conta como OK.</t>
  </si>
  <si>
    <t xml:space="preserve">Escala da equipe</t>
  </si>
  <si>
    <t xml:space="preserve">Função</t>
  </si>
  <si>
    <t xml:space="preserve">Nome</t>
  </si>
  <si>
    <t xml:space="preserve">Contato</t>
  </si>
  <si>
    <t xml:space="preserve">Chegada</t>
  </si>
  <si>
    <t xml:space="preserve">Posto</t>
  </si>
  <si>
    <t xml:space="preserve">Reserva</t>
  </si>
  <si>
    <t xml:space="preserve">Confirmado</t>
  </si>
  <si>
    <t xml:space="preserve">Observação</t>
  </si>
  <si>
    <t xml:space="preserve">telefone</t>
  </si>
  <si>
    <t xml:space="preserve">hora</t>
  </si>
  <si>
    <t xml:space="preserve">onde fica</t>
  </si>
  <si>
    <t xml:space="preserve">quem cobre</t>
  </si>
  <si>
    <t xml:space="preserve">Sim / Não</t>
  </si>
  <si>
    <t xml:space="preserve">Operador de som</t>
  </si>
  <si>
    <t xml:space="preserve">Nome da pessoa</t>
  </si>
  <si>
    <t xml:space="preserve">(00) 00000-0000</t>
  </si>
  <si>
    <t xml:space="preserve">14:30</t>
  </si>
  <si>
    <t xml:space="preserve">Mesa de som</t>
  </si>
  <si>
    <t xml:space="preserve">Nome do reserva</t>
  </si>
  <si>
    <t xml:space="preserve">Sim</t>
  </si>
  <si>
    <t xml:space="preserve">OK</t>
  </si>
  <si>
    <t xml:space="preserve">Cronograma de montagem, contado para trás</t>
  </si>
  <si>
    <t xml:space="preserve">Etapa</t>
  </si>
  <si>
    <t xml:space="preserve">Tipo</t>
  </si>
  <si>
    <t xml:space="preserve">Responsável</t>
  </si>
  <si>
    <t xml:space="preserve">Concluída às</t>
  </si>
  <si>
    <t xml:space="preserve">na ordem</t>
  </si>
  <si>
    <t xml:space="preserve">lista</t>
  </si>
  <si>
    <t xml:space="preserve">hora real</t>
  </si>
  <si>
    <t xml:space="preserve">As etapas e as durações abaixo são as do exemplo da figura 4 do treinamento. Troque pelas da sua equipe. Etapas feitas ao mesmo tempo por pessoas diferentes entram uma vez só, com a duração da mais longa.</t>
  </si>
  <si>
    <t xml:space="preserve">Chegada e descarga</t>
  </si>
  <si>
    <t xml:space="preserve">Montagem</t>
  </si>
  <si>
    <t xml:space="preserve">Montagem e ligações</t>
  </si>
  <si>
    <t xml:space="preserve">Conferência de linhas</t>
  </si>
  <si>
    <t xml:space="preserve">Teste</t>
  </si>
  <si>
    <t xml:space="preserve">Passagem de som e de vídeo</t>
  </si>
  <si>
    <t xml:space="preserve">Folga para imprevistos</t>
  </si>
  <si>
    <t xml:space="preserve">Folga</t>
  </si>
  <si>
    <t xml:space="preserve">Palco limpo, teste final e reunião</t>
  </si>
  <si>
    <t xml:space="preserve">Portas abertas</t>
  </si>
  <si>
    <t xml:space="preserve">Portas</t>
  </si>
  <si>
    <t xml:space="preserve">Tempo total, da chegada ao início (h:mm)</t>
  </si>
  <si>
    <t xml:space="preserve">Hora de chegada da equipe</t>
  </si>
  <si>
    <t xml:space="preserve">Folga reservada (min)</t>
  </si>
  <si>
    <t xml:space="preserve">Etapas atrasadas</t>
  </si>
  <si>
    <t xml:space="preserve">Funções sem responsável ou a confirmar</t>
  </si>
  <si>
    <t xml:space="preserve">Inventário — equipamentos, estado e manutenção</t>
  </si>
  <si>
    <t xml:space="preserve">Um item por linha. A próxima manutenção e a situação são calculadas a partir da última data e do intervalo.</t>
  </si>
  <si>
    <t xml:space="preserve">Equipe ou local</t>
  </si>
  <si>
    <t xml:space="preserve">Em branco, a planilha usa a data de hoje.</t>
  </si>
  <si>
    <t xml:space="preserve">Responsável pelo inventário</t>
  </si>
  <si>
    <t xml:space="preserve">Data usada nas contas</t>
  </si>
  <si>
    <t xml:space="preserve">Vence logo: a próxima manutenção cai nos próximos 30 dias.</t>
  </si>
  <si>
    <t xml:space="preserve">Equipamentos</t>
  </si>
  <si>
    <t xml:space="preserve">Código</t>
  </si>
  <si>
    <t xml:space="preserve">Item</t>
  </si>
  <si>
    <t xml:space="preserve">Categoria</t>
  </si>
  <si>
    <t xml:space="preserve">Qtde</t>
  </si>
  <si>
    <t xml:space="preserve">Local de guarda</t>
  </si>
  <si>
    <t xml:space="preserve">Estado</t>
  </si>
  <si>
    <t xml:space="preserve">Última manutenção</t>
  </si>
  <si>
    <t xml:space="preserve">Intervalo</t>
  </si>
  <si>
    <t xml:space="preserve">Próxima</t>
  </si>
  <si>
    <t xml:space="preserve">etiqueta</t>
  </si>
  <si>
    <t xml:space="preserve">descrição</t>
  </si>
  <si>
    <t xml:space="preserve">caixa, armário</t>
  </si>
  <si>
    <t xml:space="preserve">data</t>
  </si>
  <si>
    <t xml:space="preserve">meses</t>
  </si>
  <si>
    <t xml:space="preserve">calculada</t>
  </si>
  <si>
    <t xml:space="preserve">C-12</t>
  </si>
  <si>
    <t xml:space="preserve">Cabo XLR de 10 m</t>
  </si>
  <si>
    <t xml:space="preserve">Cabos</t>
  </si>
  <si>
    <t xml:space="preserve">Caixa de cabos 2</t>
  </si>
  <si>
    <t xml:space="preserve">Bom</t>
  </si>
  <si>
    <t xml:space="preserve">01/09/2026</t>
  </si>
  <si>
    <t xml:space="preserve">01/10/2026</t>
  </si>
  <si>
    <t xml:space="preserve">Vence logo</t>
  </si>
  <si>
    <t xml:space="preserve">Testado com o testador de cabos</t>
  </si>
  <si>
    <t xml:space="preserve">Itens cadastrados</t>
  </si>
  <si>
    <t xml:space="preserve">Quantidade total</t>
  </si>
  <si>
    <t xml:space="preserve">Em dia</t>
  </si>
  <si>
    <t xml:space="preserve">Vence nos próximos 30 dias</t>
  </si>
  <si>
    <t xml:space="preserve">Manutenção vencida</t>
  </si>
  <si>
    <t xml:space="preserve">Fora de uso</t>
  </si>
  <si>
    <t xml:space="preserve">Sem data</t>
  </si>
  <si>
    <t xml:space="preserve">Ocorrências e revisão — do que aconteceu ao que muda</t>
  </si>
  <si>
    <t xml:space="preserve">Anote no evento, com a hora. Na reunião de revisão, complete a causa, a ação, o responsável e o prazo.</t>
  </si>
  <si>
    <t xml:space="preserve">Data do evento</t>
  </si>
  <si>
    <t xml:space="preserve">Registro de ocorrências</t>
  </si>
  <si>
    <t xml:space="preserve">Hora</t>
  </si>
  <si>
    <t xml:space="preserve">Área</t>
  </si>
  <si>
    <t xml:space="preserve">Gravidade</t>
  </si>
  <si>
    <t xml:space="preserve">O que aconteceu</t>
  </si>
  <si>
    <t xml:space="preserve">Causa provável</t>
  </si>
  <si>
    <t xml:space="preserve">O que foi feito na hora</t>
  </si>
  <si>
    <t xml:space="preserve">Ação para o próximo evento</t>
  </si>
  <si>
    <t xml:space="preserve">Prazo</t>
  </si>
  <si>
    <t xml:space="preserve">Ação</t>
  </si>
  <si>
    <t xml:space="preserve">Alerta</t>
  </si>
  <si>
    <t xml:space="preserve">hh:mm</t>
  </si>
  <si>
    <t xml:space="preserve">do roteiro</t>
  </si>
  <si>
    <t xml:space="preserve">o sintoma, sem culpado</t>
  </si>
  <si>
    <t xml:space="preserve">no processo</t>
  </si>
  <si>
    <t xml:space="preserve">plano B usado</t>
  </si>
  <si>
    <t xml:space="preserve">o que muda</t>
  </si>
  <si>
    <t xml:space="preserve">um nome</t>
  </si>
  <si>
    <t xml:space="preserve">Aberta / Feita</t>
  </si>
  <si>
    <t xml:space="preserve">Avisos</t>
  </si>
  <si>
    <t xml:space="preserve">Mídia</t>
  </si>
  <si>
    <t xml:space="preserve">Público percebeu</t>
  </si>
  <si>
    <t xml:space="preserve">Vídeo de avisos entrou sem som</t>
  </si>
  <si>
    <t xml:space="preserve">O roteiro não dizia que o vídeo tinha áudio</t>
  </si>
  <si>
    <t xml:space="preserve">Canal 11 aberto 20 s depois</t>
  </si>
  <si>
    <t xml:space="preserve">Coluna “tem áudio?” na lista de mídias e teste na passagem</t>
  </si>
  <si>
    <t xml:space="preserve">Operador de mídia</t>
  </si>
  <si>
    <t xml:space="preserve">10/10/2026</t>
  </si>
  <si>
    <t xml:space="preserve">Aberta</t>
  </si>
  <si>
    <t xml:space="preserve">No prazo</t>
  </si>
  <si>
    <t xml:space="preserve">Ocorrências registradas</t>
  </si>
  <si>
    <t xml:space="preserve">Percebidas pelo público</t>
  </si>
  <si>
    <t xml:space="preserve">Ações abertas</t>
  </si>
  <si>
    <t xml:space="preserve">Ações atrasadas</t>
  </si>
  <si>
    <t xml:space="preserve">Ocorrências sem ação, responsável ou prazo</t>
  </si>
  <si>
    <t xml:space="preserve">Reunião de revisão: as três perguntas</t>
  </si>
  <si>
    <t xml:space="preserve">O que funcionou e deve ser mantido?</t>
  </si>
  <si>
    <t xml:space="preserve">O que falhou, ou quase falhou?</t>
  </si>
  <si>
    <t xml:space="preserve">O que muda no próximo evento?</t>
  </si>
  <si>
    <t xml:space="preserve">Referência — consulta rápida</t>
  </si>
  <si>
    <t xml:space="preserve">Valores de referência, para servir de ponto de partida. Confira o manual e a etiqueta do seu equipamento.</t>
  </si>
  <si>
    <t xml:space="preserve">Sintomas e causas prováveis</t>
  </si>
  <si>
    <t xml:space="preserve">Sintoma</t>
  </si>
  <si>
    <t xml:space="preserve">Causas mais prováveis, na ordem</t>
  </si>
  <si>
    <t xml:space="preserve">Primeiro teste</t>
  </si>
  <si>
    <t xml:space="preserve">Estudo para rever</t>
  </si>
  <si>
    <t xml:space="preserve">Um canal sem som</t>
  </si>
  <si>
    <t xml:space="preserve">Mute; fader ou roteamento; cabo; phantom desligado em condensador ou DI ativa; pilha do sem fio.</t>
  </si>
  <si>
    <t xml:space="preserve">Medidor do canal no PFL.</t>
  </si>
  <si>
    <t xml:space="preserve">Mesa de som; Cabos</t>
  </si>
  <si>
    <t xml:space="preserve">Tudo sem som</t>
  </si>
  <si>
    <t xml:space="preserve">Master ou saída em mute; amplificador ou caixas desligados; cabo de saída; disjuntor.</t>
  </si>
  <si>
    <t xml:space="preserve">Medidor do master.</t>
  </si>
  <si>
    <t xml:space="preserve">Caixas e amplificação</t>
  </si>
  <si>
    <t xml:space="preserve">Zumbido grave contínuo</t>
  </si>
  <si>
    <t xml:space="preserve">Laço de terra entre aparelhos em tomadas diferentes; cabo desbalanceado longo; sinal junto de energia ou dimmer.</t>
  </si>
  <si>
    <t xml:space="preserve">Feche canal por canal até sumir.</t>
  </si>
  <si>
    <t xml:space="preserve">Cabos e conexões</t>
  </si>
  <si>
    <t xml:space="preserve">Chiado constante</t>
  </si>
  <si>
    <t xml:space="preserve">Ganho baixo compensado adiante; caixa ativa aberta demais; sem fio com sinal fraco.</t>
  </si>
  <si>
    <t xml:space="preserve">Feche o canal: o chiado some?</t>
  </si>
  <si>
    <t xml:space="preserve">Ganho e fader</t>
  </si>
  <si>
    <t xml:space="preserve">Estalos que vão e voltam</t>
  </si>
  <si>
    <t xml:space="preserve">Mau contato em cabo ou conector; sem fio com interferência ou pilha fraca.</t>
  </si>
  <si>
    <t xml:space="preserve">Mexa de leve no cabo, com o canal baixo.</t>
  </si>
  <si>
    <t xml:space="preserve">Cabos; Microfones sem fio</t>
  </si>
  <si>
    <t xml:space="preserve">Distorção</t>
  </si>
  <si>
    <t xml:space="preserve">Ganho alto; fonte de linha em entrada de microfone; ganho alto no transmissor; sistema no limite.</t>
  </si>
  <si>
    <t xml:space="preserve">Luz de clip do canal.</t>
  </si>
  <si>
    <t xml:space="preserve">Apito</t>
  </si>
  <si>
    <t xml:space="preserve">Microfone de frente para a caixa; retorno alto; muitos microfones abertos.</t>
  </si>
  <si>
    <t xml:space="preserve">Baixe o canal ou o retorno suspeito.</t>
  </si>
  <si>
    <t xml:space="preserve">Microfonia</t>
  </si>
  <si>
    <t xml:space="preserve">Câmera “sem sinal” no switcher</t>
  </si>
  <si>
    <t xml:space="preserve">Cabo solto ou com defeito; formato diferente do sistema; conversor sem energia.</t>
  </si>
  <si>
    <t xml:space="preserve">Câmera direto em um monitor.</t>
  </si>
  <si>
    <t xml:space="preserve">Sinais de vídeo</t>
  </si>
  <si>
    <t xml:space="preserve">Imagem pisca ou cai</t>
  </si>
  <si>
    <t xml:space="preserve">Cabo longo demais ou ruim; conector frouxo; adaptador.</t>
  </si>
  <si>
    <t xml:space="preserve">Troque por um cabo curto e bom.</t>
  </si>
  <si>
    <t xml:space="preserve">Telão sem imagem</t>
  </si>
  <si>
    <t xml:space="preserve">Entrada errada no projetor; segunda tela desativada; cabo; resolução não aceita.</t>
  </si>
  <si>
    <t xml:space="preserve">O projetor diz “sem sinal”?</t>
  </si>
  <si>
    <t xml:space="preserve">Projeção e mídia</t>
  </si>
  <si>
    <t xml:space="preserve">Vídeo toca sem som</t>
  </si>
  <si>
    <t xml:space="preserve">Saída de áudio do computador errada; volume do computador; canal da mesa fechado.</t>
  </si>
  <si>
    <t xml:space="preserve">Medidor do canal do computador.</t>
  </si>
  <si>
    <t xml:space="preserve">Faixas ou cintilação na imagem</t>
  </si>
  <si>
    <t xml:space="preserve">Obturador em desacordo com as lâmpadas ou o telão de LED.</t>
  </si>
  <si>
    <t xml:space="preserve">Mude o obturador e observe.</t>
  </si>
  <si>
    <t xml:space="preserve">Exposição</t>
  </si>
  <si>
    <t xml:space="preserve">Transmissão travando</t>
  </si>
  <si>
    <t xml:space="preserve">Upload insuficiente ou instável; bitrate alto; Wi-Fi; computador sobrecarregado.</t>
  </si>
  <si>
    <t xml:space="preserve">Quadros perdidos no codificador.</t>
  </si>
  <si>
    <t xml:space="preserve">Transmissão ao vivo</t>
  </si>
  <si>
    <t xml:space="preserve">Transmissão sem áudio</t>
  </si>
  <si>
    <t xml:space="preserve">Fonte de áudio errada no codificador; saída da mesa em mute.</t>
  </si>
  <si>
    <t xml:space="preserve">Medidor de áudio do codificador.</t>
  </si>
  <si>
    <t xml:space="preserve">Capacidade dos circuitos (corrente × tensão)</t>
  </si>
  <si>
    <t xml:space="preserve">Disjuntor ou elo</t>
  </si>
  <si>
    <t xml:space="preserve">Capacidade em 127 V e em 220 V</t>
  </si>
  <si>
    <t xml:space="preserve">Até 80%, em 127 V e em 220 V</t>
  </si>
  <si>
    <t xml:space="preserve">Onde aparece</t>
  </si>
  <si>
    <t xml:space="preserve">10 A</t>
  </si>
  <si>
    <t xml:space="preserve">1.270 W · 2.200 W</t>
  </si>
  <si>
    <t xml:space="preserve">1.016 W · 1.760 W</t>
  </si>
  <si>
    <t xml:space="preserve">Tomada comum, a maioria das réguas e extensões.</t>
  </si>
  <si>
    <t xml:space="preserve">16 A</t>
  </si>
  <si>
    <t xml:space="preserve">2.032 W · 3.520 W</t>
  </si>
  <si>
    <t xml:space="preserve">1.626 W · 2.816 W</t>
  </si>
  <si>
    <t xml:space="preserve">Disjuntor comum de circuitos de tomadas.</t>
  </si>
  <si>
    <t xml:space="preserve">20 A</t>
  </si>
  <si>
    <t xml:space="preserve">2.540 W · 4.400 W</t>
  </si>
  <si>
    <t xml:space="preserve">Tomada de 20 A, circuitos de maior carga.</t>
  </si>
  <si>
    <t xml:space="preserve">25 A</t>
  </si>
  <si>
    <t xml:space="preserve">3.175 W · 5.500 W</t>
  </si>
  <si>
    <t xml:space="preserve">Circuitos dedicados, conforme o projeto.</t>
  </si>
  <si>
    <t xml:space="preserve">Durações típicas de montagem</t>
  </si>
  <si>
    <t xml:space="preserve">Do que depende</t>
  </si>
  <si>
    <t xml:space="preserve">Duração típica</t>
  </si>
  <si>
    <t xml:space="preserve">Chegada, descarga e posicionamento</t>
  </si>
  <si>
    <t xml:space="preserve">Distância do carro ao palco, escadas, volume de carga.</t>
  </si>
  <si>
    <t xml:space="preserve">20 a 40 min</t>
  </si>
  <si>
    <t xml:space="preserve">Montagem de som, de vídeo ou de luz</t>
  </si>
  <si>
    <t xml:space="preserve">Número de linhas e de câmeras, refletores a pendurar.</t>
  </si>
  <si>
    <t xml:space="preserve">45 a 120 min</t>
  </si>
  <si>
    <t xml:space="preserve">Feitas ao mesmo tempo, entra a mais longa.</t>
  </si>
  <si>
    <t xml:space="preserve">Número de canais.</t>
  </si>
  <si>
    <t xml:space="preserve">15 a 30 min</t>
  </si>
  <si>
    <t xml:space="preserve">Sem os músicos.</t>
  </si>
  <si>
    <t xml:space="preserve">Banda ou só fala.</t>
  </si>
  <si>
    <t xml:space="preserve">60 a 90 min</t>
  </si>
  <si>
    <t xml:space="preserve">Só com fala: 20 a 30 min.</t>
  </si>
  <si>
    <t xml:space="preserve">Local, equipe ou equipamento novos.</t>
  </si>
  <si>
    <t xml:space="preserve">É uma etapa, com hora marcada.</t>
  </si>
  <si>
    <t xml:space="preserve">15 min</t>
  </si>
  <si>
    <t xml:space="preserve">Termina quando as portas abrem.</t>
  </si>
  <si>
    <t xml:space="preserve">Portas abertas até o início</t>
  </si>
  <si>
    <t xml:space="preserve">Combinado com a organização.</t>
  </si>
  <si>
    <t xml:space="preserve">20 a 30 min</t>
  </si>
  <si>
    <t xml:space="preserve">Ordem de ligar e de desligar</t>
  </si>
  <si>
    <t xml:space="preserve">Ligar, nesta ordem</t>
  </si>
  <si>
    <t xml:space="preserve">Desligar, nesta ordem</t>
  </si>
  <si>
    <t xml:space="preserve">Cuidado</t>
  </si>
  <si>
    <t xml:space="preserve">1. Energia: disjuntores, no-break, réguas</t>
  </si>
  <si>
    <t xml:space="preserve">1. Amplificadores e caixas ativas</t>
  </si>
  <si>
    <t xml:space="preserve">O que amplifica liga por último e desliga primeiro.</t>
  </si>
  <si>
    <t xml:space="preserve">2. Fontes e periféricos</t>
  </si>
  <si>
    <t xml:space="preserve">2. Mesa e switcher (salve a cena)</t>
  </si>
  <si>
    <t xml:space="preserve">Espere cada etapa terminar de iniciar.</t>
  </si>
  <si>
    <t xml:space="preserve">3. Mesa e switcher, master fechado</t>
  </si>
  <si>
    <t xml:space="preserve">3. Fontes e periféricos (computador pelo sistema)</t>
  </si>
  <si>
    <t xml:space="preserve">Projetor de lâmpada: espere a ventoinha parar.</t>
  </si>
  <si>
    <t xml:space="preserve">4. Amplificadores e caixas ativas</t>
  </si>
  <si>
    <t xml:space="preserve">4. Energia</t>
  </si>
  <si>
    <t xml:space="preserve">Se a energia cair, desligue as caixas antes que ela volte.</t>
  </si>
  <si>
    <t xml:space="preserve">Kit de emergência</t>
  </si>
  <si>
    <t xml:space="preserve">Para quê</t>
  </si>
  <si>
    <t xml:space="preserve">Quantidade sugerida</t>
  </si>
  <si>
    <t xml:space="preserve">Conferir</t>
  </si>
  <si>
    <t xml:space="preserve">Microfone com fio e cabo XLR longo</t>
  </si>
  <si>
    <t xml:space="preserve">Plano B do microfone de quem fala.</t>
  </si>
  <si>
    <t xml:space="preserve">Pronto perto do palco.</t>
  </si>
  <si>
    <t xml:space="preserve">Cabos XLR, P10, HDMI (e SDI, se usado)</t>
  </si>
  <si>
    <t xml:space="preserve">Trocar cabo com defeito.</t>
  </si>
  <si>
    <t xml:space="preserve">2 ou 3 de cada</t>
  </si>
  <si>
    <t xml:space="preserve">Testados no mês.</t>
  </si>
  <si>
    <t xml:space="preserve">Direct box e cabo P2</t>
  </si>
  <si>
    <t xml:space="preserve">Ligar celular ou computador de última hora.</t>
  </si>
  <si>
    <t xml:space="preserve">Pilhas ou baterias</t>
  </si>
  <si>
    <t xml:space="preserve">Sem fio.</t>
  </si>
  <si>
    <t xml:space="preserve">Um jogo novo por sistema, mais um</t>
  </si>
  <si>
    <t xml:space="preserve">Validade e carga.</t>
  </si>
  <si>
    <t xml:space="preserve">Adaptadores, extensão, régua, fontes</t>
  </si>
  <si>
    <t xml:space="preserve">Energia e conexões.</t>
  </si>
  <si>
    <t xml:space="preserve">1 de cada</t>
  </si>
  <si>
    <t xml:space="preserve">Capacidade da régua e da extensão.</t>
  </si>
  <si>
    <t xml:space="preserve">Mídias em pen drive e segundo computador</t>
  </si>
  <si>
    <t xml:space="preserve">Plano B da mídia.</t>
  </si>
  <si>
    <t xml:space="preserve">Arquivos da versão final.</t>
  </si>
  <si>
    <t xml:space="preserve">Testador de cabos e de tomadas, lanterna</t>
  </si>
  <si>
    <t xml:space="preserve">Diagnóstico.</t>
  </si>
  <si>
    <t xml:space="preserve">Pilhas do testador.</t>
  </si>
  <si>
    <t xml:space="preserve">Fita de palco, fita crepe, caneta, abraçadeiras</t>
  </si>
  <si>
    <t xml:space="preserve">Prender e identificar.</t>
  </si>
  <si>
    <t xml:space="preserve">Etiquetas “com defeito”</t>
  </si>
  <si>
    <t xml:space="preserve">Tirar de uso o que falhou.</t>
  </si>
  <si>
    <t xml:space="preserve">10</t>
  </si>
  <si>
    <t xml:space="preserve">Roteiro impresso e lista de contatos</t>
  </si>
  <si>
    <t xml:space="preserve">Se a tela falhar.</t>
  </si>
  <si>
    <t xml:space="preserve">1 por posto</t>
  </si>
  <si>
    <t xml:space="preserve">Versão final.</t>
  </si>
  <si>
    <t xml:space="preserve">Faixas típicas de eventos pequenos e médios. O limite de 80% do circuito é regra prática deste material, e não norma.</t>
  </si>
  <si>
    <t xml:space="preserve">Checklist da operação do evento</t>
  </si>
  <si>
    <t xml:space="preserve">Os oito primeiros antes de abrir as portas; os outros, durante e depois. Escolha a situação na lista suspensa.</t>
  </si>
  <si>
    <t xml:space="preserve">Grupo</t>
  </si>
  <si>
    <t xml:space="preserve">Antes</t>
  </si>
  <si>
    <t xml:space="preserve">O roteiro técnico tem duração, deixa e instrução de som, vídeo, luz e mídia em cada momento.</t>
  </si>
  <si>
    <t xml:space="preserve">A soma das durações cabe no horário, e o que sai em caso de atraso está combinado.</t>
  </si>
  <si>
    <t xml:space="preserve">Todos os postos têm a mesma versão do roteiro, e ele foi lido em voz alta com a equipe.</t>
  </si>
  <si>
    <t xml:space="preserve">Cada função tem um responsável confirmado, e as funções críticas têm reserva.</t>
  </si>
  <si>
    <t xml:space="preserve">O cronograma foi contado para trás, com folga, e a montagem terminou antes de abrir as portas.</t>
  </si>
  <si>
    <t xml:space="preserve">A tensão, o terra e a carga de cada circuito foram conferidos, e nenhuma régua está ligada em outra.</t>
  </si>
  <si>
    <t xml:space="preserve">Os cabos nas passagens estão presos, os tripés estão travados e as saídas estão livres.</t>
  </si>
  <si>
    <t xml:space="preserve">O kit de emergência está à mão, e o plano B dos itens críticos tem responsável.</t>
  </si>
  <si>
    <t xml:space="preserve">Durante</t>
  </si>
  <si>
    <t xml:space="preserve">A comunicação foi testada com todos os postos, e os comandos seguem o padrão combinado.</t>
  </si>
  <si>
    <t xml:space="preserve">A hora real de cada momento e as ocorrências foram anotadas durante o evento.</t>
  </si>
  <si>
    <t xml:space="preserve">Depois</t>
  </si>
  <si>
    <t xml:space="preserve">O sistema foi desligado na ordem, os itens foram contados e o que falhou recebeu etiqueta.</t>
  </si>
  <si>
    <t xml:space="preserve">A reunião de revisão foi feita, e cada ação tem responsável e prazo.</t>
  </si>
  <si>
    <t xml:space="preserve">Itens respondidos</t>
  </si>
  <si>
    <t xml:space="preserve">Percentual atendido (Parcial vale metade)</t>
  </si>
  <si>
    <t xml:space="preserve">Exemplo preenchido, para consulta. Use a aba Roteiro técnico para o seu evento.</t>
  </si>
  <si>
    <t xml:space="preserve">Culto de domingo, com transmissão</t>
  </si>
  <si>
    <t xml:space="preserve">Igreja de 200 lugares</t>
  </si>
  <si>
    <t xml:space="preserve">Diretor técnico da escala</t>
  </si>
  <si>
    <t xml:space="preserve">Versão 3, fechada no sábado às 18:00</t>
  </si>
  <si>
    <t xml:space="preserve">Exemplo 1 do treinamento. As colunas Início, Fim, Desvio e Situação são calculadas.</t>
  </si>
  <si>
    <t xml:space="preserve">Abertura e boas-vindas</t>
  </si>
  <si>
    <t xml:space="preserve">Dirigente</t>
  </si>
  <si>
    <t xml:space="preserve">Mic do dirigente</t>
  </si>
  <si>
    <t xml:space="preserve">Câmera 2 de frente</t>
  </si>
  <si>
    <t xml:space="preserve">Palco aceso</t>
  </si>
  <si>
    <t xml:space="preserve">Tela de abertura</t>
  </si>
  <si>
    <t xml:space="preserve">Comando do diretor técnico</t>
  </si>
  <si>
    <t xml:space="preserve">Louvor, três músicas</t>
  </si>
  <si>
    <t xml:space="preserve">Dirigente e banda</t>
  </si>
  <si>
    <t xml:space="preserve">Banda aberta, voz principal por cima; púlpito fechado</t>
  </si>
  <si>
    <t xml:space="preserve">Câmera 1 no geral; 2 e 3 nos músicos e na voz</t>
  </si>
  <si>
    <t xml:space="preserve">Cena de louvor; plateia em meia-luz</t>
  </si>
  <si>
    <t xml:space="preserve">Letras, música por música</t>
  </si>
  <si>
    <t xml:space="preserve">O dirigente diz “vamos cantar”</t>
  </si>
  <si>
    <t xml:space="preserve">Som do vídeo no canal 11; banda fechada</t>
  </si>
  <si>
    <t xml:space="preserve">avisos-04-out.mp4, com áudio</t>
  </si>
  <si>
    <t xml:space="preserve">Último acorde da terceira música</t>
  </si>
  <si>
    <t xml:space="preserve">Leitura bíblica</t>
  </si>
  <si>
    <t xml:space="preserve">Leitor</t>
  </si>
  <si>
    <t xml:space="preserve">Mic do púlpito</t>
  </si>
  <si>
    <t xml:space="preserve">Câmera 2 no leitor</t>
  </si>
  <si>
    <t xml:space="preserve">Foco no púlpito</t>
  </si>
  <si>
    <t xml:space="preserve">Texto bíblico</t>
  </si>
  <si>
    <t xml:space="preserve">O vídeo termina</t>
  </si>
  <si>
    <t xml:space="preserve">Oferta, com música</t>
  </si>
  <si>
    <t xml:space="preserve">Banda</t>
  </si>
  <si>
    <t xml:space="preserve">Teclado, violão e vozes de apoio</t>
  </si>
  <si>
    <t xml:space="preserve">Câmera 1 no geral e em detalhes</t>
  </si>
  <si>
    <t xml:space="preserve">Cena de louvor</t>
  </si>
  <si>
    <t xml:space="preserve">Letra da música</t>
  </si>
  <si>
    <t xml:space="preserve">O leitor diz “amém”</t>
  </si>
  <si>
    <t xml:space="preserve">Coral, uma música</t>
  </si>
  <si>
    <t xml:space="preserve">Coral</t>
  </si>
  <si>
    <t xml:space="preserve">Mics do coral abertos; banda fechada</t>
  </si>
  <si>
    <t xml:space="preserve">Câmera 1 no coral</t>
  </si>
  <si>
    <t xml:space="preserve">Letra do coral</t>
  </si>
  <si>
    <t xml:space="preserve">O coral está posicionado</t>
  </si>
  <si>
    <t xml:space="preserve">Pregação</t>
  </si>
  <si>
    <t xml:space="preserve">Pastor</t>
  </si>
  <si>
    <t xml:space="preserve">Lapela do pastor; coral fechado</t>
  </si>
  <si>
    <t xml:space="preserve">Câmera 2 no pastor; câmera 1 no geral</t>
  </si>
  <si>
    <t xml:space="preserve">Foco no púlpito; plateia em meia-luz</t>
  </si>
  <si>
    <t xml:space="preserve">Versículos citados</t>
  </si>
  <si>
    <t xml:space="preserve">O coral desce; o pastor sobe</t>
  </si>
  <si>
    <t xml:space="preserve">Oração, com teclado de fundo</t>
  </si>
  <si>
    <t xml:space="preserve">Lapela e teclado baixo</t>
  </si>
  <si>
    <t xml:space="preserve">Câmera 2 no pastor</t>
  </si>
  <si>
    <t xml:space="preserve">Tela de oração</t>
  </si>
  <si>
    <t xml:space="preserve">O pastor diz “vamos orar”</t>
  </si>
  <si>
    <t xml:space="preserve">Música final</t>
  </si>
  <si>
    <t xml:space="preserve">Banda aberta</t>
  </si>
  <si>
    <t xml:space="preserve">Câmeras 1, 2 e 3</t>
  </si>
  <si>
    <t xml:space="preserve">O pastor diz “amém”</t>
  </si>
  <si>
    <t xml:space="preserve">Bênção e encerramento</t>
  </si>
  <si>
    <t xml:space="preserve">Lapela do pastor; banda em fundo</t>
  </si>
  <si>
    <t xml:space="preserve">Câmera 2; depois, tela final</t>
  </si>
  <si>
    <t xml:space="preserve">Plateia acesa no fim</t>
  </si>
  <si>
    <t xml:space="preserve">Tela de encerramento</t>
  </si>
  <si>
    <t xml:space="preserve">O que foi decidido na reunião de revisão</t>
  </si>
  <si>
    <t xml:space="preserve">Começar na hora: contagem regressiva de 5 min no telão, disparada às 18:55.</t>
  </si>
  <si>
    <t xml:space="preserve">Próximo domingo</t>
  </si>
  <si>
    <t xml:space="preserve">Relógio de palco visível do púlpito, com aviso aos 35 min de pregação.</t>
  </si>
  <si>
    <t xml:space="preserve">Roteiro modelo com as durações medidas: louvor 17 min, pregação 40 a 45 min.</t>
  </si>
  <si>
    <t xml:space="preserve">Quinta-feira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</si>
</sst>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hh:mm"/>
    <numFmt numFmtId="166" formatCode="dd/mm/yyyy"/>
    <numFmt numFmtId="167" formatCode="\+0;\-0;0"/>
    <numFmt numFmtId="168" formatCode="General"/>
    <numFmt numFmtId="169" formatCode="[h]:mm"/>
    <numFmt numFmtId="170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BEBC8"/>
      </patternFill>
    </fill>
    <fill>
      <patternFill patternType="solid">
        <fgColor rgb="FF2B5C8A"/>
        <bgColor rgb="FF1E7B73"/>
      </patternFill>
    </fill>
    <fill>
      <patternFill patternType="solid">
        <fgColor rgb="FF1E7B73"/>
        <bgColor rgb="FF008080"/>
      </patternFill>
    </fill>
    <fill>
      <patternFill patternType="solid">
        <fgColor rgb="FFA96A12"/>
        <bgColor rgb="FFB0413E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C0C0C0"/>
      <rgbColor rgb="FF808080"/>
      <rgbColor rgb="FF9999FF"/>
      <rgbColor rgb="FFB0413E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FDD"/>
      <rgbColor rgb="FFFBEBC8"/>
      <rgbColor rgb="FF99CCFF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6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19.5" hidden="false" customHeight="true" outlineLevel="0" collapsed="false">
      <c r="B9" s="4" t="s">
        <v>11</v>
      </c>
      <c r="C9" s="7" t="s">
        <v>12</v>
      </c>
    </row>
    <row r="10" customFormat="false" ht="19.5" hidden="false" customHeight="true" outlineLevel="0" collapsed="false">
      <c r="B10" s="4" t="s">
        <v>13</v>
      </c>
      <c r="C10" s="7" t="s">
        <v>14</v>
      </c>
    </row>
    <row r="12" customFormat="false" ht="21.75" hidden="false" customHeight="true" outlineLevel="0" collapsed="false">
      <c r="B12" s="3" t="s">
        <v>15</v>
      </c>
      <c r="C12" s="3"/>
    </row>
    <row r="13" customFormat="false" ht="31.5" hidden="false" customHeight="true" outlineLevel="0" collapsed="false">
      <c r="B13" s="8" t="s">
        <v>16</v>
      </c>
      <c r="C13" s="7" t="s">
        <v>17</v>
      </c>
    </row>
    <row r="14" customFormat="false" ht="19.5" hidden="false" customHeight="true" outlineLevel="0" collapsed="false">
      <c r="B14" s="8" t="s">
        <v>18</v>
      </c>
      <c r="C14" s="7" t="s">
        <v>19</v>
      </c>
    </row>
    <row r="15" customFormat="false" ht="31.5" hidden="false" customHeight="true" outlineLevel="0" collapsed="false">
      <c r="B15" s="8" t="s">
        <v>20</v>
      </c>
      <c r="C15" s="7" t="s">
        <v>21</v>
      </c>
    </row>
    <row r="16" customFormat="false" ht="19.5" hidden="false" customHeight="true" outlineLevel="0" collapsed="false">
      <c r="B16" s="8" t="s">
        <v>22</v>
      </c>
      <c r="C16" s="7" t="s">
        <v>23</v>
      </c>
    </row>
    <row r="17" customFormat="false" ht="31.5" hidden="false" customHeight="true" outlineLevel="0" collapsed="false">
      <c r="B17" s="8" t="s">
        <v>24</v>
      </c>
      <c r="C17" s="7" t="s">
        <v>25</v>
      </c>
    </row>
    <row r="18" customFormat="false" ht="19.5" hidden="false" customHeight="true" outlineLevel="0" collapsed="false">
      <c r="B18" s="8" t="s">
        <v>26</v>
      </c>
      <c r="C18" s="7" t="s">
        <v>27</v>
      </c>
    </row>
    <row r="19" customFormat="false" ht="19.5" hidden="false" customHeight="true" outlineLevel="0" collapsed="false">
      <c r="B19" s="8" t="s">
        <v>28</v>
      </c>
      <c r="C19" s="7" t="s">
        <v>29</v>
      </c>
    </row>
    <row r="21" customFormat="false" ht="21.75" hidden="false" customHeight="true" outlineLevel="0" collapsed="false">
      <c r="B21" s="3" t="s">
        <v>30</v>
      </c>
      <c r="C21" s="3"/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31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8" customFormat="false" ht="19.5" hidden="false" customHeight="true" outlineLevel="0" collapsed="false">
      <c r="B28" s="4" t="s">
        <v>43</v>
      </c>
      <c r="C28" s="7" t="s">
        <v>44</v>
      </c>
    </row>
    <row r="30" customFormat="false" ht="21.75" hidden="false" customHeight="true" outlineLevel="0" collapsed="false">
      <c r="B30" s="3" t="s">
        <v>45</v>
      </c>
      <c r="C30" s="3"/>
    </row>
    <row r="31" customFormat="false" ht="31.5" hidden="false" customHeight="true" outlineLevel="0" collapsed="false">
      <c r="B31" s="4" t="s">
        <v>46</v>
      </c>
      <c r="C31" s="7" t="s">
        <v>47</v>
      </c>
    </row>
    <row r="32" customFormat="false" ht="31.5" hidden="false" customHeight="true" outlineLevel="0" collapsed="false">
      <c r="B32" s="4" t="s">
        <v>48</v>
      </c>
      <c r="C32" s="7" t="s">
        <v>49</v>
      </c>
    </row>
    <row r="33" customFormat="false" ht="31.5" hidden="false" customHeight="true" outlineLevel="0" collapsed="false">
      <c r="B33" s="4" t="s">
        <v>50</v>
      </c>
      <c r="C33" s="7" t="s">
        <v>51</v>
      </c>
    </row>
    <row r="34" customFormat="false" ht="31.5" hidden="false" customHeight="true" outlineLevel="0" collapsed="false">
      <c r="B34" s="4" t="s">
        <v>35</v>
      </c>
      <c r="C34" s="7" t="s">
        <v>52</v>
      </c>
    </row>
    <row r="35" customFormat="false" ht="19.5" hidden="false" customHeight="true" outlineLevel="0" collapsed="false">
      <c r="B35" s="4" t="s">
        <v>53</v>
      </c>
      <c r="C35" s="7" t="s">
        <v>54</v>
      </c>
    </row>
    <row r="36" customFormat="false" ht="31.5" hidden="false" customHeight="true" outlineLevel="0" collapsed="false">
      <c r="B36" s="4" t="s">
        <v>55</v>
      </c>
      <c r="C36" s="7" t="s">
        <v>56</v>
      </c>
    </row>
    <row r="37" customFormat="false" ht="19.5" hidden="false" customHeight="true" outlineLevel="0" collapsed="false">
      <c r="B37" s="4" t="s">
        <v>57</v>
      </c>
      <c r="C37" s="7" t="s">
        <v>58</v>
      </c>
    </row>
  </sheetData>
  <mergeCells count="6">
    <mergeCell ref="B1:C1"/>
    <mergeCell ref="B2:C2"/>
    <mergeCell ref="B4:C4"/>
    <mergeCell ref="B12:C12"/>
    <mergeCell ref="B21:C21"/>
    <mergeCell ref="B30:C30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O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17"/>
    <col collapsed="false" customWidth="true" hidden="false" outlineLevel="0" max="8" min="8" style="0" width="28"/>
    <col collapsed="false" customWidth="true" hidden="false" outlineLevel="0" max="9" min="9" style="0" width="25"/>
    <col collapsed="false" customWidth="true" hidden="false" outlineLevel="0" max="10" min="10" style="0" width="20"/>
    <col collapsed="false" customWidth="true" hidden="false" outlineLevel="0" max="11" min="11" style="0" width="24"/>
    <col collapsed="false" customWidth="true" hidden="false" outlineLevel="0" max="12" min="12" style="0" width="26"/>
    <col collapsed="false" customWidth="true" hidden="false" outlineLevel="0" max="14" min="13" style="0" width="9"/>
    <col collapsed="false" customWidth="true" hidden="false" outlineLevel="0" max="15" min="15" style="0" width="15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59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60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1.75" hidden="false" customHeight="true" outlineLevel="0" collapsed="false">
      <c r="B4" s="4" t="s">
        <v>61</v>
      </c>
      <c r="C4" s="4"/>
      <c r="D4" s="5"/>
      <c r="E4" s="5"/>
      <c r="F4" s="5"/>
      <c r="G4" s="5"/>
      <c r="I4" s="4" t="s">
        <v>62</v>
      </c>
      <c r="J4" s="4"/>
      <c r="K4" s="9" t="n">
        <v>0.791666666666667</v>
      </c>
      <c r="L4" s="10" t="s">
        <v>63</v>
      </c>
      <c r="M4" s="10"/>
      <c r="N4" s="10"/>
      <c r="O4" s="10"/>
    </row>
    <row r="5" customFormat="false" ht="21.75" hidden="false" customHeight="true" outlineLevel="0" collapsed="false">
      <c r="B5" s="4" t="s">
        <v>64</v>
      </c>
      <c r="C5" s="4"/>
      <c r="D5" s="5"/>
      <c r="E5" s="5"/>
      <c r="F5" s="5"/>
      <c r="G5" s="5"/>
      <c r="I5" s="4" t="s">
        <v>65</v>
      </c>
      <c r="J5" s="4"/>
      <c r="K5" s="9"/>
      <c r="L5" s="10" t="s">
        <v>66</v>
      </c>
      <c r="M5" s="10"/>
      <c r="N5" s="10"/>
      <c r="O5" s="10"/>
    </row>
    <row r="6" customFormat="false" ht="21.75" hidden="false" customHeight="true" outlineLevel="0" collapsed="false">
      <c r="B6" s="4" t="s">
        <v>67</v>
      </c>
      <c r="C6" s="4"/>
      <c r="D6" s="11"/>
      <c r="E6" s="11"/>
      <c r="F6" s="11"/>
      <c r="G6" s="11"/>
      <c r="I6" s="4" t="s">
        <v>68</v>
      </c>
      <c r="J6" s="4"/>
      <c r="K6" s="12" t="n">
        <v>5</v>
      </c>
      <c r="L6" s="10" t="s">
        <v>69</v>
      </c>
      <c r="M6" s="10"/>
      <c r="N6" s="10"/>
      <c r="O6" s="10"/>
    </row>
    <row r="7" customFormat="false" ht="21.75" hidden="false" customHeight="true" outlineLevel="0" collapsed="false">
      <c r="B7" s="4" t="s">
        <v>70</v>
      </c>
      <c r="C7" s="4"/>
      <c r="D7" s="5"/>
      <c r="E7" s="5"/>
      <c r="F7" s="5"/>
      <c r="G7" s="5"/>
      <c r="I7" s="4" t="s">
        <v>71</v>
      </c>
      <c r="J7" s="4"/>
      <c r="K7" s="12" t="n">
        <v>3</v>
      </c>
      <c r="L7" s="10" t="s">
        <v>72</v>
      </c>
      <c r="M7" s="10"/>
      <c r="N7" s="10"/>
      <c r="O7" s="10"/>
    </row>
    <row r="8" customFormat="false" ht="21.75" hidden="false" customHeight="true" outlineLevel="0" collapsed="false">
      <c r="B8" s="4" t="s">
        <v>73</v>
      </c>
      <c r="C8" s="4"/>
      <c r="D8" s="5"/>
      <c r="E8" s="5"/>
      <c r="F8" s="5"/>
      <c r="G8" s="5"/>
      <c r="I8" s="10" t="s">
        <v>74</v>
      </c>
      <c r="J8" s="10"/>
      <c r="K8" s="10"/>
      <c r="L8" s="10"/>
      <c r="M8" s="10"/>
      <c r="N8" s="10"/>
      <c r="O8" s="10"/>
    </row>
    <row r="10" customFormat="false" ht="21.75" hidden="false" customHeight="true" outlineLevel="0" collapsed="false">
      <c r="B10" s="13" t="s">
        <v>75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customFormat="false" ht="30" hidden="false" customHeight="true" outlineLevel="0" collapsed="false">
      <c r="B11" s="14" t="s">
        <v>76</v>
      </c>
      <c r="C11" s="14" t="s">
        <v>77</v>
      </c>
      <c r="D11" s="15" t="s">
        <v>78</v>
      </c>
      <c r="E11" s="16" t="s">
        <v>79</v>
      </c>
      <c r="F11" s="16" t="s">
        <v>80</v>
      </c>
      <c r="G11" s="15" t="s">
        <v>81</v>
      </c>
      <c r="H11" s="15" t="s">
        <v>82</v>
      </c>
      <c r="I11" s="15" t="s">
        <v>83</v>
      </c>
      <c r="J11" s="15" t="s">
        <v>84</v>
      </c>
      <c r="K11" s="15" t="s">
        <v>85</v>
      </c>
      <c r="L11" s="15" t="s">
        <v>86</v>
      </c>
      <c r="M11" s="17" t="s">
        <v>87</v>
      </c>
      <c r="N11" s="16" t="s">
        <v>88</v>
      </c>
      <c r="O11" s="16" t="s">
        <v>89</v>
      </c>
    </row>
    <row r="12" customFormat="false" ht="24" hidden="false" customHeight="true" outlineLevel="0" collapsed="false">
      <c r="B12" s="18"/>
      <c r="C12" s="18" t="s">
        <v>90</v>
      </c>
      <c r="D12" s="18" t="s">
        <v>91</v>
      </c>
      <c r="E12" s="18" t="s">
        <v>92</v>
      </c>
      <c r="F12" s="18" t="s">
        <v>92</v>
      </c>
      <c r="G12" s="18" t="s">
        <v>93</v>
      </c>
      <c r="H12" s="18" t="s">
        <v>94</v>
      </c>
      <c r="I12" s="18" t="s">
        <v>95</v>
      </c>
      <c r="J12" s="18" t="s">
        <v>96</v>
      </c>
      <c r="K12" s="18" t="s">
        <v>97</v>
      </c>
      <c r="L12" s="18" t="s">
        <v>98</v>
      </c>
      <c r="M12" s="18" t="s">
        <v>99</v>
      </c>
      <c r="N12" s="18" t="s">
        <v>91</v>
      </c>
      <c r="O12" s="18"/>
    </row>
    <row r="13" customFormat="false" ht="30" hidden="false" customHeight="true" outlineLevel="0" collapsed="false">
      <c r="B13" s="18" t="s">
        <v>100</v>
      </c>
      <c r="C13" s="10" t="s">
        <v>101</v>
      </c>
      <c r="D13" s="18" t="n">
        <v>4</v>
      </c>
      <c r="E13" s="18" t="s">
        <v>102</v>
      </c>
      <c r="F13" s="18" t="s">
        <v>103</v>
      </c>
      <c r="G13" s="10" t="s">
        <v>104</v>
      </c>
      <c r="H13" s="10" t="s">
        <v>105</v>
      </c>
      <c r="I13" s="10" t="s">
        <v>106</v>
      </c>
      <c r="J13" s="10" t="s">
        <v>107</v>
      </c>
      <c r="K13" s="10" t="s">
        <v>108</v>
      </c>
      <c r="L13" s="10" t="s">
        <v>109</v>
      </c>
      <c r="M13" s="18" t="s">
        <v>110</v>
      </c>
      <c r="N13" s="18" t="s">
        <v>111</v>
      </c>
      <c r="O13" s="18" t="s">
        <v>112</v>
      </c>
    </row>
    <row r="14" customFormat="false" ht="30" hidden="false" customHeight="true" outlineLevel="0" collapsed="false">
      <c r="B14" s="19" t="n">
        <v>1</v>
      </c>
      <c r="C14" s="5"/>
      <c r="D14" s="12"/>
      <c r="E14" s="20" t="str">
        <f aca="false">IF(OR(D14="",$K$4=""),"",$K$4+(SUM(D$14:D14)-D14)/1440)</f>
        <v/>
      </c>
      <c r="F14" s="20" t="str">
        <f aca="false">IF(E14="","",E14+D14/1440)</f>
        <v/>
      </c>
      <c r="G14" s="5"/>
      <c r="H14" s="5"/>
      <c r="I14" s="5"/>
      <c r="J14" s="5"/>
      <c r="K14" s="5"/>
      <c r="L14" s="5"/>
      <c r="M14" s="9"/>
      <c r="N14" s="21" t="str">
        <f aca="false">IF(OR(M14="",E14=""),"",ROUND((M14-E14)*1440,0))</f>
        <v/>
      </c>
      <c r="O14" s="22" t="str">
        <f aca="false">IF(E14="","",IF(AND($K$5&lt;&gt;"",ROUND((F14-$K$5)*1440,0)&gt;0),"Passa do limite",IF(N14="","Previsto",IF(N14&gt;$K$7,"Atrasado",IF(N14&lt;-$K$7,"Adiantado","No horário")))))</f>
        <v/>
      </c>
    </row>
    <row r="15" customFormat="false" ht="30" hidden="false" customHeight="true" outlineLevel="0" collapsed="false">
      <c r="B15" s="19" t="n">
        <v>2</v>
      </c>
      <c r="C15" s="5"/>
      <c r="D15" s="12"/>
      <c r="E15" s="20" t="str">
        <f aca="false">IF(OR(D15="",$K$4=""),"",$K$4+(SUM(D$14:D15)-D15)/1440)</f>
        <v/>
      </c>
      <c r="F15" s="20" t="str">
        <f aca="false">IF(E15="","",E15+D15/1440)</f>
        <v/>
      </c>
      <c r="G15" s="5"/>
      <c r="H15" s="5"/>
      <c r="I15" s="5"/>
      <c r="J15" s="5"/>
      <c r="K15" s="5"/>
      <c r="L15" s="5"/>
      <c r="M15" s="9"/>
      <c r="N15" s="21" t="str">
        <f aca="false">IF(OR(M15="",E15=""),"",ROUND((M15-E15)*1440,0))</f>
        <v/>
      </c>
      <c r="O15" s="22" t="str">
        <f aca="false">IF(E15="","",IF(AND($K$5&lt;&gt;"",ROUND((F15-$K$5)*1440,0)&gt;0),"Passa do limite",IF(N15="","Previsto",IF(N15&gt;$K$7,"Atrasado",IF(N15&lt;-$K$7,"Adiantado","No horário")))))</f>
        <v/>
      </c>
    </row>
    <row r="16" customFormat="false" ht="30" hidden="false" customHeight="true" outlineLevel="0" collapsed="false">
      <c r="B16" s="19" t="n">
        <v>3</v>
      </c>
      <c r="C16" s="5"/>
      <c r="D16" s="12"/>
      <c r="E16" s="20" t="str">
        <f aca="false">IF(OR(D16="",$K$4=""),"",$K$4+(SUM(D$14:D16)-D16)/1440)</f>
        <v/>
      </c>
      <c r="F16" s="20" t="str">
        <f aca="false">IF(E16="","",E16+D16/1440)</f>
        <v/>
      </c>
      <c r="G16" s="5"/>
      <c r="H16" s="5"/>
      <c r="I16" s="5"/>
      <c r="J16" s="5"/>
      <c r="K16" s="5"/>
      <c r="L16" s="5"/>
      <c r="M16" s="9"/>
      <c r="N16" s="21" t="str">
        <f aca="false">IF(OR(M16="",E16=""),"",ROUND((M16-E16)*1440,0))</f>
        <v/>
      </c>
      <c r="O16" s="22" t="str">
        <f aca="false">IF(E16="","",IF(AND($K$5&lt;&gt;"",ROUND((F16-$K$5)*1440,0)&gt;0),"Passa do limite",IF(N16="","Previsto",IF(N16&gt;$K$7,"Atrasado",IF(N16&lt;-$K$7,"Adiantado","No horário")))))</f>
        <v/>
      </c>
    </row>
    <row r="17" customFormat="false" ht="30" hidden="false" customHeight="true" outlineLevel="0" collapsed="false">
      <c r="B17" s="19" t="n">
        <v>4</v>
      </c>
      <c r="C17" s="5"/>
      <c r="D17" s="12"/>
      <c r="E17" s="20" t="str">
        <f aca="false">IF(OR(D17="",$K$4=""),"",$K$4+(SUM(D$14:D17)-D17)/1440)</f>
        <v/>
      </c>
      <c r="F17" s="20" t="str">
        <f aca="false">IF(E17="","",E17+D17/1440)</f>
        <v/>
      </c>
      <c r="G17" s="5"/>
      <c r="H17" s="5"/>
      <c r="I17" s="5"/>
      <c r="J17" s="5"/>
      <c r="K17" s="5"/>
      <c r="L17" s="5"/>
      <c r="M17" s="9"/>
      <c r="N17" s="21" t="str">
        <f aca="false">IF(OR(M17="",E17=""),"",ROUND((M17-E17)*1440,0))</f>
        <v/>
      </c>
      <c r="O17" s="22" t="str">
        <f aca="false">IF(E17="","",IF(AND($K$5&lt;&gt;"",ROUND((F17-$K$5)*1440,0)&gt;0),"Passa do limite",IF(N17="","Previsto",IF(N17&gt;$K$7,"Atrasado",IF(N17&lt;-$K$7,"Adiantado","No horário")))))</f>
        <v/>
      </c>
    </row>
    <row r="18" customFormat="false" ht="30" hidden="false" customHeight="true" outlineLevel="0" collapsed="false">
      <c r="B18" s="19" t="n">
        <v>5</v>
      </c>
      <c r="C18" s="5"/>
      <c r="D18" s="12"/>
      <c r="E18" s="20" t="str">
        <f aca="false">IF(OR(D18="",$K$4=""),"",$K$4+(SUM(D$14:D18)-D18)/1440)</f>
        <v/>
      </c>
      <c r="F18" s="20" t="str">
        <f aca="false">IF(E18="","",E18+D18/1440)</f>
        <v/>
      </c>
      <c r="G18" s="5"/>
      <c r="H18" s="5"/>
      <c r="I18" s="5"/>
      <c r="J18" s="5"/>
      <c r="K18" s="5"/>
      <c r="L18" s="5"/>
      <c r="M18" s="9"/>
      <c r="N18" s="21" t="str">
        <f aca="false">IF(OR(M18="",E18=""),"",ROUND((M18-E18)*1440,0))</f>
        <v/>
      </c>
      <c r="O18" s="22" t="str">
        <f aca="false">IF(E18="","",IF(AND($K$5&lt;&gt;"",ROUND((F18-$K$5)*1440,0)&gt;0),"Passa do limite",IF(N18="","Previsto",IF(N18&gt;$K$7,"Atrasado",IF(N18&lt;-$K$7,"Adiantado","No horário")))))</f>
        <v/>
      </c>
    </row>
    <row r="19" customFormat="false" ht="30" hidden="false" customHeight="true" outlineLevel="0" collapsed="false">
      <c r="B19" s="19" t="n">
        <v>6</v>
      </c>
      <c r="C19" s="5"/>
      <c r="D19" s="12"/>
      <c r="E19" s="20" t="str">
        <f aca="false">IF(OR(D19="",$K$4=""),"",$K$4+(SUM(D$14:D19)-D19)/1440)</f>
        <v/>
      </c>
      <c r="F19" s="20" t="str">
        <f aca="false">IF(E19="","",E19+D19/1440)</f>
        <v/>
      </c>
      <c r="G19" s="5"/>
      <c r="H19" s="5"/>
      <c r="I19" s="5"/>
      <c r="J19" s="5"/>
      <c r="K19" s="5"/>
      <c r="L19" s="5"/>
      <c r="M19" s="9"/>
      <c r="N19" s="21" t="str">
        <f aca="false">IF(OR(M19="",E19=""),"",ROUND((M19-E19)*1440,0))</f>
        <v/>
      </c>
      <c r="O19" s="22" t="str">
        <f aca="false">IF(E19="","",IF(AND($K$5&lt;&gt;"",ROUND((F19-$K$5)*1440,0)&gt;0),"Passa do limite",IF(N19="","Previsto",IF(N19&gt;$K$7,"Atrasado",IF(N19&lt;-$K$7,"Adiantado","No horário")))))</f>
        <v/>
      </c>
    </row>
    <row r="20" customFormat="false" ht="30" hidden="false" customHeight="true" outlineLevel="0" collapsed="false">
      <c r="B20" s="19" t="n">
        <v>7</v>
      </c>
      <c r="C20" s="5"/>
      <c r="D20" s="12"/>
      <c r="E20" s="20" t="str">
        <f aca="false">IF(OR(D20="",$K$4=""),"",$K$4+(SUM(D$14:D20)-D20)/1440)</f>
        <v/>
      </c>
      <c r="F20" s="20" t="str">
        <f aca="false">IF(E20="","",E20+D20/1440)</f>
        <v/>
      </c>
      <c r="G20" s="5"/>
      <c r="H20" s="5"/>
      <c r="I20" s="5"/>
      <c r="J20" s="5"/>
      <c r="K20" s="5"/>
      <c r="L20" s="5"/>
      <c r="M20" s="9"/>
      <c r="N20" s="21" t="str">
        <f aca="false">IF(OR(M20="",E20=""),"",ROUND((M20-E20)*1440,0))</f>
        <v/>
      </c>
      <c r="O20" s="22" t="str">
        <f aca="false">IF(E20="","",IF(AND($K$5&lt;&gt;"",ROUND((F20-$K$5)*1440,0)&gt;0),"Passa do limite",IF(N20="","Previsto",IF(N20&gt;$K$7,"Atrasado",IF(N20&lt;-$K$7,"Adiantado","No horário")))))</f>
        <v/>
      </c>
    </row>
    <row r="21" customFormat="false" ht="30" hidden="false" customHeight="true" outlineLevel="0" collapsed="false">
      <c r="B21" s="19" t="n">
        <v>8</v>
      </c>
      <c r="C21" s="5"/>
      <c r="D21" s="12"/>
      <c r="E21" s="20" t="str">
        <f aca="false">IF(OR(D21="",$K$4=""),"",$K$4+(SUM(D$14:D21)-D21)/1440)</f>
        <v/>
      </c>
      <c r="F21" s="20" t="str">
        <f aca="false">IF(E21="","",E21+D21/1440)</f>
        <v/>
      </c>
      <c r="G21" s="5"/>
      <c r="H21" s="5"/>
      <c r="I21" s="5"/>
      <c r="J21" s="5"/>
      <c r="K21" s="5"/>
      <c r="L21" s="5"/>
      <c r="M21" s="9"/>
      <c r="N21" s="21" t="str">
        <f aca="false">IF(OR(M21="",E21=""),"",ROUND((M21-E21)*1440,0))</f>
        <v/>
      </c>
      <c r="O21" s="22" t="str">
        <f aca="false">IF(E21="","",IF(AND($K$5&lt;&gt;"",ROUND((F21-$K$5)*1440,0)&gt;0),"Passa do limite",IF(N21="","Previsto",IF(N21&gt;$K$7,"Atrasado",IF(N21&lt;-$K$7,"Adiantado","No horário")))))</f>
        <v/>
      </c>
    </row>
    <row r="22" customFormat="false" ht="30" hidden="false" customHeight="true" outlineLevel="0" collapsed="false">
      <c r="B22" s="19" t="n">
        <v>9</v>
      </c>
      <c r="C22" s="5"/>
      <c r="D22" s="12"/>
      <c r="E22" s="20" t="str">
        <f aca="false">IF(OR(D22="",$K$4=""),"",$K$4+(SUM(D$14:D22)-D22)/1440)</f>
        <v/>
      </c>
      <c r="F22" s="20" t="str">
        <f aca="false">IF(E22="","",E22+D22/1440)</f>
        <v/>
      </c>
      <c r="G22" s="5"/>
      <c r="H22" s="5"/>
      <c r="I22" s="5"/>
      <c r="J22" s="5"/>
      <c r="K22" s="5"/>
      <c r="L22" s="5"/>
      <c r="M22" s="9"/>
      <c r="N22" s="21" t="str">
        <f aca="false">IF(OR(M22="",E22=""),"",ROUND((M22-E22)*1440,0))</f>
        <v/>
      </c>
      <c r="O22" s="22" t="str">
        <f aca="false">IF(E22="","",IF(AND($K$5&lt;&gt;"",ROUND((F22-$K$5)*1440,0)&gt;0),"Passa do limite",IF(N22="","Previsto",IF(N22&gt;$K$7,"Atrasado",IF(N22&lt;-$K$7,"Adiantado","No horário")))))</f>
        <v/>
      </c>
    </row>
    <row r="23" customFormat="false" ht="30" hidden="false" customHeight="true" outlineLevel="0" collapsed="false">
      <c r="B23" s="19" t="n">
        <v>10</v>
      </c>
      <c r="C23" s="5"/>
      <c r="D23" s="12"/>
      <c r="E23" s="20" t="str">
        <f aca="false">IF(OR(D23="",$K$4=""),"",$K$4+(SUM(D$14:D23)-D23)/1440)</f>
        <v/>
      </c>
      <c r="F23" s="20" t="str">
        <f aca="false">IF(E23="","",E23+D23/1440)</f>
        <v/>
      </c>
      <c r="G23" s="5"/>
      <c r="H23" s="5"/>
      <c r="I23" s="5"/>
      <c r="J23" s="5"/>
      <c r="K23" s="5"/>
      <c r="L23" s="5"/>
      <c r="M23" s="9"/>
      <c r="N23" s="21" t="str">
        <f aca="false">IF(OR(M23="",E23=""),"",ROUND((M23-E23)*1440,0))</f>
        <v/>
      </c>
      <c r="O23" s="22" t="str">
        <f aca="false">IF(E23="","",IF(AND($K$5&lt;&gt;"",ROUND((F23-$K$5)*1440,0)&gt;0),"Passa do limite",IF(N23="","Previsto",IF(N23&gt;$K$7,"Atrasado",IF(N23&lt;-$K$7,"Adiantado","No horário")))))</f>
        <v/>
      </c>
    </row>
    <row r="24" customFormat="false" ht="30" hidden="false" customHeight="true" outlineLevel="0" collapsed="false">
      <c r="B24" s="19" t="n">
        <v>11</v>
      </c>
      <c r="C24" s="5"/>
      <c r="D24" s="12"/>
      <c r="E24" s="20" t="str">
        <f aca="false">IF(OR(D24="",$K$4=""),"",$K$4+(SUM(D$14:D24)-D24)/1440)</f>
        <v/>
      </c>
      <c r="F24" s="20" t="str">
        <f aca="false">IF(E24="","",E24+D24/1440)</f>
        <v/>
      </c>
      <c r="G24" s="5"/>
      <c r="H24" s="5"/>
      <c r="I24" s="5"/>
      <c r="J24" s="5"/>
      <c r="K24" s="5"/>
      <c r="L24" s="5"/>
      <c r="M24" s="9"/>
      <c r="N24" s="21" t="str">
        <f aca="false">IF(OR(M24="",E24=""),"",ROUND((M24-E24)*1440,0))</f>
        <v/>
      </c>
      <c r="O24" s="22" t="str">
        <f aca="false">IF(E24="","",IF(AND($K$5&lt;&gt;"",ROUND((F24-$K$5)*1440,0)&gt;0),"Passa do limite",IF(N24="","Previsto",IF(N24&gt;$K$7,"Atrasado",IF(N24&lt;-$K$7,"Adiantado","No horário")))))</f>
        <v/>
      </c>
    </row>
    <row r="25" customFormat="false" ht="30" hidden="false" customHeight="true" outlineLevel="0" collapsed="false">
      <c r="B25" s="19" t="n">
        <v>12</v>
      </c>
      <c r="C25" s="5"/>
      <c r="D25" s="12"/>
      <c r="E25" s="20" t="str">
        <f aca="false">IF(OR(D25="",$K$4=""),"",$K$4+(SUM(D$14:D25)-D25)/1440)</f>
        <v/>
      </c>
      <c r="F25" s="20" t="str">
        <f aca="false">IF(E25="","",E25+D25/1440)</f>
        <v/>
      </c>
      <c r="G25" s="5"/>
      <c r="H25" s="5"/>
      <c r="I25" s="5"/>
      <c r="J25" s="5"/>
      <c r="K25" s="5"/>
      <c r="L25" s="5"/>
      <c r="M25" s="9"/>
      <c r="N25" s="21" t="str">
        <f aca="false">IF(OR(M25="",E25=""),"",ROUND((M25-E25)*1440,0))</f>
        <v/>
      </c>
      <c r="O25" s="22" t="str">
        <f aca="false">IF(E25="","",IF(AND($K$5&lt;&gt;"",ROUND((F25-$K$5)*1440,0)&gt;0),"Passa do limite",IF(N25="","Previsto",IF(N25&gt;$K$7,"Atrasado",IF(N25&lt;-$K$7,"Adiantado","No horário")))))</f>
        <v/>
      </c>
    </row>
    <row r="26" customFormat="false" ht="30" hidden="false" customHeight="true" outlineLevel="0" collapsed="false">
      <c r="B26" s="19" t="n">
        <v>13</v>
      </c>
      <c r="C26" s="5"/>
      <c r="D26" s="12"/>
      <c r="E26" s="20" t="str">
        <f aca="false">IF(OR(D26="",$K$4=""),"",$K$4+(SUM(D$14:D26)-D26)/1440)</f>
        <v/>
      </c>
      <c r="F26" s="20" t="str">
        <f aca="false">IF(E26="","",E26+D26/1440)</f>
        <v/>
      </c>
      <c r="G26" s="5"/>
      <c r="H26" s="5"/>
      <c r="I26" s="5"/>
      <c r="J26" s="5"/>
      <c r="K26" s="5"/>
      <c r="L26" s="5"/>
      <c r="M26" s="9"/>
      <c r="N26" s="21" t="str">
        <f aca="false">IF(OR(M26="",E26=""),"",ROUND((M26-E26)*1440,0))</f>
        <v/>
      </c>
      <c r="O26" s="22" t="str">
        <f aca="false">IF(E26="","",IF(AND($K$5&lt;&gt;"",ROUND((F26-$K$5)*1440,0)&gt;0),"Passa do limite",IF(N26="","Previsto",IF(N26&gt;$K$7,"Atrasado",IF(N26&lt;-$K$7,"Adiantado","No horário")))))</f>
        <v/>
      </c>
    </row>
    <row r="27" customFormat="false" ht="30" hidden="false" customHeight="true" outlineLevel="0" collapsed="false">
      <c r="B27" s="19" t="n">
        <v>14</v>
      </c>
      <c r="C27" s="5"/>
      <c r="D27" s="12"/>
      <c r="E27" s="20" t="str">
        <f aca="false">IF(OR(D27="",$K$4=""),"",$K$4+(SUM(D$14:D27)-D27)/1440)</f>
        <v/>
      </c>
      <c r="F27" s="20" t="str">
        <f aca="false">IF(E27="","",E27+D27/1440)</f>
        <v/>
      </c>
      <c r="G27" s="5"/>
      <c r="H27" s="5"/>
      <c r="I27" s="5"/>
      <c r="J27" s="5"/>
      <c r="K27" s="5"/>
      <c r="L27" s="5"/>
      <c r="M27" s="9"/>
      <c r="N27" s="21" t="str">
        <f aca="false">IF(OR(M27="",E27=""),"",ROUND((M27-E27)*1440,0))</f>
        <v/>
      </c>
      <c r="O27" s="22" t="str">
        <f aca="false">IF(E27="","",IF(AND($K$5&lt;&gt;"",ROUND((F27-$K$5)*1440,0)&gt;0),"Passa do limite",IF(N27="","Previsto",IF(N27&gt;$K$7,"Atrasado",IF(N27&lt;-$K$7,"Adiantado","No horário")))))</f>
        <v/>
      </c>
    </row>
    <row r="28" customFormat="false" ht="30" hidden="false" customHeight="true" outlineLevel="0" collapsed="false">
      <c r="B28" s="19" t="n">
        <v>15</v>
      </c>
      <c r="C28" s="5"/>
      <c r="D28" s="12"/>
      <c r="E28" s="20" t="str">
        <f aca="false">IF(OR(D28="",$K$4=""),"",$K$4+(SUM(D$14:D28)-D28)/1440)</f>
        <v/>
      </c>
      <c r="F28" s="20" t="str">
        <f aca="false">IF(E28="","",E28+D28/1440)</f>
        <v/>
      </c>
      <c r="G28" s="5"/>
      <c r="H28" s="5"/>
      <c r="I28" s="5"/>
      <c r="J28" s="5"/>
      <c r="K28" s="5"/>
      <c r="L28" s="5"/>
      <c r="M28" s="9"/>
      <c r="N28" s="21" t="str">
        <f aca="false">IF(OR(M28="",E28=""),"",ROUND((M28-E28)*1440,0))</f>
        <v/>
      </c>
      <c r="O28" s="22" t="str">
        <f aca="false">IF(E28="","",IF(AND($K$5&lt;&gt;"",ROUND((F28-$K$5)*1440,0)&gt;0),"Passa do limite",IF(N28="","Previsto",IF(N28&gt;$K$7,"Atrasado",IF(N28&lt;-$K$7,"Adiantado","No horário")))))</f>
        <v/>
      </c>
    </row>
    <row r="29" customFormat="false" ht="30" hidden="false" customHeight="true" outlineLevel="0" collapsed="false">
      <c r="B29" s="19" t="n">
        <v>16</v>
      </c>
      <c r="C29" s="5"/>
      <c r="D29" s="12"/>
      <c r="E29" s="20" t="str">
        <f aca="false">IF(OR(D29="",$K$4=""),"",$K$4+(SUM(D$14:D29)-D29)/1440)</f>
        <v/>
      </c>
      <c r="F29" s="20" t="str">
        <f aca="false">IF(E29="","",E29+D29/1440)</f>
        <v/>
      </c>
      <c r="G29" s="5"/>
      <c r="H29" s="5"/>
      <c r="I29" s="5"/>
      <c r="J29" s="5"/>
      <c r="K29" s="5"/>
      <c r="L29" s="5"/>
      <c r="M29" s="9"/>
      <c r="N29" s="21" t="str">
        <f aca="false">IF(OR(M29="",E29=""),"",ROUND((M29-E29)*1440,0))</f>
        <v/>
      </c>
      <c r="O29" s="22" t="str">
        <f aca="false">IF(E29="","",IF(AND($K$5&lt;&gt;"",ROUND((F29-$K$5)*1440,0)&gt;0),"Passa do limite",IF(N29="","Previsto",IF(N29&gt;$K$7,"Atrasado",IF(N29&lt;-$K$7,"Adiantado","No horário")))))</f>
        <v/>
      </c>
    </row>
    <row r="30" customFormat="false" ht="30" hidden="false" customHeight="true" outlineLevel="0" collapsed="false">
      <c r="B30" s="19" t="n">
        <v>17</v>
      </c>
      <c r="C30" s="5"/>
      <c r="D30" s="12"/>
      <c r="E30" s="20" t="str">
        <f aca="false">IF(OR(D30="",$K$4=""),"",$K$4+(SUM(D$14:D30)-D30)/1440)</f>
        <v/>
      </c>
      <c r="F30" s="20" t="str">
        <f aca="false">IF(E30="","",E30+D30/1440)</f>
        <v/>
      </c>
      <c r="G30" s="5"/>
      <c r="H30" s="5"/>
      <c r="I30" s="5"/>
      <c r="J30" s="5"/>
      <c r="K30" s="5"/>
      <c r="L30" s="5"/>
      <c r="M30" s="9"/>
      <c r="N30" s="21" t="str">
        <f aca="false">IF(OR(M30="",E30=""),"",ROUND((M30-E30)*1440,0))</f>
        <v/>
      </c>
      <c r="O30" s="22" t="str">
        <f aca="false">IF(E30="","",IF(AND($K$5&lt;&gt;"",ROUND((F30-$K$5)*1440,0)&gt;0),"Passa do limite",IF(N30="","Previsto",IF(N30&gt;$K$7,"Atrasado",IF(N30&lt;-$K$7,"Adiantado","No horário")))))</f>
        <v/>
      </c>
    </row>
    <row r="31" customFormat="false" ht="30" hidden="false" customHeight="true" outlineLevel="0" collapsed="false">
      <c r="B31" s="19" t="n">
        <v>18</v>
      </c>
      <c r="C31" s="5"/>
      <c r="D31" s="12"/>
      <c r="E31" s="20" t="str">
        <f aca="false">IF(OR(D31="",$K$4=""),"",$K$4+(SUM(D$14:D31)-D31)/1440)</f>
        <v/>
      </c>
      <c r="F31" s="20" t="str">
        <f aca="false">IF(E31="","",E31+D31/1440)</f>
        <v/>
      </c>
      <c r="G31" s="5"/>
      <c r="H31" s="5"/>
      <c r="I31" s="5"/>
      <c r="J31" s="5"/>
      <c r="K31" s="5"/>
      <c r="L31" s="5"/>
      <c r="M31" s="9"/>
      <c r="N31" s="21" t="str">
        <f aca="false">IF(OR(M31="",E31=""),"",ROUND((M31-E31)*1440,0))</f>
        <v/>
      </c>
      <c r="O31" s="22" t="str">
        <f aca="false">IF(E31="","",IF(AND($K$5&lt;&gt;"",ROUND((F31-$K$5)*1440,0)&gt;0),"Passa do limite",IF(N31="","Previsto",IF(N31&gt;$K$7,"Atrasado",IF(N31&lt;-$K$7,"Adiantado","No horário")))))</f>
        <v/>
      </c>
    </row>
    <row r="32" customFormat="false" ht="30" hidden="false" customHeight="true" outlineLevel="0" collapsed="false">
      <c r="B32" s="19" t="n">
        <v>19</v>
      </c>
      <c r="C32" s="5"/>
      <c r="D32" s="12"/>
      <c r="E32" s="20" t="str">
        <f aca="false">IF(OR(D32="",$K$4=""),"",$K$4+(SUM(D$14:D32)-D32)/1440)</f>
        <v/>
      </c>
      <c r="F32" s="20" t="str">
        <f aca="false">IF(E32="","",E32+D32/1440)</f>
        <v/>
      </c>
      <c r="G32" s="5"/>
      <c r="H32" s="5"/>
      <c r="I32" s="5"/>
      <c r="J32" s="5"/>
      <c r="K32" s="5"/>
      <c r="L32" s="5"/>
      <c r="M32" s="9"/>
      <c r="N32" s="21" t="str">
        <f aca="false">IF(OR(M32="",E32=""),"",ROUND((M32-E32)*1440,0))</f>
        <v/>
      </c>
      <c r="O32" s="22" t="str">
        <f aca="false">IF(E32="","",IF(AND($K$5&lt;&gt;"",ROUND((F32-$K$5)*1440,0)&gt;0),"Passa do limite",IF(N32="","Previsto",IF(N32&gt;$K$7,"Atrasado",IF(N32&lt;-$K$7,"Adiantado","No horário")))))</f>
        <v/>
      </c>
    </row>
    <row r="33" customFormat="false" ht="30" hidden="false" customHeight="true" outlineLevel="0" collapsed="false">
      <c r="B33" s="19" t="n">
        <v>20</v>
      </c>
      <c r="C33" s="5"/>
      <c r="D33" s="12"/>
      <c r="E33" s="20" t="str">
        <f aca="false">IF(OR(D33="",$K$4=""),"",$K$4+(SUM(D$14:D33)-D33)/1440)</f>
        <v/>
      </c>
      <c r="F33" s="20" t="str">
        <f aca="false">IF(E33="","",E33+D33/1440)</f>
        <v/>
      </c>
      <c r="G33" s="5"/>
      <c r="H33" s="5"/>
      <c r="I33" s="5"/>
      <c r="J33" s="5"/>
      <c r="K33" s="5"/>
      <c r="L33" s="5"/>
      <c r="M33" s="9"/>
      <c r="N33" s="21" t="str">
        <f aca="false">IF(OR(M33="",E33=""),"",ROUND((M33-E33)*1440,0))</f>
        <v/>
      </c>
      <c r="O33" s="22" t="str">
        <f aca="false">IF(E33="","",IF(AND($K$5&lt;&gt;"",ROUND((F33-$K$5)*1440,0)&gt;0),"Passa do limite",IF(N33="","Previsto",IF(N33&gt;$K$7,"Atrasado",IF(N33&lt;-$K$7,"Adiantado","No horário")))))</f>
        <v/>
      </c>
    </row>
    <row r="34" customFormat="false" ht="30" hidden="false" customHeight="true" outlineLevel="0" collapsed="false">
      <c r="B34" s="19" t="n">
        <v>21</v>
      </c>
      <c r="C34" s="5"/>
      <c r="D34" s="12"/>
      <c r="E34" s="20" t="str">
        <f aca="false">IF(OR(D34="",$K$4=""),"",$K$4+(SUM(D$14:D34)-D34)/1440)</f>
        <v/>
      </c>
      <c r="F34" s="20" t="str">
        <f aca="false">IF(E34="","",E34+D34/1440)</f>
        <v/>
      </c>
      <c r="G34" s="5"/>
      <c r="H34" s="5"/>
      <c r="I34" s="5"/>
      <c r="J34" s="5"/>
      <c r="K34" s="5"/>
      <c r="L34" s="5"/>
      <c r="M34" s="9"/>
      <c r="N34" s="21" t="str">
        <f aca="false">IF(OR(M34="",E34=""),"",ROUND((M34-E34)*1440,0))</f>
        <v/>
      </c>
      <c r="O34" s="22" t="str">
        <f aca="false">IF(E34="","",IF(AND($K$5&lt;&gt;"",ROUND((F34-$K$5)*1440,0)&gt;0),"Passa do limite",IF(N34="","Previsto",IF(N34&gt;$K$7,"Atrasado",IF(N34&lt;-$K$7,"Adiantado","No horário")))))</f>
        <v/>
      </c>
    </row>
    <row r="35" customFormat="false" ht="30" hidden="false" customHeight="true" outlineLevel="0" collapsed="false">
      <c r="B35" s="19" t="n">
        <v>22</v>
      </c>
      <c r="C35" s="5"/>
      <c r="D35" s="12"/>
      <c r="E35" s="20" t="str">
        <f aca="false">IF(OR(D35="",$K$4=""),"",$K$4+(SUM(D$14:D35)-D35)/1440)</f>
        <v/>
      </c>
      <c r="F35" s="20" t="str">
        <f aca="false">IF(E35="","",E35+D35/1440)</f>
        <v/>
      </c>
      <c r="G35" s="5"/>
      <c r="H35" s="5"/>
      <c r="I35" s="5"/>
      <c r="J35" s="5"/>
      <c r="K35" s="5"/>
      <c r="L35" s="5"/>
      <c r="M35" s="9"/>
      <c r="N35" s="21" t="str">
        <f aca="false">IF(OR(M35="",E35=""),"",ROUND((M35-E35)*1440,0))</f>
        <v/>
      </c>
      <c r="O35" s="22" t="str">
        <f aca="false">IF(E35="","",IF(AND($K$5&lt;&gt;"",ROUND((F35-$K$5)*1440,0)&gt;0),"Passa do limite",IF(N35="","Previsto",IF(N35&gt;$K$7,"Atrasado",IF(N35&lt;-$K$7,"Adiantado","No horário")))))</f>
        <v/>
      </c>
    </row>
    <row r="36" customFormat="false" ht="30" hidden="false" customHeight="true" outlineLevel="0" collapsed="false">
      <c r="B36" s="19" t="n">
        <v>23</v>
      </c>
      <c r="C36" s="5"/>
      <c r="D36" s="12"/>
      <c r="E36" s="20" t="str">
        <f aca="false">IF(OR(D36="",$K$4=""),"",$K$4+(SUM(D$14:D36)-D36)/1440)</f>
        <v/>
      </c>
      <c r="F36" s="20" t="str">
        <f aca="false">IF(E36="","",E36+D36/1440)</f>
        <v/>
      </c>
      <c r="G36" s="5"/>
      <c r="H36" s="5"/>
      <c r="I36" s="5"/>
      <c r="J36" s="5"/>
      <c r="K36" s="5"/>
      <c r="L36" s="5"/>
      <c r="M36" s="9"/>
      <c r="N36" s="21" t="str">
        <f aca="false">IF(OR(M36="",E36=""),"",ROUND((M36-E36)*1440,0))</f>
        <v/>
      </c>
      <c r="O36" s="22" t="str">
        <f aca="false">IF(E36="","",IF(AND($K$5&lt;&gt;"",ROUND((F36-$K$5)*1440,0)&gt;0),"Passa do limite",IF(N36="","Previsto",IF(N36&gt;$K$7,"Atrasado",IF(N36&lt;-$K$7,"Adiantado","No horário")))))</f>
        <v/>
      </c>
    </row>
    <row r="37" customFormat="false" ht="30" hidden="false" customHeight="true" outlineLevel="0" collapsed="false">
      <c r="B37" s="19" t="n">
        <v>24</v>
      </c>
      <c r="C37" s="5"/>
      <c r="D37" s="12"/>
      <c r="E37" s="20" t="str">
        <f aca="false">IF(OR(D37="",$K$4=""),"",$K$4+(SUM(D$14:D37)-D37)/1440)</f>
        <v/>
      </c>
      <c r="F37" s="20" t="str">
        <f aca="false">IF(E37="","",E37+D37/1440)</f>
        <v/>
      </c>
      <c r="G37" s="5"/>
      <c r="H37" s="5"/>
      <c r="I37" s="5"/>
      <c r="J37" s="5"/>
      <c r="K37" s="5"/>
      <c r="L37" s="5"/>
      <c r="M37" s="9"/>
      <c r="N37" s="21" t="str">
        <f aca="false">IF(OR(M37="",E37=""),"",ROUND((M37-E37)*1440,0))</f>
        <v/>
      </c>
      <c r="O37" s="22" t="str">
        <f aca="false">IF(E37="","",IF(AND($K$5&lt;&gt;"",ROUND((F37-$K$5)*1440,0)&gt;0),"Passa do limite",IF(N37="","Previsto",IF(N37&gt;$K$7,"Atrasado",IF(N37&lt;-$K$7,"Adiantado","No horário")))))</f>
        <v/>
      </c>
    </row>
    <row r="38" customFormat="false" ht="30" hidden="false" customHeight="true" outlineLevel="0" collapsed="false">
      <c r="B38" s="19" t="n">
        <v>25</v>
      </c>
      <c r="C38" s="5"/>
      <c r="D38" s="12"/>
      <c r="E38" s="20" t="str">
        <f aca="false">IF(OR(D38="",$K$4=""),"",$K$4+(SUM(D$14:D38)-D38)/1440)</f>
        <v/>
      </c>
      <c r="F38" s="20" t="str">
        <f aca="false">IF(E38="","",E38+D38/1440)</f>
        <v/>
      </c>
      <c r="G38" s="5"/>
      <c r="H38" s="5"/>
      <c r="I38" s="5"/>
      <c r="J38" s="5"/>
      <c r="K38" s="5"/>
      <c r="L38" s="5"/>
      <c r="M38" s="9"/>
      <c r="N38" s="21" t="str">
        <f aca="false">IF(OR(M38="",E38=""),"",ROUND((M38-E38)*1440,0))</f>
        <v/>
      </c>
      <c r="O38" s="22" t="str">
        <f aca="false">IF(E38="","",IF(AND($K$5&lt;&gt;"",ROUND((F38-$K$5)*1440,0)&gt;0),"Passa do limite",IF(N38="","Previsto",IF(N38&gt;$K$7,"Atrasado",IF(N38&lt;-$K$7,"Adiantado","No horário")))))</f>
        <v/>
      </c>
    </row>
    <row r="39" customFormat="false" ht="30" hidden="false" customHeight="true" outlineLevel="0" collapsed="false">
      <c r="B39" s="19" t="n">
        <v>26</v>
      </c>
      <c r="C39" s="5"/>
      <c r="D39" s="12"/>
      <c r="E39" s="20" t="str">
        <f aca="false">IF(OR(D39="",$K$4=""),"",$K$4+(SUM(D$14:D39)-D39)/1440)</f>
        <v/>
      </c>
      <c r="F39" s="20" t="str">
        <f aca="false">IF(E39="","",E39+D39/1440)</f>
        <v/>
      </c>
      <c r="G39" s="5"/>
      <c r="H39" s="5"/>
      <c r="I39" s="5"/>
      <c r="J39" s="5"/>
      <c r="K39" s="5"/>
      <c r="L39" s="5"/>
      <c r="M39" s="9"/>
      <c r="N39" s="21" t="str">
        <f aca="false">IF(OR(M39="",E39=""),"",ROUND((M39-E39)*1440,0))</f>
        <v/>
      </c>
      <c r="O39" s="22" t="str">
        <f aca="false">IF(E39="","",IF(AND($K$5&lt;&gt;"",ROUND((F39-$K$5)*1440,0)&gt;0),"Passa do limite",IF(N39="","Previsto",IF(N39&gt;$K$7,"Atrasado",IF(N39&lt;-$K$7,"Adiantado","No horário")))))</f>
        <v/>
      </c>
    </row>
    <row r="40" customFormat="false" ht="30" hidden="false" customHeight="true" outlineLevel="0" collapsed="false">
      <c r="B40" s="19" t="n">
        <v>27</v>
      </c>
      <c r="C40" s="5"/>
      <c r="D40" s="12"/>
      <c r="E40" s="20" t="str">
        <f aca="false">IF(OR(D40="",$K$4=""),"",$K$4+(SUM(D$14:D40)-D40)/1440)</f>
        <v/>
      </c>
      <c r="F40" s="20" t="str">
        <f aca="false">IF(E40="","",E40+D40/1440)</f>
        <v/>
      </c>
      <c r="G40" s="5"/>
      <c r="H40" s="5"/>
      <c r="I40" s="5"/>
      <c r="J40" s="5"/>
      <c r="K40" s="5"/>
      <c r="L40" s="5"/>
      <c r="M40" s="9"/>
      <c r="N40" s="21" t="str">
        <f aca="false">IF(OR(M40="",E40=""),"",ROUND((M40-E40)*1440,0))</f>
        <v/>
      </c>
      <c r="O40" s="22" t="str">
        <f aca="false">IF(E40="","",IF(AND($K$5&lt;&gt;"",ROUND((F40-$K$5)*1440,0)&gt;0),"Passa do limite",IF(N40="","Previsto",IF(N40&gt;$K$7,"Atrasado",IF(N40&lt;-$K$7,"Adiantado","No horário")))))</f>
        <v/>
      </c>
    </row>
    <row r="41" customFormat="false" ht="30" hidden="false" customHeight="true" outlineLevel="0" collapsed="false">
      <c r="B41" s="19" t="n">
        <v>28</v>
      </c>
      <c r="C41" s="5"/>
      <c r="D41" s="12"/>
      <c r="E41" s="20" t="str">
        <f aca="false">IF(OR(D41="",$K$4=""),"",$K$4+(SUM(D$14:D41)-D41)/1440)</f>
        <v/>
      </c>
      <c r="F41" s="20" t="str">
        <f aca="false">IF(E41="","",E41+D41/1440)</f>
        <v/>
      </c>
      <c r="G41" s="5"/>
      <c r="H41" s="5"/>
      <c r="I41" s="5"/>
      <c r="J41" s="5"/>
      <c r="K41" s="5"/>
      <c r="L41" s="5"/>
      <c r="M41" s="9"/>
      <c r="N41" s="21" t="str">
        <f aca="false">IF(OR(M41="",E41=""),"",ROUND((M41-E41)*1440,0))</f>
        <v/>
      </c>
      <c r="O41" s="22" t="str">
        <f aca="false">IF(E41="","",IF(AND($K$5&lt;&gt;"",ROUND((F41-$K$5)*1440,0)&gt;0),"Passa do limite",IF(N41="","Previsto",IF(N41&gt;$K$7,"Atrasado",IF(N41&lt;-$K$7,"Adiantado","No horário")))))</f>
        <v/>
      </c>
    </row>
    <row r="42" customFormat="false" ht="30" hidden="false" customHeight="true" outlineLevel="0" collapsed="false">
      <c r="B42" s="19" t="n">
        <v>29</v>
      </c>
      <c r="C42" s="5"/>
      <c r="D42" s="12"/>
      <c r="E42" s="20" t="str">
        <f aca="false">IF(OR(D42="",$K$4=""),"",$K$4+(SUM(D$14:D42)-D42)/1440)</f>
        <v/>
      </c>
      <c r="F42" s="20" t="str">
        <f aca="false">IF(E42="","",E42+D42/1440)</f>
        <v/>
      </c>
      <c r="G42" s="5"/>
      <c r="H42" s="5"/>
      <c r="I42" s="5"/>
      <c r="J42" s="5"/>
      <c r="K42" s="5"/>
      <c r="L42" s="5"/>
      <c r="M42" s="9"/>
      <c r="N42" s="21" t="str">
        <f aca="false">IF(OR(M42="",E42=""),"",ROUND((M42-E42)*1440,0))</f>
        <v/>
      </c>
      <c r="O42" s="22" t="str">
        <f aca="false">IF(E42="","",IF(AND($K$5&lt;&gt;"",ROUND((F42-$K$5)*1440,0)&gt;0),"Passa do limite",IF(N42="","Previsto",IF(N42&gt;$K$7,"Atrasado",IF(N42&lt;-$K$7,"Adiantado","No horário")))))</f>
        <v/>
      </c>
    </row>
    <row r="43" customFormat="false" ht="30" hidden="false" customHeight="true" outlineLevel="0" collapsed="false">
      <c r="B43" s="19" t="n">
        <v>30</v>
      </c>
      <c r="C43" s="5"/>
      <c r="D43" s="12"/>
      <c r="E43" s="20" t="str">
        <f aca="false">IF(OR(D43="",$K$4=""),"",$K$4+(SUM(D$14:D43)-D43)/1440)</f>
        <v/>
      </c>
      <c r="F43" s="20" t="str">
        <f aca="false">IF(E43="","",E43+D43/1440)</f>
        <v/>
      </c>
      <c r="G43" s="5"/>
      <c r="H43" s="5"/>
      <c r="I43" s="5"/>
      <c r="J43" s="5"/>
      <c r="K43" s="5"/>
      <c r="L43" s="5"/>
      <c r="M43" s="9"/>
      <c r="N43" s="21" t="str">
        <f aca="false">IF(OR(M43="",E43=""),"",ROUND((M43-E43)*1440,0))</f>
        <v/>
      </c>
      <c r="O43" s="22" t="str">
        <f aca="false">IF(E43="","",IF(AND($K$5&lt;&gt;"",ROUND((F43-$K$5)*1440,0)&gt;0),"Passa do limite",IF(N43="","Previsto",IF(N43&gt;$K$7,"Atrasado",IF(N43&lt;-$K$7,"Adiantado","No horário")))))</f>
        <v/>
      </c>
    </row>
    <row r="45" customFormat="false" ht="21.75" hidden="false" customHeight="true" outlineLevel="0" collapsed="false">
      <c r="B45" s="13" t="s">
        <v>113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 customFormat="false" ht="19.5" hidden="false" customHeight="true" outlineLevel="0" collapsed="false">
      <c r="B46" s="23" t="s">
        <v>114</v>
      </c>
      <c r="C46" s="23"/>
      <c r="D46" s="23"/>
      <c r="E46" s="23"/>
      <c r="F46" s="22" t="n">
        <f aca="false">COUNTA(C14:C43)</f>
        <v>0</v>
      </c>
      <c r="G46" s="22"/>
    </row>
    <row r="47" customFormat="false" ht="19.5" hidden="false" customHeight="true" outlineLevel="0" collapsed="false">
      <c r="B47" s="23" t="s">
        <v>115</v>
      </c>
      <c r="C47" s="23"/>
      <c r="D47" s="23"/>
      <c r="E47" s="23"/>
      <c r="F47" s="22" t="n">
        <f aca="false">SUM(D14:D43)</f>
        <v>0</v>
      </c>
      <c r="G47" s="22"/>
    </row>
    <row r="48" customFormat="false" ht="19.5" hidden="false" customHeight="true" outlineLevel="0" collapsed="false">
      <c r="B48" s="23" t="s">
        <v>116</v>
      </c>
      <c r="C48" s="23"/>
      <c r="D48" s="23"/>
      <c r="E48" s="23"/>
      <c r="F48" s="24" t="str">
        <f aca="false">IF(OR($K$4="",F47=0),"",$K$4+F47/1440)</f>
        <v/>
      </c>
      <c r="G48" s="24"/>
    </row>
    <row r="49" customFormat="false" ht="19.5" hidden="false" customHeight="true" outlineLevel="0" collapsed="false">
      <c r="B49" s="23" t="s">
        <v>117</v>
      </c>
      <c r="C49" s="23"/>
      <c r="D49" s="23"/>
      <c r="E49" s="23"/>
      <c r="F49" s="21" t="str">
        <f aca="false">IF(OR(F48="",$K$5=""),"",ROUND(($K$5-F48)*1440,0))</f>
        <v/>
      </c>
      <c r="G49" s="21"/>
    </row>
    <row r="50" customFormat="false" ht="19.5" hidden="false" customHeight="true" outlineLevel="0" collapsed="false">
      <c r="B50" s="23" t="s">
        <v>118</v>
      </c>
      <c r="C50" s="23"/>
      <c r="D50" s="23"/>
      <c r="E50" s="23"/>
      <c r="F50" s="22" t="n">
        <f aca="false">COUNTIF(O14:O43,"Atrasado")</f>
        <v>0</v>
      </c>
      <c r="G50" s="22"/>
    </row>
    <row r="51" customFormat="false" ht="19.5" hidden="false" customHeight="true" outlineLevel="0" collapsed="false">
      <c r="B51" s="23" t="s">
        <v>119</v>
      </c>
      <c r="C51" s="23"/>
      <c r="D51" s="23"/>
      <c r="E51" s="23"/>
      <c r="F51" s="21" t="str">
        <f aca="false">IF(COUNT(N14:N43)=0,"",MAX(N14:N43))</f>
        <v/>
      </c>
      <c r="G51" s="21"/>
    </row>
    <row r="52" customFormat="false" ht="21.75" hidden="false" customHeight="true" outlineLevel="0" collapsed="false">
      <c r="B52" s="23" t="s">
        <v>120</v>
      </c>
      <c r="C52" s="23"/>
      <c r="D52" s="23"/>
      <c r="E52" s="23"/>
      <c r="F52" s="25" t="str">
        <f aca="false">IF(OR($K$4="",$K$5=""),"Informe a hora de início e a hora limite",IF(F47=0,"Liste os momentos com a duração",IF(F49&lt;0,"O roteiro passa "&amp;-F49&amp;" min da hora limite: combine com quem conduz o que sai",IF(F49&lt;$K$6,"Folga de "&amp;F49&amp;" min, abaixo da mínima de "&amp;$K$6&amp;" min",IF(F50&gt;0,"Houve momentos atrasados: veja na coluna Desvio onde o tempo se perdeu","OK")))))</f>
        <v>Informe a hora de início e a hora limite</v>
      </c>
      <c r="G52" s="25"/>
      <c r="H52" s="25"/>
      <c r="I52" s="25"/>
      <c r="J52" s="25"/>
      <c r="K52" s="25"/>
      <c r="L52" s="25"/>
      <c r="M52" s="25"/>
      <c r="N52" s="25"/>
      <c r="O52" s="25"/>
    </row>
  </sheetData>
  <mergeCells count="37">
    <mergeCell ref="B1:O1"/>
    <mergeCell ref="B2:O2"/>
    <mergeCell ref="B4:C4"/>
    <mergeCell ref="D4:G4"/>
    <mergeCell ref="I4:J4"/>
    <mergeCell ref="L4:O4"/>
    <mergeCell ref="B5:C5"/>
    <mergeCell ref="D5:G5"/>
    <mergeCell ref="I5:J5"/>
    <mergeCell ref="L5:O5"/>
    <mergeCell ref="B6:C6"/>
    <mergeCell ref="D6:G6"/>
    <mergeCell ref="I6:J6"/>
    <mergeCell ref="L6:O6"/>
    <mergeCell ref="B7:C7"/>
    <mergeCell ref="D7:G7"/>
    <mergeCell ref="I7:J7"/>
    <mergeCell ref="L7:O7"/>
    <mergeCell ref="B8:C8"/>
    <mergeCell ref="D8:G8"/>
    <mergeCell ref="I8:O8"/>
    <mergeCell ref="B10:O10"/>
    <mergeCell ref="B45:O45"/>
    <mergeCell ref="B46:E46"/>
    <mergeCell ref="F46:G46"/>
    <mergeCell ref="B47:E47"/>
    <mergeCell ref="F47:G47"/>
    <mergeCell ref="B48:E48"/>
    <mergeCell ref="F48:G48"/>
    <mergeCell ref="B49:E49"/>
    <mergeCell ref="F49:G49"/>
    <mergeCell ref="B50:E50"/>
    <mergeCell ref="F50:G50"/>
    <mergeCell ref="B51:E51"/>
    <mergeCell ref="F51:G51"/>
    <mergeCell ref="B52:E52"/>
    <mergeCell ref="F52:O52"/>
  </mergeCells>
  <conditionalFormatting sqref="O14:O43">
    <cfRule type="cellIs" priority="2" operator="equal" aboveAverage="0" equalAverage="0" bottom="0" percent="0" rank="0" text="" dxfId="0">
      <formula>"No horário"</formula>
    </cfRule>
    <cfRule type="cellIs" priority="3" operator="equal" aboveAverage="0" equalAverage="0" bottom="0" percent="0" rank="0" text="" dxfId="1">
      <formula>"Atrasado"</formula>
    </cfRule>
    <cfRule type="cellIs" priority="4" operator="equal" aboveAverage="0" equalAverage="0" bottom="0" percent="0" rank="0" text="" dxfId="1">
      <formula>"Adiantado"</formula>
    </cfRule>
    <cfRule type="cellIs" priority="5" operator="equal" aboveAverage="0" equalAverage="0" bottom="0" percent="0" rank="0" text="" dxfId="2">
      <formula>"Passa do limite"</formula>
    </cfRule>
  </conditionalFormatting>
  <conditionalFormatting sqref="F52:O52">
    <cfRule type="cellIs" priority="6" operator="equal" aboveAverage="0" equalAverage="0" bottom="0" percent="0" rank="0" text="" dxfId="0">
      <formula>"OK"</formula>
    </cfRule>
    <cfRule type="cellIs" priority="7" operator="notEqual" aboveAverage="0" equalAverage="0" bottom="0" percent="0" rank="0" text="" dxfId="1">
      <formula>"OK"</formula>
    </cfRule>
  </conditionalFormatting>
  <dataValidations count="4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 hora no formato 19:00." errorStyle="stop" errorTitle="Hora inválida" operator="between" showDropDown="false" showErrorMessage="true" showInputMessage="false" sqref="K4:K5 M14:M43" type="time">
      <formula1>0</formula1>
      <formula2>0.99999</formula2>
    </dataValidation>
    <dataValidation allowBlank="true" error="Digite apenas o número, sem texto nem unidade." errorStyle="stop" errorTitle="Valor inválido" operator="between" showDropDown="false" showErrorMessage="true" showInputMessage="false" sqref="K6:K7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D14:D43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K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34"/>
    <col collapsed="false" customWidth="true" hidden="false" outlineLevel="0" max="12" min="12" style="0" width="2"/>
  </cols>
  <sheetData>
    <row r="1" customFormat="false" ht="31.5" hidden="false" customHeight="true" outlineLevel="0" collapsed="false">
      <c r="B1" s="1" t="s">
        <v>121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B2" s="2" t="s">
        <v>122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B4" s="4" t="s">
        <v>61</v>
      </c>
      <c r="C4" s="5"/>
      <c r="D4" s="5"/>
      <c r="E4" s="5"/>
      <c r="G4" s="4" t="s">
        <v>123</v>
      </c>
      <c r="H4" s="4"/>
      <c r="I4" s="9" t="n">
        <v>0.791666666666667</v>
      </c>
      <c r="J4" s="10" t="s">
        <v>63</v>
      </c>
      <c r="K4" s="10"/>
    </row>
    <row r="5" customFormat="false" ht="21.75" hidden="false" customHeight="true" outlineLevel="0" collapsed="false">
      <c r="B5" s="4" t="s">
        <v>64</v>
      </c>
      <c r="C5" s="5"/>
      <c r="D5" s="5"/>
      <c r="E5" s="5"/>
      <c r="G5" s="4" t="s">
        <v>124</v>
      </c>
      <c r="H5" s="4"/>
      <c r="I5" s="9"/>
      <c r="J5" s="10" t="s">
        <v>125</v>
      </c>
      <c r="K5" s="10"/>
    </row>
    <row r="6" customFormat="false" ht="21.75" hidden="false" customHeight="true" outlineLevel="0" collapsed="false">
      <c r="B6" s="4" t="s">
        <v>67</v>
      </c>
      <c r="C6" s="11"/>
      <c r="D6" s="11"/>
      <c r="E6" s="11"/>
      <c r="G6" s="4" t="s">
        <v>71</v>
      </c>
      <c r="H6" s="4"/>
      <c r="I6" s="12" t="n">
        <v>5</v>
      </c>
      <c r="J6" s="10" t="s">
        <v>126</v>
      </c>
      <c r="K6" s="10"/>
    </row>
    <row r="7" customFormat="false" ht="21.75" hidden="false" customHeight="true" outlineLevel="0" collapsed="false">
      <c r="B7" s="4" t="s">
        <v>70</v>
      </c>
      <c r="C7" s="5"/>
      <c r="D7" s="5"/>
      <c r="E7" s="5"/>
    </row>
    <row r="9" customFormat="false" ht="21.75" hidden="false" customHeight="true" outlineLevel="0" collapsed="false">
      <c r="B9" s="13" t="s">
        <v>127</v>
      </c>
      <c r="C9" s="13"/>
      <c r="D9" s="13"/>
      <c r="E9" s="13"/>
      <c r="F9" s="13"/>
      <c r="G9" s="13"/>
      <c r="H9" s="13"/>
      <c r="I9" s="13"/>
      <c r="J9" s="13"/>
      <c r="K9" s="13"/>
    </row>
    <row r="10" customFormat="false" ht="30" hidden="false" customHeight="true" outlineLevel="0" collapsed="false">
      <c r="B10" s="14" t="s">
        <v>76</v>
      </c>
      <c r="C10" s="14" t="s">
        <v>128</v>
      </c>
      <c r="D10" s="15" t="s">
        <v>129</v>
      </c>
      <c r="E10" s="15" t="s">
        <v>130</v>
      </c>
      <c r="F10" s="15" t="s">
        <v>131</v>
      </c>
      <c r="G10" s="15" t="s">
        <v>132</v>
      </c>
      <c r="H10" s="15" t="s">
        <v>133</v>
      </c>
      <c r="I10" s="15" t="s">
        <v>134</v>
      </c>
      <c r="J10" s="16" t="s">
        <v>89</v>
      </c>
      <c r="K10" s="14" t="s">
        <v>135</v>
      </c>
    </row>
    <row r="11" customFormat="false" ht="24" hidden="false" customHeight="true" outlineLevel="0" collapsed="false">
      <c r="B11" s="18"/>
      <c r="C11" s="18"/>
      <c r="D11" s="18"/>
      <c r="E11" s="18" t="s">
        <v>136</v>
      </c>
      <c r="F11" s="18" t="s">
        <v>137</v>
      </c>
      <c r="G11" s="18" t="s">
        <v>138</v>
      </c>
      <c r="H11" s="18" t="s">
        <v>139</v>
      </c>
      <c r="I11" s="18" t="s">
        <v>140</v>
      </c>
      <c r="J11" s="18"/>
      <c r="K11" s="18"/>
    </row>
    <row r="12" customFormat="false" ht="30" hidden="false" customHeight="true" outlineLevel="0" collapsed="false">
      <c r="B12" s="18" t="s">
        <v>100</v>
      </c>
      <c r="C12" s="10" t="s">
        <v>141</v>
      </c>
      <c r="D12" s="10" t="s">
        <v>142</v>
      </c>
      <c r="E12" s="18" t="s">
        <v>143</v>
      </c>
      <c r="F12" s="18" t="s">
        <v>144</v>
      </c>
      <c r="G12" s="10" t="s">
        <v>145</v>
      </c>
      <c r="H12" s="10" t="s">
        <v>146</v>
      </c>
      <c r="I12" s="18" t="s">
        <v>147</v>
      </c>
      <c r="J12" s="18" t="s">
        <v>148</v>
      </c>
      <c r="K12" s="10"/>
    </row>
    <row r="13" customFormat="false" ht="21.75" hidden="false" customHeight="true" outlineLevel="0" collapsed="false">
      <c r="B13" s="19" t="n">
        <v>1</v>
      </c>
      <c r="C13" s="5"/>
      <c r="D13" s="5"/>
      <c r="E13" s="5"/>
      <c r="F13" s="9"/>
      <c r="G13" s="5"/>
      <c r="H13" s="5"/>
      <c r="I13" s="12"/>
      <c r="J13" s="22" t="str">
        <f aca="false">IF(C13="","",IF(D13="","Sem responsável",IF(I13&lt;&gt;"Sim","A confirmar","OK")))</f>
        <v/>
      </c>
      <c r="K13" s="5"/>
    </row>
    <row r="14" customFormat="false" ht="21.75" hidden="false" customHeight="true" outlineLevel="0" collapsed="false">
      <c r="B14" s="19" t="n">
        <v>2</v>
      </c>
      <c r="C14" s="5"/>
      <c r="D14" s="5"/>
      <c r="E14" s="5"/>
      <c r="F14" s="9"/>
      <c r="G14" s="5"/>
      <c r="H14" s="5"/>
      <c r="I14" s="12"/>
      <c r="J14" s="22" t="str">
        <f aca="false">IF(C14="","",IF(D14="","Sem responsável",IF(I14&lt;&gt;"Sim","A confirmar","OK")))</f>
        <v/>
      </c>
      <c r="K14" s="5"/>
    </row>
    <row r="15" customFormat="false" ht="21.75" hidden="false" customHeight="true" outlineLevel="0" collapsed="false">
      <c r="B15" s="19" t="n">
        <v>3</v>
      </c>
      <c r="C15" s="5"/>
      <c r="D15" s="5"/>
      <c r="E15" s="5"/>
      <c r="F15" s="9"/>
      <c r="G15" s="5"/>
      <c r="H15" s="5"/>
      <c r="I15" s="12"/>
      <c r="J15" s="22" t="str">
        <f aca="false">IF(C15="","",IF(D15="","Sem responsável",IF(I15&lt;&gt;"Sim","A confirmar","OK")))</f>
        <v/>
      </c>
      <c r="K15" s="5"/>
    </row>
    <row r="16" customFormat="false" ht="21.75" hidden="false" customHeight="true" outlineLevel="0" collapsed="false">
      <c r="B16" s="19" t="n">
        <v>4</v>
      </c>
      <c r="C16" s="5"/>
      <c r="D16" s="5"/>
      <c r="E16" s="5"/>
      <c r="F16" s="9"/>
      <c r="G16" s="5"/>
      <c r="H16" s="5"/>
      <c r="I16" s="12"/>
      <c r="J16" s="22" t="str">
        <f aca="false">IF(C16="","",IF(D16="","Sem responsável",IF(I16&lt;&gt;"Sim","A confirmar","OK")))</f>
        <v/>
      </c>
      <c r="K16" s="5"/>
    </row>
    <row r="17" customFormat="false" ht="21.75" hidden="false" customHeight="true" outlineLevel="0" collapsed="false">
      <c r="B17" s="19" t="n">
        <v>5</v>
      </c>
      <c r="C17" s="5"/>
      <c r="D17" s="5"/>
      <c r="E17" s="5"/>
      <c r="F17" s="9"/>
      <c r="G17" s="5"/>
      <c r="H17" s="5"/>
      <c r="I17" s="12"/>
      <c r="J17" s="22" t="str">
        <f aca="false">IF(C17="","",IF(D17="","Sem responsável",IF(I17&lt;&gt;"Sim","A confirmar","OK")))</f>
        <v/>
      </c>
      <c r="K17" s="5"/>
    </row>
    <row r="18" customFormat="false" ht="21.75" hidden="false" customHeight="true" outlineLevel="0" collapsed="false">
      <c r="B18" s="19" t="n">
        <v>6</v>
      </c>
      <c r="C18" s="5"/>
      <c r="D18" s="5"/>
      <c r="E18" s="5"/>
      <c r="F18" s="9"/>
      <c r="G18" s="5"/>
      <c r="H18" s="5"/>
      <c r="I18" s="12"/>
      <c r="J18" s="22" t="str">
        <f aca="false">IF(C18="","",IF(D18="","Sem responsável",IF(I18&lt;&gt;"Sim","A confirmar","OK")))</f>
        <v/>
      </c>
      <c r="K18" s="5"/>
    </row>
    <row r="19" customFormat="false" ht="21.75" hidden="false" customHeight="true" outlineLevel="0" collapsed="false">
      <c r="B19" s="19" t="n">
        <v>7</v>
      </c>
      <c r="C19" s="5"/>
      <c r="D19" s="5"/>
      <c r="E19" s="5"/>
      <c r="F19" s="9"/>
      <c r="G19" s="5"/>
      <c r="H19" s="5"/>
      <c r="I19" s="12"/>
      <c r="J19" s="22" t="str">
        <f aca="false">IF(C19="","",IF(D19="","Sem responsável",IF(I19&lt;&gt;"Sim","A confirmar","OK")))</f>
        <v/>
      </c>
      <c r="K19" s="5"/>
    </row>
    <row r="20" customFormat="false" ht="21.75" hidden="false" customHeight="true" outlineLevel="0" collapsed="false">
      <c r="B20" s="19" t="n">
        <v>8</v>
      </c>
      <c r="C20" s="5"/>
      <c r="D20" s="5"/>
      <c r="E20" s="5"/>
      <c r="F20" s="9"/>
      <c r="G20" s="5"/>
      <c r="H20" s="5"/>
      <c r="I20" s="12"/>
      <c r="J20" s="22" t="str">
        <f aca="false">IF(C20="","",IF(D20="","Sem responsável",IF(I20&lt;&gt;"Sim","A confirmar","OK")))</f>
        <v/>
      </c>
      <c r="K20" s="5"/>
    </row>
    <row r="21" customFormat="false" ht="21.75" hidden="false" customHeight="true" outlineLevel="0" collapsed="false">
      <c r="B21" s="19" t="n">
        <v>9</v>
      </c>
      <c r="C21" s="5"/>
      <c r="D21" s="5"/>
      <c r="E21" s="5"/>
      <c r="F21" s="9"/>
      <c r="G21" s="5"/>
      <c r="H21" s="5"/>
      <c r="I21" s="12"/>
      <c r="J21" s="22" t="str">
        <f aca="false">IF(C21="","",IF(D21="","Sem responsável",IF(I21&lt;&gt;"Sim","A confirmar","OK")))</f>
        <v/>
      </c>
      <c r="K21" s="5"/>
    </row>
    <row r="22" customFormat="false" ht="21.75" hidden="false" customHeight="true" outlineLevel="0" collapsed="false">
      <c r="B22" s="19" t="n">
        <v>10</v>
      </c>
      <c r="C22" s="5"/>
      <c r="D22" s="5"/>
      <c r="E22" s="5"/>
      <c r="F22" s="9"/>
      <c r="G22" s="5"/>
      <c r="H22" s="5"/>
      <c r="I22" s="12"/>
      <c r="J22" s="22" t="str">
        <f aca="false">IF(C22="","",IF(D22="","Sem responsável",IF(I22&lt;&gt;"Sim","A confirmar","OK")))</f>
        <v/>
      </c>
      <c r="K22" s="5"/>
    </row>
    <row r="23" customFormat="false" ht="21.75" hidden="false" customHeight="true" outlineLevel="0" collapsed="false">
      <c r="B23" s="13" t="s">
        <v>149</v>
      </c>
      <c r="C23" s="13"/>
      <c r="D23" s="13"/>
      <c r="E23" s="13"/>
      <c r="F23" s="13"/>
      <c r="G23" s="13"/>
      <c r="H23" s="13"/>
      <c r="I23" s="13"/>
      <c r="J23" s="13"/>
      <c r="K23" s="13"/>
    </row>
    <row r="24" customFormat="false" ht="30" hidden="false" customHeight="true" outlineLevel="0" collapsed="false">
      <c r="B24" s="14" t="s">
        <v>76</v>
      </c>
      <c r="C24" s="14" t="s">
        <v>150</v>
      </c>
      <c r="D24" s="15" t="s">
        <v>151</v>
      </c>
      <c r="E24" s="15" t="s">
        <v>78</v>
      </c>
      <c r="F24" s="16" t="s">
        <v>79</v>
      </c>
      <c r="G24" s="16" t="s">
        <v>80</v>
      </c>
      <c r="H24" s="15" t="s">
        <v>152</v>
      </c>
      <c r="I24" s="17" t="s">
        <v>153</v>
      </c>
      <c r="J24" s="16" t="s">
        <v>89</v>
      </c>
      <c r="K24" s="14" t="s">
        <v>135</v>
      </c>
    </row>
    <row r="25" customFormat="false" ht="24" hidden="false" customHeight="true" outlineLevel="0" collapsed="false">
      <c r="B25" s="18" t="s">
        <v>154</v>
      </c>
      <c r="C25" s="18" t="s">
        <v>155</v>
      </c>
      <c r="D25" s="18" t="s">
        <v>91</v>
      </c>
      <c r="E25" s="18" t="s">
        <v>92</v>
      </c>
      <c r="F25" s="18" t="s">
        <v>92</v>
      </c>
      <c r="G25" s="18"/>
      <c r="H25" s="18" t="s">
        <v>156</v>
      </c>
      <c r="I25" s="18"/>
      <c r="J25" s="18"/>
    </row>
    <row r="26" customFormat="false" ht="30" hidden="false" customHeight="true" outlineLevel="0" collapsed="false">
      <c r="B26" s="10" t="s">
        <v>157</v>
      </c>
      <c r="C26" s="10"/>
      <c r="D26" s="10"/>
      <c r="E26" s="10"/>
      <c r="F26" s="10"/>
      <c r="G26" s="10"/>
      <c r="H26" s="10"/>
      <c r="I26" s="10"/>
      <c r="J26" s="10"/>
      <c r="K26" s="10"/>
    </row>
    <row r="27" customFormat="false" ht="21.75" hidden="false" customHeight="true" outlineLevel="0" collapsed="false">
      <c r="B27" s="19" t="n">
        <v>1</v>
      </c>
      <c r="C27" s="5" t="s">
        <v>158</v>
      </c>
      <c r="D27" s="12" t="s">
        <v>159</v>
      </c>
      <c r="E27" s="12" t="n">
        <v>30</v>
      </c>
      <c r="F27" s="20" t="n">
        <f aca="false">IF(OR(E27="",$I$4=""),"",$I$4-SUM(E27:E$38)/1440)</f>
        <v>0.604166666666667</v>
      </c>
      <c r="G27" s="20" t="n">
        <f aca="false">IF(F27="","",F27+E27/1440)</f>
        <v>0.625</v>
      </c>
      <c r="H27" s="5"/>
      <c r="I27" s="9"/>
      <c r="J27" s="22" t="str">
        <f aca="false">IF(OR(F27="",I27=""),"",IF(ROUND((I27-G27)*1440,0)&gt;$I$6,"Atrasada","OK"))</f>
        <v/>
      </c>
      <c r="K27" s="5"/>
    </row>
    <row r="28" customFormat="false" ht="21.75" hidden="false" customHeight="true" outlineLevel="0" collapsed="false">
      <c r="B28" s="19" t="n">
        <v>2</v>
      </c>
      <c r="C28" s="5" t="s">
        <v>160</v>
      </c>
      <c r="D28" s="12" t="s">
        <v>159</v>
      </c>
      <c r="E28" s="12" t="n">
        <v>90</v>
      </c>
      <c r="F28" s="20" t="n">
        <f aca="false">IF(OR(E28="",$I$4=""),"",$I$4-SUM(E28:E$38)/1440)</f>
        <v>0.625</v>
      </c>
      <c r="G28" s="20" t="n">
        <f aca="false">IF(F28="","",F28+E28/1440)</f>
        <v>0.6875</v>
      </c>
      <c r="H28" s="5"/>
      <c r="I28" s="9"/>
      <c r="J28" s="22" t="str">
        <f aca="false">IF(OR(F28="",I28=""),"",IF(ROUND((I28-G28)*1440,0)&gt;$I$6,"Atrasada","OK"))</f>
        <v/>
      </c>
      <c r="K28" s="5"/>
    </row>
    <row r="29" customFormat="false" ht="21.75" hidden="false" customHeight="true" outlineLevel="0" collapsed="false">
      <c r="B29" s="19" t="n">
        <v>3</v>
      </c>
      <c r="C29" s="5" t="s">
        <v>161</v>
      </c>
      <c r="D29" s="12" t="s">
        <v>162</v>
      </c>
      <c r="E29" s="12" t="n">
        <v>30</v>
      </c>
      <c r="F29" s="20" t="n">
        <f aca="false">IF(OR(E29="",$I$4=""),"",$I$4-SUM(E29:E$38)/1440)</f>
        <v>0.6875</v>
      </c>
      <c r="G29" s="20" t="n">
        <f aca="false">IF(F29="","",F29+E29/1440)</f>
        <v>0.708333333333333</v>
      </c>
      <c r="H29" s="5"/>
      <c r="I29" s="9"/>
      <c r="J29" s="22" t="str">
        <f aca="false">IF(OR(F29="",I29=""),"",IF(ROUND((I29-G29)*1440,0)&gt;$I$6,"Atrasada","OK"))</f>
        <v/>
      </c>
      <c r="K29" s="5"/>
    </row>
    <row r="30" customFormat="false" ht="21.75" hidden="false" customHeight="true" outlineLevel="0" collapsed="false">
      <c r="B30" s="19" t="n">
        <v>4</v>
      </c>
      <c r="C30" s="5" t="s">
        <v>163</v>
      </c>
      <c r="D30" s="12" t="s">
        <v>162</v>
      </c>
      <c r="E30" s="12" t="n">
        <v>60</v>
      </c>
      <c r="F30" s="20" t="n">
        <f aca="false">IF(OR(E30="",$I$4=""),"",$I$4-SUM(E30:E$38)/1440)</f>
        <v>0.708333333333333</v>
      </c>
      <c r="G30" s="20" t="n">
        <f aca="false">IF(F30="","",F30+E30/1440)</f>
        <v>0.75</v>
      </c>
      <c r="H30" s="5"/>
      <c r="I30" s="9"/>
      <c r="J30" s="22" t="str">
        <f aca="false">IF(OR(F30="",I30=""),"",IF(ROUND((I30-G30)*1440,0)&gt;$I$6,"Atrasada","OK"))</f>
        <v/>
      </c>
      <c r="K30" s="5"/>
    </row>
    <row r="31" customFormat="false" ht="21.75" hidden="false" customHeight="true" outlineLevel="0" collapsed="false">
      <c r="B31" s="19" t="n">
        <v>5</v>
      </c>
      <c r="C31" s="5" t="s">
        <v>164</v>
      </c>
      <c r="D31" s="12" t="s">
        <v>165</v>
      </c>
      <c r="E31" s="12" t="n">
        <v>15</v>
      </c>
      <c r="F31" s="20" t="n">
        <f aca="false">IF(OR(E31="",$I$4=""),"",$I$4-SUM(E31:E$38)/1440)</f>
        <v>0.75</v>
      </c>
      <c r="G31" s="20" t="n">
        <f aca="false">IF(F31="","",F31+E31/1440)</f>
        <v>0.760416666666667</v>
      </c>
      <c r="H31" s="5"/>
      <c r="I31" s="9"/>
      <c r="J31" s="22" t="str">
        <f aca="false">IF(OR(F31="",I31=""),"",IF(ROUND((I31-G31)*1440,0)&gt;$I$6,"Atrasada","OK"))</f>
        <v/>
      </c>
      <c r="K31" s="5"/>
    </row>
    <row r="32" customFormat="false" ht="21.75" hidden="false" customHeight="true" outlineLevel="0" collapsed="false">
      <c r="B32" s="19" t="n">
        <v>6</v>
      </c>
      <c r="C32" s="5" t="s">
        <v>166</v>
      </c>
      <c r="D32" s="12" t="s">
        <v>162</v>
      </c>
      <c r="E32" s="12" t="n">
        <v>15</v>
      </c>
      <c r="F32" s="20" t="n">
        <f aca="false">IF(OR(E32="",$I$4=""),"",$I$4-SUM(E32:E$38)/1440)</f>
        <v>0.760416666666667</v>
      </c>
      <c r="G32" s="20" t="n">
        <f aca="false">IF(F32="","",F32+E32/1440)</f>
        <v>0.770833333333333</v>
      </c>
      <c r="H32" s="5"/>
      <c r="I32" s="9"/>
      <c r="J32" s="22" t="str">
        <f aca="false">IF(OR(F32="",I32=""),"",IF(ROUND((I32-G32)*1440,0)&gt;$I$6,"Atrasada","OK"))</f>
        <v/>
      </c>
      <c r="K32" s="5"/>
    </row>
    <row r="33" customFormat="false" ht="21.75" hidden="false" customHeight="true" outlineLevel="0" collapsed="false">
      <c r="B33" s="19" t="n">
        <v>7</v>
      </c>
      <c r="C33" s="5" t="s">
        <v>167</v>
      </c>
      <c r="D33" s="12" t="s">
        <v>168</v>
      </c>
      <c r="E33" s="12" t="n">
        <v>30</v>
      </c>
      <c r="F33" s="20" t="n">
        <f aca="false">IF(OR(E33="",$I$4=""),"",$I$4-SUM(E33:E$38)/1440)</f>
        <v>0.770833333333333</v>
      </c>
      <c r="G33" s="20" t="n">
        <f aca="false">IF(F33="","",F33+E33/1440)</f>
        <v>0.791666666666667</v>
      </c>
      <c r="H33" s="5"/>
      <c r="I33" s="9"/>
      <c r="J33" s="22" t="str">
        <f aca="false">IF(OR(F33="",I33=""),"",IF(ROUND((I33-G33)*1440,0)&gt;$I$6,"Atrasada","OK"))</f>
        <v/>
      </c>
      <c r="K33" s="5"/>
    </row>
    <row r="34" customFormat="false" ht="21.75" hidden="false" customHeight="true" outlineLevel="0" collapsed="false">
      <c r="B34" s="19" t="n">
        <v>8</v>
      </c>
      <c r="C34" s="5"/>
      <c r="D34" s="12"/>
      <c r="E34" s="12"/>
      <c r="F34" s="20" t="str">
        <f aca="false">IF(OR(E34="",$I$4=""),"",$I$4-SUM(E34:E$38)/1440)</f>
        <v/>
      </c>
      <c r="G34" s="20" t="str">
        <f aca="false">IF(F34="","",F34+E34/1440)</f>
        <v/>
      </c>
      <c r="H34" s="5"/>
      <c r="I34" s="9"/>
      <c r="J34" s="22" t="str">
        <f aca="false">IF(OR(F34="",I34=""),"",IF(ROUND((I34-G34)*1440,0)&gt;$I$6,"Atrasada","OK"))</f>
        <v/>
      </c>
      <c r="K34" s="5"/>
    </row>
    <row r="35" customFormat="false" ht="21.75" hidden="false" customHeight="true" outlineLevel="0" collapsed="false">
      <c r="B35" s="19" t="n">
        <v>9</v>
      </c>
      <c r="C35" s="5"/>
      <c r="D35" s="12"/>
      <c r="E35" s="12"/>
      <c r="F35" s="20" t="str">
        <f aca="false">IF(OR(E35="",$I$4=""),"",$I$4-SUM(E35:E$38)/1440)</f>
        <v/>
      </c>
      <c r="G35" s="20" t="str">
        <f aca="false">IF(F35="","",F35+E35/1440)</f>
        <v/>
      </c>
      <c r="H35" s="5"/>
      <c r="I35" s="9"/>
      <c r="J35" s="22" t="str">
        <f aca="false">IF(OR(F35="",I35=""),"",IF(ROUND((I35-G35)*1440,0)&gt;$I$6,"Atrasada","OK"))</f>
        <v/>
      </c>
      <c r="K35" s="5"/>
    </row>
    <row r="36" customFormat="false" ht="21.75" hidden="false" customHeight="true" outlineLevel="0" collapsed="false">
      <c r="B36" s="19" t="n">
        <v>10</v>
      </c>
      <c r="C36" s="5"/>
      <c r="D36" s="12"/>
      <c r="E36" s="12"/>
      <c r="F36" s="20" t="str">
        <f aca="false">IF(OR(E36="",$I$4=""),"",$I$4-SUM(E36:E$38)/1440)</f>
        <v/>
      </c>
      <c r="G36" s="20" t="str">
        <f aca="false">IF(F36="","",F36+E36/1440)</f>
        <v/>
      </c>
      <c r="H36" s="5"/>
      <c r="I36" s="9"/>
      <c r="J36" s="22" t="str">
        <f aca="false">IF(OR(F36="",I36=""),"",IF(ROUND((I36-G36)*1440,0)&gt;$I$6,"Atrasada","OK"))</f>
        <v/>
      </c>
      <c r="K36" s="5"/>
    </row>
    <row r="37" customFormat="false" ht="21.75" hidden="false" customHeight="true" outlineLevel="0" collapsed="false">
      <c r="B37" s="19" t="n">
        <v>11</v>
      </c>
      <c r="C37" s="5"/>
      <c r="D37" s="12"/>
      <c r="E37" s="12"/>
      <c r="F37" s="20" t="str">
        <f aca="false">IF(OR(E37="",$I$4=""),"",$I$4-SUM(E37:E$38)/1440)</f>
        <v/>
      </c>
      <c r="G37" s="20" t="str">
        <f aca="false">IF(F37="","",F37+E37/1440)</f>
        <v/>
      </c>
      <c r="H37" s="5"/>
      <c r="I37" s="9"/>
      <c r="J37" s="22" t="str">
        <f aca="false">IF(OR(F37="",I37=""),"",IF(ROUND((I37-G37)*1440,0)&gt;$I$6,"Atrasada","OK"))</f>
        <v/>
      </c>
      <c r="K37" s="5"/>
    </row>
    <row r="38" customFormat="false" ht="21.75" hidden="false" customHeight="true" outlineLevel="0" collapsed="false">
      <c r="B38" s="19" t="n">
        <v>12</v>
      </c>
      <c r="C38" s="5"/>
      <c r="D38" s="12"/>
      <c r="E38" s="12"/>
      <c r="F38" s="20" t="str">
        <f aca="false">IF(OR(E38="",$I$4=""),"",$I$4-SUM(E38:E$38)/1440)</f>
        <v/>
      </c>
      <c r="G38" s="20" t="str">
        <f aca="false">IF(F38="","",F38+E38/1440)</f>
        <v/>
      </c>
      <c r="H38" s="5"/>
      <c r="I38" s="9"/>
      <c r="J38" s="22" t="str">
        <f aca="false">IF(OR(F38="",I38=""),"",IF(ROUND((I38-G38)*1440,0)&gt;$I$6,"Atrasada","OK"))</f>
        <v/>
      </c>
      <c r="K38" s="5"/>
    </row>
    <row r="40" customFormat="false" ht="21.75" hidden="false" customHeight="true" outlineLevel="0" collapsed="false">
      <c r="B40" s="13" t="s">
        <v>113</v>
      </c>
      <c r="C40" s="13"/>
      <c r="D40" s="13"/>
      <c r="E40" s="13"/>
      <c r="F40" s="13"/>
      <c r="G40" s="13"/>
      <c r="H40" s="13"/>
      <c r="I40" s="13"/>
      <c r="J40" s="13"/>
      <c r="K40" s="13"/>
    </row>
    <row r="41" customFormat="false" ht="19.5" hidden="false" customHeight="true" outlineLevel="0" collapsed="false">
      <c r="B41" s="23" t="s">
        <v>169</v>
      </c>
      <c r="C41" s="23"/>
      <c r="D41" s="23"/>
      <c r="E41" s="26" t="n">
        <f aca="false">IF(SUM(E27:E38)=0,"",SUM(E27:E38)/1440)</f>
        <v>0.1875</v>
      </c>
    </row>
    <row r="42" customFormat="false" ht="19.5" hidden="false" customHeight="true" outlineLevel="0" collapsed="false">
      <c r="B42" s="23" t="s">
        <v>170</v>
      </c>
      <c r="C42" s="23"/>
      <c r="D42" s="23"/>
      <c r="E42" s="24" t="n">
        <f aca="false">IF(OR($I$4="",SUM(E27:E38)=0),"",$I$4-SUM(E27:E38)/1440)</f>
        <v>0.604166666666667</v>
      </c>
    </row>
    <row r="43" customFormat="false" ht="19.5" hidden="false" customHeight="true" outlineLevel="0" collapsed="false">
      <c r="B43" s="23" t="s">
        <v>171</v>
      </c>
      <c r="C43" s="23"/>
      <c r="D43" s="23"/>
      <c r="E43" s="8" t="n">
        <f aca="false">SUMIF(D27:D38,"Folga",E27:E38)</f>
        <v>15</v>
      </c>
    </row>
    <row r="44" customFormat="false" ht="19.5" hidden="false" customHeight="true" outlineLevel="0" collapsed="false">
      <c r="B44" s="23" t="s">
        <v>172</v>
      </c>
      <c r="C44" s="23"/>
      <c r="D44" s="23"/>
      <c r="E44" s="8" t="n">
        <f aca="false">COUNTIF(J27:J38,"Atrasada")</f>
        <v>0</v>
      </c>
    </row>
    <row r="45" customFormat="false" ht="19.5" hidden="false" customHeight="true" outlineLevel="0" collapsed="false">
      <c r="B45" s="23" t="s">
        <v>173</v>
      </c>
      <c r="C45" s="23"/>
      <c r="D45" s="23"/>
      <c r="E45" s="8" t="n">
        <f aca="false">COUNTIF(J13:J22,"Sem responsável")+COUNTIF(J13:J22,"A confirmar")</f>
        <v>0</v>
      </c>
    </row>
    <row r="46" customFormat="false" ht="21.75" hidden="false" customHeight="true" outlineLevel="0" collapsed="false">
      <c r="B46" s="23" t="s">
        <v>120</v>
      </c>
      <c r="C46" s="23"/>
      <c r="D46" s="23"/>
      <c r="E46" s="25" t="str">
        <f aca="false">IF($I$4="","Informe a hora do evento",IF(E42="","Liste as etapas com a duração",IF(AND($I$5&lt;&gt;"",ROUND(($I$5-E42)*1440,0)&gt;0),"O local só libera "&amp;ROUND(($I$5-E42)*1440,0)&amp;" min depois da chegada calculada: encurte etapas ou combine outra liberação",IF(E43=0,"Reserve uma etapa de folga",IF(COUNTA(C13:C22)=0,"Preencha a escala",IF(E45&gt;0,"Há função sem responsável ou sem confirmação",IF(E44&gt;0,"Houve etapa atrasada: anote a causa para o próximo cronograma","OK")))))))</f>
        <v>Preencha a escala</v>
      </c>
      <c r="F46" s="25"/>
      <c r="G46" s="25"/>
      <c r="H46" s="25"/>
      <c r="I46" s="25"/>
      <c r="J46" s="25"/>
      <c r="K46" s="25"/>
    </row>
  </sheetData>
  <mergeCells count="23">
    <mergeCell ref="B1:K1"/>
    <mergeCell ref="B2:K2"/>
    <mergeCell ref="C4:E4"/>
    <mergeCell ref="G4:H4"/>
    <mergeCell ref="J4:K4"/>
    <mergeCell ref="C5:E5"/>
    <mergeCell ref="G5:H5"/>
    <mergeCell ref="J5:K5"/>
    <mergeCell ref="C6:E6"/>
    <mergeCell ref="G6:H6"/>
    <mergeCell ref="J6:K6"/>
    <mergeCell ref="C7:E7"/>
    <mergeCell ref="B9:K9"/>
    <mergeCell ref="B23:K23"/>
    <mergeCell ref="B26:K26"/>
    <mergeCell ref="B40:K40"/>
    <mergeCell ref="B41:D41"/>
    <mergeCell ref="B42:D42"/>
    <mergeCell ref="B43:D43"/>
    <mergeCell ref="B44:D44"/>
    <mergeCell ref="B45:D45"/>
    <mergeCell ref="B46:D46"/>
    <mergeCell ref="E46:K46"/>
  </mergeCells>
  <conditionalFormatting sqref="J13:J22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"A confirmar"</formula>
    </cfRule>
    <cfRule type="cellIs" priority="4" operator="equal" aboveAverage="0" equalAverage="0" bottom="0" percent="0" rank="0" text="" dxfId="1">
      <formula>"Sem responsável"</formula>
    </cfRule>
  </conditionalFormatting>
  <conditionalFormatting sqref="J27:J38">
    <cfRule type="cellIs" priority="5" operator="equal" aboveAverage="0" equalAverage="0" bottom="0" percent="0" rank="0" text="" dxfId="0">
      <formula>"OK"</formula>
    </cfRule>
    <cfRule type="cellIs" priority="6" operator="equal" aboveAverage="0" equalAverage="0" bottom="0" percent="0" rank="0" text="" dxfId="1">
      <formula>"Atrasada"</formula>
    </cfRule>
  </conditionalFormatting>
  <conditionalFormatting sqref="E46:K46">
    <cfRule type="cellIs" priority="7" operator="equal" aboveAverage="0" equalAverage="0" bottom="0" percent="0" rank="0" text="" dxfId="0">
      <formula>"OK"</formula>
    </cfRule>
    <cfRule type="cellIs" priority="8" operator="notEqual" aboveAverage="0" equalAverage="0" bottom="0" percent="0" rank="0" text="" dxfId="1">
      <formula>"OK"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C6" type="date">
      <formula1>36526</formula1>
      <formula2>0</formula2>
    </dataValidation>
    <dataValidation allowBlank="true" error="Digite a hora no formato 19:00." errorStyle="stop" errorTitle="Hora inválida" operator="between" showDropDown="false" showErrorMessage="true" showInputMessage="false" sqref="I4:I5 F13:F22 I27:I38" type="time">
      <formula1>0</formula1>
      <formula2>0.99999</formula2>
    </dataValidation>
    <dataValidation allowBlank="true" error="Digite apenas o número, sem texto nem unidade." errorStyle="stop" errorTitle="Valor inválido" operator="between" showDropDown="false" showErrorMessage="true" showInputMessage="false" sqref="I6" type="decimal">
      <formula1>-1000000000</formula1>
      <formula2>1000000000</formula2>
    </dataValidation>
    <dataValidation allowBlank="true" error="Escolha uma das opções da lista." errorStyle="stop" errorTitle="Valor inválido" operator="between" prompt="A presença foi confirmada?" promptTitle="Opções" showDropDown="false" showErrorMessage="true" showInputMessage="true" sqref="I13:I22" type="list">
      <formula1>"Sim,Não"</formula1>
      <formula2>0</formula2>
    </dataValidation>
    <dataValidation allowBlank="true" error="Escolha uma das opções da lista." errorStyle="stop" errorTitle="Valor inválido" operator="between" prompt="Montagem, Teste, Folga ou Portas." promptTitle="Opções" showDropDown="false" showErrorMessage="true" showInputMessage="true" sqref="D27:D38" type="list">
      <formula1>"Montagem,Teste,Folga,Portas"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27:E38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7" min="7" style="0" width="20"/>
    <col collapsed="false" customWidth="true" hidden="false" outlineLevel="0" max="9" min="8" style="0" width="13"/>
    <col collapsed="false" customWidth="true" hidden="false" outlineLevel="0" max="10" min="10" style="0" width="11"/>
    <col collapsed="false" customWidth="true" hidden="false" outlineLevel="0" max="12" min="11" style="0" width="13"/>
    <col collapsed="false" customWidth="true" hidden="false" outlineLevel="0" max="13" min="13" style="0" width="32"/>
    <col collapsed="false" customWidth="true" hidden="false" outlineLevel="0" max="14" min="14" style="0" width="2"/>
  </cols>
  <sheetData>
    <row r="1" customFormat="false" ht="31.5" hidden="false" customHeight="true" outlineLevel="0" collapsed="false">
      <c r="B1" s="1" t="s">
        <v>174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175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1.75" hidden="false" customHeight="true" outlineLevel="0" collapsed="false">
      <c r="B4" s="4" t="s">
        <v>176</v>
      </c>
      <c r="C4" s="4"/>
      <c r="D4" s="4"/>
      <c r="E4" s="5"/>
      <c r="F4" s="5"/>
      <c r="G4" s="5"/>
      <c r="H4" s="5"/>
      <c r="J4" s="4" t="s">
        <v>53</v>
      </c>
      <c r="K4" s="4"/>
      <c r="L4" s="27"/>
      <c r="M4" s="10" t="s">
        <v>177</v>
      </c>
    </row>
    <row r="5" customFormat="false" ht="21.75" hidden="false" customHeight="true" outlineLevel="0" collapsed="false">
      <c r="B5" s="4" t="s">
        <v>178</v>
      </c>
      <c r="C5" s="4"/>
      <c r="D5" s="4"/>
      <c r="E5" s="5"/>
      <c r="F5" s="5"/>
      <c r="G5" s="5"/>
      <c r="H5" s="5"/>
      <c r="J5" s="4" t="s">
        <v>179</v>
      </c>
      <c r="K5" s="4"/>
      <c r="L5" s="28" t="n">
        <f aca="true">IF(L4="",TODAY(),L4)</f>
        <v>46296</v>
      </c>
    </row>
    <row r="6" customFormat="false" ht="15" hidden="false" customHeight="true" outlineLevel="0" collapsed="false">
      <c r="J6" s="10" t="s">
        <v>180</v>
      </c>
      <c r="K6" s="10"/>
      <c r="L6" s="10"/>
      <c r="M6" s="10"/>
    </row>
    <row r="9" customFormat="false" ht="21.75" hidden="false" customHeight="true" outlineLevel="0" collapsed="false">
      <c r="B9" s="13" t="s">
        <v>181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</row>
    <row r="10" customFormat="false" ht="30" hidden="false" customHeight="true" outlineLevel="0" collapsed="false">
      <c r="B10" s="14" t="s">
        <v>76</v>
      </c>
      <c r="C10" s="15" t="s">
        <v>182</v>
      </c>
      <c r="D10" s="15" t="s">
        <v>183</v>
      </c>
      <c r="E10" s="15" t="s">
        <v>184</v>
      </c>
      <c r="F10" s="15" t="s">
        <v>185</v>
      </c>
      <c r="G10" s="15" t="s">
        <v>186</v>
      </c>
      <c r="H10" s="15" t="s">
        <v>187</v>
      </c>
      <c r="I10" s="17" t="s">
        <v>188</v>
      </c>
      <c r="J10" s="17" t="s">
        <v>189</v>
      </c>
      <c r="K10" s="16" t="s">
        <v>190</v>
      </c>
      <c r="L10" s="16" t="s">
        <v>89</v>
      </c>
      <c r="M10" s="14" t="s">
        <v>135</v>
      </c>
    </row>
    <row r="11" customFormat="false" ht="24" hidden="false" customHeight="true" outlineLevel="0" collapsed="false">
      <c r="B11" s="18"/>
      <c r="C11" s="18" t="s">
        <v>191</v>
      </c>
      <c r="D11" s="18" t="s">
        <v>192</v>
      </c>
      <c r="E11" s="18" t="s">
        <v>155</v>
      </c>
      <c r="F11" s="18"/>
      <c r="G11" s="18" t="s">
        <v>193</v>
      </c>
      <c r="H11" s="18" t="s">
        <v>155</v>
      </c>
      <c r="I11" s="18" t="s">
        <v>194</v>
      </c>
      <c r="J11" s="18" t="s">
        <v>195</v>
      </c>
      <c r="K11" s="18" t="s">
        <v>196</v>
      </c>
      <c r="L11" s="18"/>
      <c r="M11" s="18"/>
    </row>
    <row r="12" customFormat="false" ht="30" hidden="false" customHeight="true" outlineLevel="0" collapsed="false">
      <c r="B12" s="18" t="s">
        <v>100</v>
      </c>
      <c r="C12" s="18" t="s">
        <v>197</v>
      </c>
      <c r="D12" s="10" t="s">
        <v>198</v>
      </c>
      <c r="E12" s="18" t="s">
        <v>199</v>
      </c>
      <c r="F12" s="18" t="n">
        <v>1</v>
      </c>
      <c r="G12" s="10" t="s">
        <v>200</v>
      </c>
      <c r="H12" s="18" t="s">
        <v>201</v>
      </c>
      <c r="I12" s="18" t="s">
        <v>202</v>
      </c>
      <c r="J12" s="18" t="n">
        <v>1</v>
      </c>
      <c r="K12" s="18" t="s">
        <v>203</v>
      </c>
      <c r="L12" s="18" t="s">
        <v>204</v>
      </c>
      <c r="M12" s="10" t="s">
        <v>205</v>
      </c>
    </row>
    <row r="13" customFormat="false" ht="19.5" hidden="false" customHeight="true" outlineLevel="0" collapsed="false">
      <c r="B13" s="19" t="n">
        <v>1</v>
      </c>
      <c r="C13" s="5"/>
      <c r="D13" s="5"/>
      <c r="E13" s="12"/>
      <c r="F13" s="12"/>
      <c r="G13" s="5"/>
      <c r="H13" s="12"/>
      <c r="I13" s="27"/>
      <c r="J13" s="12"/>
      <c r="K13" s="29" t="str">
        <f aca="false">IF(OR(I13="",J13=""),"",DATE(YEAR(I13),MONTH(I13)+J13,DAY(I13)))</f>
        <v/>
      </c>
      <c r="L13" s="22" t="str">
        <f aca="false">IF(D13="","",IF(OR(H13="Com defeito",H13="Em conserto"),"Fora de uso",IF(K13="","Sem data",IF(K13&lt;$L$5,"Vencida",IF(K13-$L$5&lt;=30,"Vence logo","Em dia")))))</f>
        <v/>
      </c>
      <c r="M13" s="5"/>
    </row>
    <row r="14" customFormat="false" ht="19.5" hidden="false" customHeight="true" outlineLevel="0" collapsed="false">
      <c r="B14" s="19" t="n">
        <v>2</v>
      </c>
      <c r="C14" s="5"/>
      <c r="D14" s="5"/>
      <c r="E14" s="12"/>
      <c r="F14" s="12"/>
      <c r="G14" s="5"/>
      <c r="H14" s="12"/>
      <c r="I14" s="27"/>
      <c r="J14" s="12"/>
      <c r="K14" s="29" t="str">
        <f aca="false">IF(OR(I14="",J14=""),"",DATE(YEAR(I14),MONTH(I14)+J14,DAY(I14)))</f>
        <v/>
      </c>
      <c r="L14" s="22" t="str">
        <f aca="false">IF(D14="","",IF(OR(H14="Com defeito",H14="Em conserto"),"Fora de uso",IF(K14="","Sem data",IF(K14&lt;$L$5,"Vencida",IF(K14-$L$5&lt;=30,"Vence logo","Em dia")))))</f>
        <v/>
      </c>
      <c r="M14" s="5"/>
    </row>
    <row r="15" customFormat="false" ht="19.5" hidden="false" customHeight="true" outlineLevel="0" collapsed="false">
      <c r="B15" s="19" t="n">
        <v>3</v>
      </c>
      <c r="C15" s="5"/>
      <c r="D15" s="5"/>
      <c r="E15" s="12"/>
      <c r="F15" s="12"/>
      <c r="G15" s="5"/>
      <c r="H15" s="12"/>
      <c r="I15" s="27"/>
      <c r="J15" s="12"/>
      <c r="K15" s="29" t="str">
        <f aca="false">IF(OR(I15="",J15=""),"",DATE(YEAR(I15),MONTH(I15)+J15,DAY(I15)))</f>
        <v/>
      </c>
      <c r="L15" s="22" t="str">
        <f aca="false">IF(D15="","",IF(OR(H15="Com defeito",H15="Em conserto"),"Fora de uso",IF(K15="","Sem data",IF(K15&lt;$L$5,"Vencida",IF(K15-$L$5&lt;=30,"Vence logo","Em dia")))))</f>
        <v/>
      </c>
      <c r="M15" s="5"/>
    </row>
    <row r="16" customFormat="false" ht="19.5" hidden="false" customHeight="true" outlineLevel="0" collapsed="false">
      <c r="B16" s="19" t="n">
        <v>4</v>
      </c>
      <c r="C16" s="5"/>
      <c r="D16" s="5"/>
      <c r="E16" s="12"/>
      <c r="F16" s="12"/>
      <c r="G16" s="5"/>
      <c r="H16" s="12"/>
      <c r="I16" s="27"/>
      <c r="J16" s="12"/>
      <c r="K16" s="29" t="str">
        <f aca="false">IF(OR(I16="",J16=""),"",DATE(YEAR(I16),MONTH(I16)+J16,DAY(I16)))</f>
        <v/>
      </c>
      <c r="L16" s="22" t="str">
        <f aca="false">IF(D16="","",IF(OR(H16="Com defeito",H16="Em conserto"),"Fora de uso",IF(K16="","Sem data",IF(K16&lt;$L$5,"Vencida",IF(K16-$L$5&lt;=30,"Vence logo","Em dia")))))</f>
        <v/>
      </c>
      <c r="M16" s="5"/>
    </row>
    <row r="17" customFormat="false" ht="19.5" hidden="false" customHeight="true" outlineLevel="0" collapsed="false">
      <c r="B17" s="19" t="n">
        <v>5</v>
      </c>
      <c r="C17" s="5"/>
      <c r="D17" s="5"/>
      <c r="E17" s="12"/>
      <c r="F17" s="12"/>
      <c r="G17" s="5"/>
      <c r="H17" s="12"/>
      <c r="I17" s="27"/>
      <c r="J17" s="12"/>
      <c r="K17" s="29" t="str">
        <f aca="false">IF(OR(I17="",J17=""),"",DATE(YEAR(I17),MONTH(I17)+J17,DAY(I17)))</f>
        <v/>
      </c>
      <c r="L17" s="22" t="str">
        <f aca="false">IF(D17="","",IF(OR(H17="Com defeito",H17="Em conserto"),"Fora de uso",IF(K17="","Sem data",IF(K17&lt;$L$5,"Vencida",IF(K17-$L$5&lt;=30,"Vence logo","Em dia")))))</f>
        <v/>
      </c>
      <c r="M17" s="5"/>
    </row>
    <row r="18" customFormat="false" ht="19.5" hidden="false" customHeight="true" outlineLevel="0" collapsed="false">
      <c r="B18" s="19" t="n">
        <v>6</v>
      </c>
      <c r="C18" s="5"/>
      <c r="D18" s="5"/>
      <c r="E18" s="12"/>
      <c r="F18" s="12"/>
      <c r="G18" s="5"/>
      <c r="H18" s="12"/>
      <c r="I18" s="27"/>
      <c r="J18" s="12"/>
      <c r="K18" s="29" t="str">
        <f aca="false">IF(OR(I18="",J18=""),"",DATE(YEAR(I18),MONTH(I18)+J18,DAY(I18)))</f>
        <v/>
      </c>
      <c r="L18" s="22" t="str">
        <f aca="false">IF(D18="","",IF(OR(H18="Com defeito",H18="Em conserto"),"Fora de uso",IF(K18="","Sem data",IF(K18&lt;$L$5,"Vencida",IF(K18-$L$5&lt;=30,"Vence logo","Em dia")))))</f>
        <v/>
      </c>
      <c r="M18" s="5"/>
    </row>
    <row r="19" customFormat="false" ht="19.5" hidden="false" customHeight="true" outlineLevel="0" collapsed="false">
      <c r="B19" s="19" t="n">
        <v>7</v>
      </c>
      <c r="C19" s="5"/>
      <c r="D19" s="5"/>
      <c r="E19" s="12"/>
      <c r="F19" s="12"/>
      <c r="G19" s="5"/>
      <c r="H19" s="12"/>
      <c r="I19" s="27"/>
      <c r="J19" s="12"/>
      <c r="K19" s="29" t="str">
        <f aca="false">IF(OR(I19="",J19=""),"",DATE(YEAR(I19),MONTH(I19)+J19,DAY(I19)))</f>
        <v/>
      </c>
      <c r="L19" s="22" t="str">
        <f aca="false">IF(D19="","",IF(OR(H19="Com defeito",H19="Em conserto"),"Fora de uso",IF(K19="","Sem data",IF(K19&lt;$L$5,"Vencida",IF(K19-$L$5&lt;=30,"Vence logo","Em dia")))))</f>
        <v/>
      </c>
      <c r="M19" s="5"/>
    </row>
    <row r="20" customFormat="false" ht="19.5" hidden="false" customHeight="true" outlineLevel="0" collapsed="false">
      <c r="B20" s="19" t="n">
        <v>8</v>
      </c>
      <c r="C20" s="5"/>
      <c r="D20" s="5"/>
      <c r="E20" s="12"/>
      <c r="F20" s="12"/>
      <c r="G20" s="5"/>
      <c r="H20" s="12"/>
      <c r="I20" s="27"/>
      <c r="J20" s="12"/>
      <c r="K20" s="29" t="str">
        <f aca="false">IF(OR(I20="",J20=""),"",DATE(YEAR(I20),MONTH(I20)+J20,DAY(I20)))</f>
        <v/>
      </c>
      <c r="L20" s="22" t="str">
        <f aca="false">IF(D20="","",IF(OR(H20="Com defeito",H20="Em conserto"),"Fora de uso",IF(K20="","Sem data",IF(K20&lt;$L$5,"Vencida",IF(K20-$L$5&lt;=30,"Vence logo","Em dia")))))</f>
        <v/>
      </c>
      <c r="M20" s="5"/>
    </row>
    <row r="21" customFormat="false" ht="19.5" hidden="false" customHeight="true" outlineLevel="0" collapsed="false">
      <c r="B21" s="19" t="n">
        <v>9</v>
      </c>
      <c r="C21" s="5"/>
      <c r="D21" s="5"/>
      <c r="E21" s="12"/>
      <c r="F21" s="12"/>
      <c r="G21" s="5"/>
      <c r="H21" s="12"/>
      <c r="I21" s="27"/>
      <c r="J21" s="12"/>
      <c r="K21" s="29" t="str">
        <f aca="false">IF(OR(I21="",J21=""),"",DATE(YEAR(I21),MONTH(I21)+J21,DAY(I21)))</f>
        <v/>
      </c>
      <c r="L21" s="22" t="str">
        <f aca="false">IF(D21="","",IF(OR(H21="Com defeito",H21="Em conserto"),"Fora de uso",IF(K21="","Sem data",IF(K21&lt;$L$5,"Vencida",IF(K21-$L$5&lt;=30,"Vence logo","Em dia")))))</f>
        <v/>
      </c>
      <c r="M21" s="5"/>
    </row>
    <row r="22" customFormat="false" ht="19.5" hidden="false" customHeight="true" outlineLevel="0" collapsed="false">
      <c r="B22" s="19" t="n">
        <v>10</v>
      </c>
      <c r="C22" s="5"/>
      <c r="D22" s="5"/>
      <c r="E22" s="12"/>
      <c r="F22" s="12"/>
      <c r="G22" s="5"/>
      <c r="H22" s="12"/>
      <c r="I22" s="27"/>
      <c r="J22" s="12"/>
      <c r="K22" s="29" t="str">
        <f aca="false">IF(OR(I22="",J22=""),"",DATE(YEAR(I22),MONTH(I22)+J22,DAY(I22)))</f>
        <v/>
      </c>
      <c r="L22" s="22" t="str">
        <f aca="false">IF(D22="","",IF(OR(H22="Com defeito",H22="Em conserto"),"Fora de uso",IF(K22="","Sem data",IF(K22&lt;$L$5,"Vencida",IF(K22-$L$5&lt;=30,"Vence logo","Em dia")))))</f>
        <v/>
      </c>
      <c r="M22" s="5"/>
    </row>
    <row r="23" customFormat="false" ht="19.5" hidden="false" customHeight="true" outlineLevel="0" collapsed="false">
      <c r="B23" s="19" t="n">
        <v>11</v>
      </c>
      <c r="C23" s="5"/>
      <c r="D23" s="5"/>
      <c r="E23" s="12"/>
      <c r="F23" s="12"/>
      <c r="G23" s="5"/>
      <c r="H23" s="12"/>
      <c r="I23" s="27"/>
      <c r="J23" s="12"/>
      <c r="K23" s="29" t="str">
        <f aca="false">IF(OR(I23="",J23=""),"",DATE(YEAR(I23),MONTH(I23)+J23,DAY(I23)))</f>
        <v/>
      </c>
      <c r="L23" s="22" t="str">
        <f aca="false">IF(D23="","",IF(OR(H23="Com defeito",H23="Em conserto"),"Fora de uso",IF(K23="","Sem data",IF(K23&lt;$L$5,"Vencida",IF(K23-$L$5&lt;=30,"Vence logo","Em dia")))))</f>
        <v/>
      </c>
      <c r="M23" s="5"/>
    </row>
    <row r="24" customFormat="false" ht="19.5" hidden="false" customHeight="true" outlineLevel="0" collapsed="false">
      <c r="B24" s="19" t="n">
        <v>12</v>
      </c>
      <c r="C24" s="5"/>
      <c r="D24" s="5"/>
      <c r="E24" s="12"/>
      <c r="F24" s="12"/>
      <c r="G24" s="5"/>
      <c r="H24" s="12"/>
      <c r="I24" s="27"/>
      <c r="J24" s="12"/>
      <c r="K24" s="29" t="str">
        <f aca="false">IF(OR(I24="",J24=""),"",DATE(YEAR(I24),MONTH(I24)+J24,DAY(I24)))</f>
        <v/>
      </c>
      <c r="L24" s="22" t="str">
        <f aca="false">IF(D24="","",IF(OR(H24="Com defeito",H24="Em conserto"),"Fora de uso",IF(K24="","Sem data",IF(K24&lt;$L$5,"Vencida",IF(K24-$L$5&lt;=30,"Vence logo","Em dia")))))</f>
        <v/>
      </c>
      <c r="M24" s="5"/>
    </row>
    <row r="25" customFormat="false" ht="19.5" hidden="false" customHeight="true" outlineLevel="0" collapsed="false">
      <c r="B25" s="19" t="n">
        <v>13</v>
      </c>
      <c r="C25" s="5"/>
      <c r="D25" s="5"/>
      <c r="E25" s="12"/>
      <c r="F25" s="12"/>
      <c r="G25" s="5"/>
      <c r="H25" s="12"/>
      <c r="I25" s="27"/>
      <c r="J25" s="12"/>
      <c r="K25" s="29" t="str">
        <f aca="false">IF(OR(I25="",J25=""),"",DATE(YEAR(I25),MONTH(I25)+J25,DAY(I25)))</f>
        <v/>
      </c>
      <c r="L25" s="22" t="str">
        <f aca="false">IF(D25="","",IF(OR(H25="Com defeito",H25="Em conserto"),"Fora de uso",IF(K25="","Sem data",IF(K25&lt;$L$5,"Vencida",IF(K25-$L$5&lt;=30,"Vence logo","Em dia")))))</f>
        <v/>
      </c>
      <c r="M25" s="5"/>
    </row>
    <row r="26" customFormat="false" ht="19.5" hidden="false" customHeight="true" outlineLevel="0" collapsed="false">
      <c r="B26" s="19" t="n">
        <v>14</v>
      </c>
      <c r="C26" s="5"/>
      <c r="D26" s="5"/>
      <c r="E26" s="12"/>
      <c r="F26" s="12"/>
      <c r="G26" s="5"/>
      <c r="H26" s="12"/>
      <c r="I26" s="27"/>
      <c r="J26" s="12"/>
      <c r="K26" s="29" t="str">
        <f aca="false">IF(OR(I26="",J26=""),"",DATE(YEAR(I26),MONTH(I26)+J26,DAY(I26)))</f>
        <v/>
      </c>
      <c r="L26" s="22" t="str">
        <f aca="false">IF(D26="","",IF(OR(H26="Com defeito",H26="Em conserto"),"Fora de uso",IF(K26="","Sem data",IF(K26&lt;$L$5,"Vencida",IF(K26-$L$5&lt;=30,"Vence logo","Em dia")))))</f>
        <v/>
      </c>
      <c r="M26" s="5"/>
    </row>
    <row r="27" customFormat="false" ht="19.5" hidden="false" customHeight="true" outlineLevel="0" collapsed="false">
      <c r="B27" s="19" t="n">
        <v>15</v>
      </c>
      <c r="C27" s="5"/>
      <c r="D27" s="5"/>
      <c r="E27" s="12"/>
      <c r="F27" s="12"/>
      <c r="G27" s="5"/>
      <c r="H27" s="12"/>
      <c r="I27" s="27"/>
      <c r="J27" s="12"/>
      <c r="K27" s="29" t="str">
        <f aca="false">IF(OR(I27="",J27=""),"",DATE(YEAR(I27),MONTH(I27)+J27,DAY(I27)))</f>
        <v/>
      </c>
      <c r="L27" s="22" t="str">
        <f aca="false">IF(D27="","",IF(OR(H27="Com defeito",H27="Em conserto"),"Fora de uso",IF(K27="","Sem data",IF(K27&lt;$L$5,"Vencida",IF(K27-$L$5&lt;=30,"Vence logo","Em dia")))))</f>
        <v/>
      </c>
      <c r="M27" s="5"/>
    </row>
    <row r="28" customFormat="false" ht="19.5" hidden="false" customHeight="true" outlineLevel="0" collapsed="false">
      <c r="B28" s="19" t="n">
        <v>16</v>
      </c>
      <c r="C28" s="5"/>
      <c r="D28" s="5"/>
      <c r="E28" s="12"/>
      <c r="F28" s="12"/>
      <c r="G28" s="5"/>
      <c r="H28" s="12"/>
      <c r="I28" s="27"/>
      <c r="J28" s="12"/>
      <c r="K28" s="29" t="str">
        <f aca="false">IF(OR(I28="",J28=""),"",DATE(YEAR(I28),MONTH(I28)+J28,DAY(I28)))</f>
        <v/>
      </c>
      <c r="L28" s="22" t="str">
        <f aca="false">IF(D28="","",IF(OR(H28="Com defeito",H28="Em conserto"),"Fora de uso",IF(K28="","Sem data",IF(K28&lt;$L$5,"Vencida",IF(K28-$L$5&lt;=30,"Vence logo","Em dia")))))</f>
        <v/>
      </c>
      <c r="M28" s="5"/>
    </row>
    <row r="29" customFormat="false" ht="19.5" hidden="false" customHeight="true" outlineLevel="0" collapsed="false">
      <c r="B29" s="19" t="n">
        <v>17</v>
      </c>
      <c r="C29" s="5"/>
      <c r="D29" s="5"/>
      <c r="E29" s="12"/>
      <c r="F29" s="12"/>
      <c r="G29" s="5"/>
      <c r="H29" s="12"/>
      <c r="I29" s="27"/>
      <c r="J29" s="12"/>
      <c r="K29" s="29" t="str">
        <f aca="false">IF(OR(I29="",J29=""),"",DATE(YEAR(I29),MONTH(I29)+J29,DAY(I29)))</f>
        <v/>
      </c>
      <c r="L29" s="22" t="str">
        <f aca="false">IF(D29="","",IF(OR(H29="Com defeito",H29="Em conserto"),"Fora de uso",IF(K29="","Sem data",IF(K29&lt;$L$5,"Vencida",IF(K29-$L$5&lt;=30,"Vence logo","Em dia")))))</f>
        <v/>
      </c>
      <c r="M29" s="5"/>
    </row>
    <row r="30" customFormat="false" ht="19.5" hidden="false" customHeight="true" outlineLevel="0" collapsed="false">
      <c r="B30" s="19" t="n">
        <v>18</v>
      </c>
      <c r="C30" s="5"/>
      <c r="D30" s="5"/>
      <c r="E30" s="12"/>
      <c r="F30" s="12"/>
      <c r="G30" s="5"/>
      <c r="H30" s="12"/>
      <c r="I30" s="27"/>
      <c r="J30" s="12"/>
      <c r="K30" s="29" t="str">
        <f aca="false">IF(OR(I30="",J30=""),"",DATE(YEAR(I30),MONTH(I30)+J30,DAY(I30)))</f>
        <v/>
      </c>
      <c r="L30" s="22" t="str">
        <f aca="false">IF(D30="","",IF(OR(H30="Com defeito",H30="Em conserto"),"Fora de uso",IF(K30="","Sem data",IF(K30&lt;$L$5,"Vencida",IF(K30-$L$5&lt;=30,"Vence logo","Em dia")))))</f>
        <v/>
      </c>
      <c r="M30" s="5"/>
    </row>
    <row r="31" customFormat="false" ht="19.5" hidden="false" customHeight="true" outlineLevel="0" collapsed="false">
      <c r="B31" s="19" t="n">
        <v>19</v>
      </c>
      <c r="C31" s="5"/>
      <c r="D31" s="5"/>
      <c r="E31" s="12"/>
      <c r="F31" s="12"/>
      <c r="G31" s="5"/>
      <c r="H31" s="12"/>
      <c r="I31" s="27"/>
      <c r="J31" s="12"/>
      <c r="K31" s="29" t="str">
        <f aca="false">IF(OR(I31="",J31=""),"",DATE(YEAR(I31),MONTH(I31)+J31,DAY(I31)))</f>
        <v/>
      </c>
      <c r="L31" s="22" t="str">
        <f aca="false">IF(D31="","",IF(OR(H31="Com defeito",H31="Em conserto"),"Fora de uso",IF(K31="","Sem data",IF(K31&lt;$L$5,"Vencida",IF(K31-$L$5&lt;=30,"Vence logo","Em dia")))))</f>
        <v/>
      </c>
      <c r="M31" s="5"/>
    </row>
    <row r="32" customFormat="false" ht="19.5" hidden="false" customHeight="true" outlineLevel="0" collapsed="false">
      <c r="B32" s="19" t="n">
        <v>20</v>
      </c>
      <c r="C32" s="5"/>
      <c r="D32" s="5"/>
      <c r="E32" s="12"/>
      <c r="F32" s="12"/>
      <c r="G32" s="5"/>
      <c r="H32" s="12"/>
      <c r="I32" s="27"/>
      <c r="J32" s="12"/>
      <c r="K32" s="29" t="str">
        <f aca="false">IF(OR(I32="",J32=""),"",DATE(YEAR(I32),MONTH(I32)+J32,DAY(I32)))</f>
        <v/>
      </c>
      <c r="L32" s="22" t="str">
        <f aca="false">IF(D32="","",IF(OR(H32="Com defeito",H32="Em conserto"),"Fora de uso",IF(K32="","Sem data",IF(K32&lt;$L$5,"Vencida",IF(K32-$L$5&lt;=30,"Vence logo","Em dia")))))</f>
        <v/>
      </c>
      <c r="M32" s="5"/>
    </row>
    <row r="33" customFormat="false" ht="19.5" hidden="false" customHeight="true" outlineLevel="0" collapsed="false">
      <c r="B33" s="19" t="n">
        <v>21</v>
      </c>
      <c r="C33" s="5"/>
      <c r="D33" s="5"/>
      <c r="E33" s="12"/>
      <c r="F33" s="12"/>
      <c r="G33" s="5"/>
      <c r="H33" s="12"/>
      <c r="I33" s="27"/>
      <c r="J33" s="12"/>
      <c r="K33" s="29" t="str">
        <f aca="false">IF(OR(I33="",J33=""),"",DATE(YEAR(I33),MONTH(I33)+J33,DAY(I33)))</f>
        <v/>
      </c>
      <c r="L33" s="22" t="str">
        <f aca="false">IF(D33="","",IF(OR(H33="Com defeito",H33="Em conserto"),"Fora de uso",IF(K33="","Sem data",IF(K33&lt;$L$5,"Vencida",IF(K33-$L$5&lt;=30,"Vence logo","Em dia")))))</f>
        <v/>
      </c>
      <c r="M33" s="5"/>
    </row>
    <row r="34" customFormat="false" ht="19.5" hidden="false" customHeight="true" outlineLevel="0" collapsed="false">
      <c r="B34" s="19" t="n">
        <v>22</v>
      </c>
      <c r="C34" s="5"/>
      <c r="D34" s="5"/>
      <c r="E34" s="12"/>
      <c r="F34" s="12"/>
      <c r="G34" s="5"/>
      <c r="H34" s="12"/>
      <c r="I34" s="27"/>
      <c r="J34" s="12"/>
      <c r="K34" s="29" t="str">
        <f aca="false">IF(OR(I34="",J34=""),"",DATE(YEAR(I34),MONTH(I34)+J34,DAY(I34)))</f>
        <v/>
      </c>
      <c r="L34" s="22" t="str">
        <f aca="false">IF(D34="","",IF(OR(H34="Com defeito",H34="Em conserto"),"Fora de uso",IF(K34="","Sem data",IF(K34&lt;$L$5,"Vencida",IF(K34-$L$5&lt;=30,"Vence logo","Em dia")))))</f>
        <v/>
      </c>
      <c r="M34" s="5"/>
    </row>
    <row r="35" customFormat="false" ht="19.5" hidden="false" customHeight="true" outlineLevel="0" collapsed="false">
      <c r="B35" s="19" t="n">
        <v>23</v>
      </c>
      <c r="C35" s="5"/>
      <c r="D35" s="5"/>
      <c r="E35" s="12"/>
      <c r="F35" s="12"/>
      <c r="G35" s="5"/>
      <c r="H35" s="12"/>
      <c r="I35" s="27"/>
      <c r="J35" s="12"/>
      <c r="K35" s="29" t="str">
        <f aca="false">IF(OR(I35="",J35=""),"",DATE(YEAR(I35),MONTH(I35)+J35,DAY(I35)))</f>
        <v/>
      </c>
      <c r="L35" s="22" t="str">
        <f aca="false">IF(D35="","",IF(OR(H35="Com defeito",H35="Em conserto"),"Fora de uso",IF(K35="","Sem data",IF(K35&lt;$L$5,"Vencida",IF(K35-$L$5&lt;=30,"Vence logo","Em dia")))))</f>
        <v/>
      </c>
      <c r="M35" s="5"/>
    </row>
    <row r="36" customFormat="false" ht="19.5" hidden="false" customHeight="true" outlineLevel="0" collapsed="false">
      <c r="B36" s="19" t="n">
        <v>24</v>
      </c>
      <c r="C36" s="5"/>
      <c r="D36" s="5"/>
      <c r="E36" s="12"/>
      <c r="F36" s="12"/>
      <c r="G36" s="5"/>
      <c r="H36" s="12"/>
      <c r="I36" s="27"/>
      <c r="J36" s="12"/>
      <c r="K36" s="29" t="str">
        <f aca="false">IF(OR(I36="",J36=""),"",DATE(YEAR(I36),MONTH(I36)+J36,DAY(I36)))</f>
        <v/>
      </c>
      <c r="L36" s="22" t="str">
        <f aca="false">IF(D36="","",IF(OR(H36="Com defeito",H36="Em conserto"),"Fora de uso",IF(K36="","Sem data",IF(K36&lt;$L$5,"Vencida",IF(K36-$L$5&lt;=30,"Vence logo","Em dia")))))</f>
        <v/>
      </c>
      <c r="M36" s="5"/>
    </row>
    <row r="37" customFormat="false" ht="19.5" hidden="false" customHeight="true" outlineLevel="0" collapsed="false">
      <c r="B37" s="19" t="n">
        <v>25</v>
      </c>
      <c r="C37" s="5"/>
      <c r="D37" s="5"/>
      <c r="E37" s="12"/>
      <c r="F37" s="12"/>
      <c r="G37" s="5"/>
      <c r="H37" s="12"/>
      <c r="I37" s="27"/>
      <c r="J37" s="12"/>
      <c r="K37" s="29" t="str">
        <f aca="false">IF(OR(I37="",J37=""),"",DATE(YEAR(I37),MONTH(I37)+J37,DAY(I37)))</f>
        <v/>
      </c>
      <c r="L37" s="22" t="str">
        <f aca="false">IF(D37="","",IF(OR(H37="Com defeito",H37="Em conserto"),"Fora de uso",IF(K37="","Sem data",IF(K37&lt;$L$5,"Vencida",IF(K37-$L$5&lt;=30,"Vence logo","Em dia")))))</f>
        <v/>
      </c>
      <c r="M37" s="5"/>
    </row>
    <row r="38" customFormat="false" ht="19.5" hidden="false" customHeight="true" outlineLevel="0" collapsed="false">
      <c r="B38" s="19" t="n">
        <v>26</v>
      </c>
      <c r="C38" s="5"/>
      <c r="D38" s="5"/>
      <c r="E38" s="12"/>
      <c r="F38" s="12"/>
      <c r="G38" s="5"/>
      <c r="H38" s="12"/>
      <c r="I38" s="27"/>
      <c r="J38" s="12"/>
      <c r="K38" s="29" t="str">
        <f aca="false">IF(OR(I38="",J38=""),"",DATE(YEAR(I38),MONTH(I38)+J38,DAY(I38)))</f>
        <v/>
      </c>
      <c r="L38" s="22" t="str">
        <f aca="false">IF(D38="","",IF(OR(H38="Com defeito",H38="Em conserto"),"Fora de uso",IF(K38="","Sem data",IF(K38&lt;$L$5,"Vencida",IF(K38-$L$5&lt;=30,"Vence logo","Em dia")))))</f>
        <v/>
      </c>
      <c r="M38" s="5"/>
    </row>
    <row r="39" customFormat="false" ht="19.5" hidden="false" customHeight="true" outlineLevel="0" collapsed="false">
      <c r="B39" s="19" t="n">
        <v>27</v>
      </c>
      <c r="C39" s="5"/>
      <c r="D39" s="5"/>
      <c r="E39" s="12"/>
      <c r="F39" s="12"/>
      <c r="G39" s="5"/>
      <c r="H39" s="12"/>
      <c r="I39" s="27"/>
      <c r="J39" s="12"/>
      <c r="K39" s="29" t="str">
        <f aca="false">IF(OR(I39="",J39=""),"",DATE(YEAR(I39),MONTH(I39)+J39,DAY(I39)))</f>
        <v/>
      </c>
      <c r="L39" s="22" t="str">
        <f aca="false">IF(D39="","",IF(OR(H39="Com defeito",H39="Em conserto"),"Fora de uso",IF(K39="","Sem data",IF(K39&lt;$L$5,"Vencida",IF(K39-$L$5&lt;=30,"Vence logo","Em dia")))))</f>
        <v/>
      </c>
      <c r="M39" s="5"/>
    </row>
    <row r="40" customFormat="false" ht="19.5" hidden="false" customHeight="true" outlineLevel="0" collapsed="false">
      <c r="B40" s="19" t="n">
        <v>28</v>
      </c>
      <c r="C40" s="5"/>
      <c r="D40" s="5"/>
      <c r="E40" s="12"/>
      <c r="F40" s="12"/>
      <c r="G40" s="5"/>
      <c r="H40" s="12"/>
      <c r="I40" s="27"/>
      <c r="J40" s="12"/>
      <c r="K40" s="29" t="str">
        <f aca="false">IF(OR(I40="",J40=""),"",DATE(YEAR(I40),MONTH(I40)+J40,DAY(I40)))</f>
        <v/>
      </c>
      <c r="L40" s="22" t="str">
        <f aca="false">IF(D40="","",IF(OR(H40="Com defeito",H40="Em conserto"),"Fora de uso",IF(K40="","Sem data",IF(K40&lt;$L$5,"Vencida",IF(K40-$L$5&lt;=30,"Vence logo","Em dia")))))</f>
        <v/>
      </c>
      <c r="M40" s="5"/>
    </row>
    <row r="41" customFormat="false" ht="19.5" hidden="false" customHeight="true" outlineLevel="0" collapsed="false">
      <c r="B41" s="19" t="n">
        <v>29</v>
      </c>
      <c r="C41" s="5"/>
      <c r="D41" s="5"/>
      <c r="E41" s="12"/>
      <c r="F41" s="12"/>
      <c r="G41" s="5"/>
      <c r="H41" s="12"/>
      <c r="I41" s="27"/>
      <c r="J41" s="12"/>
      <c r="K41" s="29" t="str">
        <f aca="false">IF(OR(I41="",J41=""),"",DATE(YEAR(I41),MONTH(I41)+J41,DAY(I41)))</f>
        <v/>
      </c>
      <c r="L41" s="22" t="str">
        <f aca="false">IF(D41="","",IF(OR(H41="Com defeito",H41="Em conserto"),"Fora de uso",IF(K41="","Sem data",IF(K41&lt;$L$5,"Vencida",IF(K41-$L$5&lt;=30,"Vence logo","Em dia")))))</f>
        <v/>
      </c>
      <c r="M41" s="5"/>
    </row>
    <row r="42" customFormat="false" ht="19.5" hidden="false" customHeight="true" outlineLevel="0" collapsed="false">
      <c r="B42" s="19" t="n">
        <v>30</v>
      </c>
      <c r="C42" s="5"/>
      <c r="D42" s="5"/>
      <c r="E42" s="12"/>
      <c r="F42" s="12"/>
      <c r="G42" s="5"/>
      <c r="H42" s="12"/>
      <c r="I42" s="27"/>
      <c r="J42" s="12"/>
      <c r="K42" s="29" t="str">
        <f aca="false">IF(OR(I42="",J42=""),"",DATE(YEAR(I42),MONTH(I42)+J42,DAY(I42)))</f>
        <v/>
      </c>
      <c r="L42" s="22" t="str">
        <f aca="false">IF(D42="","",IF(OR(H42="Com defeito",H42="Em conserto"),"Fora de uso",IF(K42="","Sem data",IF(K42&lt;$L$5,"Vencida",IF(K42-$L$5&lt;=30,"Vence logo","Em dia")))))</f>
        <v/>
      </c>
      <c r="M42" s="5"/>
    </row>
    <row r="43" customFormat="false" ht="19.5" hidden="false" customHeight="true" outlineLevel="0" collapsed="false">
      <c r="B43" s="19" t="n">
        <v>31</v>
      </c>
      <c r="C43" s="5"/>
      <c r="D43" s="5"/>
      <c r="E43" s="12"/>
      <c r="F43" s="12"/>
      <c r="G43" s="5"/>
      <c r="H43" s="12"/>
      <c r="I43" s="27"/>
      <c r="J43" s="12"/>
      <c r="K43" s="29" t="str">
        <f aca="false">IF(OR(I43="",J43=""),"",DATE(YEAR(I43),MONTH(I43)+J43,DAY(I43)))</f>
        <v/>
      </c>
      <c r="L43" s="22" t="str">
        <f aca="false">IF(D43="","",IF(OR(H43="Com defeito",H43="Em conserto"),"Fora de uso",IF(K43="","Sem data",IF(K43&lt;$L$5,"Vencida",IF(K43-$L$5&lt;=30,"Vence logo","Em dia")))))</f>
        <v/>
      </c>
      <c r="M43" s="5"/>
    </row>
    <row r="44" customFormat="false" ht="19.5" hidden="false" customHeight="true" outlineLevel="0" collapsed="false">
      <c r="B44" s="19" t="n">
        <v>32</v>
      </c>
      <c r="C44" s="5"/>
      <c r="D44" s="5"/>
      <c r="E44" s="12"/>
      <c r="F44" s="12"/>
      <c r="G44" s="5"/>
      <c r="H44" s="12"/>
      <c r="I44" s="27"/>
      <c r="J44" s="12"/>
      <c r="K44" s="29" t="str">
        <f aca="false">IF(OR(I44="",J44=""),"",DATE(YEAR(I44),MONTH(I44)+J44,DAY(I44)))</f>
        <v/>
      </c>
      <c r="L44" s="22" t="str">
        <f aca="false">IF(D44="","",IF(OR(H44="Com defeito",H44="Em conserto"),"Fora de uso",IF(K44="","Sem data",IF(K44&lt;$L$5,"Vencida",IF(K44-$L$5&lt;=30,"Vence logo","Em dia")))))</f>
        <v/>
      </c>
      <c r="M44" s="5"/>
    </row>
    <row r="45" customFormat="false" ht="19.5" hidden="false" customHeight="true" outlineLevel="0" collapsed="false">
      <c r="B45" s="19" t="n">
        <v>33</v>
      </c>
      <c r="C45" s="5"/>
      <c r="D45" s="5"/>
      <c r="E45" s="12"/>
      <c r="F45" s="12"/>
      <c r="G45" s="5"/>
      <c r="H45" s="12"/>
      <c r="I45" s="27"/>
      <c r="J45" s="12"/>
      <c r="K45" s="29" t="str">
        <f aca="false">IF(OR(I45="",J45=""),"",DATE(YEAR(I45),MONTH(I45)+J45,DAY(I45)))</f>
        <v/>
      </c>
      <c r="L45" s="22" t="str">
        <f aca="false">IF(D45="","",IF(OR(H45="Com defeito",H45="Em conserto"),"Fora de uso",IF(K45="","Sem data",IF(K45&lt;$L$5,"Vencida",IF(K45-$L$5&lt;=30,"Vence logo","Em dia")))))</f>
        <v/>
      </c>
      <c r="M45" s="5"/>
    </row>
    <row r="46" customFormat="false" ht="19.5" hidden="false" customHeight="true" outlineLevel="0" collapsed="false">
      <c r="B46" s="19" t="n">
        <v>34</v>
      </c>
      <c r="C46" s="5"/>
      <c r="D46" s="5"/>
      <c r="E46" s="12"/>
      <c r="F46" s="12"/>
      <c r="G46" s="5"/>
      <c r="H46" s="12"/>
      <c r="I46" s="27"/>
      <c r="J46" s="12"/>
      <c r="K46" s="29" t="str">
        <f aca="false">IF(OR(I46="",J46=""),"",DATE(YEAR(I46),MONTH(I46)+J46,DAY(I46)))</f>
        <v/>
      </c>
      <c r="L46" s="22" t="str">
        <f aca="false">IF(D46="","",IF(OR(H46="Com defeito",H46="Em conserto"),"Fora de uso",IF(K46="","Sem data",IF(K46&lt;$L$5,"Vencida",IF(K46-$L$5&lt;=30,"Vence logo","Em dia")))))</f>
        <v/>
      </c>
      <c r="M46" s="5"/>
    </row>
    <row r="47" customFormat="false" ht="19.5" hidden="false" customHeight="true" outlineLevel="0" collapsed="false">
      <c r="B47" s="19" t="n">
        <v>35</v>
      </c>
      <c r="C47" s="5"/>
      <c r="D47" s="5"/>
      <c r="E47" s="12"/>
      <c r="F47" s="12"/>
      <c r="G47" s="5"/>
      <c r="H47" s="12"/>
      <c r="I47" s="27"/>
      <c r="J47" s="12"/>
      <c r="K47" s="29" t="str">
        <f aca="false">IF(OR(I47="",J47=""),"",DATE(YEAR(I47),MONTH(I47)+J47,DAY(I47)))</f>
        <v/>
      </c>
      <c r="L47" s="22" t="str">
        <f aca="false">IF(D47="","",IF(OR(H47="Com defeito",H47="Em conserto"),"Fora de uso",IF(K47="","Sem data",IF(K47&lt;$L$5,"Vencida",IF(K47-$L$5&lt;=30,"Vence logo","Em dia")))))</f>
        <v/>
      </c>
      <c r="M47" s="5"/>
    </row>
    <row r="48" customFormat="false" ht="19.5" hidden="false" customHeight="true" outlineLevel="0" collapsed="false">
      <c r="B48" s="19" t="n">
        <v>36</v>
      </c>
      <c r="C48" s="5"/>
      <c r="D48" s="5"/>
      <c r="E48" s="12"/>
      <c r="F48" s="12"/>
      <c r="G48" s="5"/>
      <c r="H48" s="12"/>
      <c r="I48" s="27"/>
      <c r="J48" s="12"/>
      <c r="K48" s="29" t="str">
        <f aca="false">IF(OR(I48="",J48=""),"",DATE(YEAR(I48),MONTH(I48)+J48,DAY(I48)))</f>
        <v/>
      </c>
      <c r="L48" s="22" t="str">
        <f aca="false">IF(D48="","",IF(OR(H48="Com defeito",H48="Em conserto"),"Fora de uso",IF(K48="","Sem data",IF(K48&lt;$L$5,"Vencida",IF(K48-$L$5&lt;=30,"Vence logo","Em dia")))))</f>
        <v/>
      </c>
      <c r="M48" s="5"/>
    </row>
    <row r="49" customFormat="false" ht="19.5" hidden="false" customHeight="true" outlineLevel="0" collapsed="false">
      <c r="B49" s="19" t="n">
        <v>37</v>
      </c>
      <c r="C49" s="5"/>
      <c r="D49" s="5"/>
      <c r="E49" s="12"/>
      <c r="F49" s="12"/>
      <c r="G49" s="5"/>
      <c r="H49" s="12"/>
      <c r="I49" s="27"/>
      <c r="J49" s="12"/>
      <c r="K49" s="29" t="str">
        <f aca="false">IF(OR(I49="",J49=""),"",DATE(YEAR(I49),MONTH(I49)+J49,DAY(I49)))</f>
        <v/>
      </c>
      <c r="L49" s="22" t="str">
        <f aca="false">IF(D49="","",IF(OR(H49="Com defeito",H49="Em conserto"),"Fora de uso",IF(K49="","Sem data",IF(K49&lt;$L$5,"Vencida",IF(K49-$L$5&lt;=30,"Vence logo","Em dia")))))</f>
        <v/>
      </c>
      <c r="M49" s="5"/>
    </row>
    <row r="50" customFormat="false" ht="19.5" hidden="false" customHeight="true" outlineLevel="0" collapsed="false">
      <c r="B50" s="19" t="n">
        <v>38</v>
      </c>
      <c r="C50" s="5"/>
      <c r="D50" s="5"/>
      <c r="E50" s="12"/>
      <c r="F50" s="12"/>
      <c r="G50" s="5"/>
      <c r="H50" s="12"/>
      <c r="I50" s="27"/>
      <c r="J50" s="12"/>
      <c r="K50" s="29" t="str">
        <f aca="false">IF(OR(I50="",J50=""),"",DATE(YEAR(I50),MONTH(I50)+J50,DAY(I50)))</f>
        <v/>
      </c>
      <c r="L50" s="22" t="str">
        <f aca="false">IF(D50="","",IF(OR(H50="Com defeito",H50="Em conserto"),"Fora de uso",IF(K50="","Sem data",IF(K50&lt;$L$5,"Vencida",IF(K50-$L$5&lt;=30,"Vence logo","Em dia")))))</f>
        <v/>
      </c>
      <c r="M50" s="5"/>
    </row>
    <row r="51" customFormat="false" ht="19.5" hidden="false" customHeight="true" outlineLevel="0" collapsed="false">
      <c r="B51" s="19" t="n">
        <v>39</v>
      </c>
      <c r="C51" s="5"/>
      <c r="D51" s="5"/>
      <c r="E51" s="12"/>
      <c r="F51" s="12"/>
      <c r="G51" s="5"/>
      <c r="H51" s="12"/>
      <c r="I51" s="27"/>
      <c r="J51" s="12"/>
      <c r="K51" s="29" t="str">
        <f aca="false">IF(OR(I51="",J51=""),"",DATE(YEAR(I51),MONTH(I51)+J51,DAY(I51)))</f>
        <v/>
      </c>
      <c r="L51" s="22" t="str">
        <f aca="false">IF(D51="","",IF(OR(H51="Com defeito",H51="Em conserto"),"Fora de uso",IF(K51="","Sem data",IF(K51&lt;$L$5,"Vencida",IF(K51-$L$5&lt;=30,"Vence logo","Em dia")))))</f>
        <v/>
      </c>
      <c r="M51" s="5"/>
    </row>
    <row r="52" customFormat="false" ht="19.5" hidden="false" customHeight="true" outlineLevel="0" collapsed="false">
      <c r="B52" s="19" t="n">
        <v>40</v>
      </c>
      <c r="C52" s="5"/>
      <c r="D52" s="5"/>
      <c r="E52" s="12"/>
      <c r="F52" s="12"/>
      <c r="G52" s="5"/>
      <c r="H52" s="12"/>
      <c r="I52" s="27"/>
      <c r="J52" s="12"/>
      <c r="K52" s="29" t="str">
        <f aca="false">IF(OR(I52="",J52=""),"",DATE(YEAR(I52),MONTH(I52)+J52,DAY(I52)))</f>
        <v/>
      </c>
      <c r="L52" s="22" t="str">
        <f aca="false">IF(D52="","",IF(OR(H52="Com defeito",H52="Em conserto"),"Fora de uso",IF(K52="","Sem data",IF(K52&lt;$L$5,"Vencida",IF(K52-$L$5&lt;=30,"Vence logo","Em dia")))))</f>
        <v/>
      </c>
      <c r="M52" s="5"/>
    </row>
    <row r="54" customFormat="false" ht="21.75" hidden="false" customHeight="true" outlineLevel="0" collapsed="false">
      <c r="B54" s="13" t="s">
        <v>113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</row>
    <row r="55" customFormat="false" ht="19.5" hidden="false" customHeight="true" outlineLevel="0" collapsed="false">
      <c r="B55" s="23" t="s">
        <v>206</v>
      </c>
      <c r="C55" s="23"/>
      <c r="D55" s="23"/>
      <c r="E55" s="23"/>
      <c r="F55" s="8" t="n">
        <f aca="false">COUNTA(D13:D52)</f>
        <v>0</v>
      </c>
    </row>
    <row r="56" customFormat="false" ht="19.5" hidden="false" customHeight="true" outlineLevel="0" collapsed="false">
      <c r="B56" s="23" t="s">
        <v>207</v>
      </c>
      <c r="C56" s="23"/>
      <c r="D56" s="23"/>
      <c r="E56" s="23"/>
      <c r="F56" s="8" t="n">
        <f aca="false">SUM(F13:F52)</f>
        <v>0</v>
      </c>
    </row>
    <row r="57" customFormat="false" ht="19.5" hidden="false" customHeight="true" outlineLevel="0" collapsed="false">
      <c r="B57" s="23" t="s">
        <v>208</v>
      </c>
      <c r="C57" s="23"/>
      <c r="D57" s="23"/>
      <c r="E57" s="23"/>
      <c r="F57" s="8" t="n">
        <f aca="false">COUNTIF(L13:L52,"Em dia")</f>
        <v>0</v>
      </c>
    </row>
    <row r="58" customFormat="false" ht="19.5" hidden="false" customHeight="true" outlineLevel="0" collapsed="false">
      <c r="B58" s="23" t="s">
        <v>209</v>
      </c>
      <c r="C58" s="23"/>
      <c r="D58" s="23"/>
      <c r="E58" s="23"/>
      <c r="F58" s="8" t="n">
        <f aca="false">COUNTIF(L13:L52,"Vence logo")</f>
        <v>0</v>
      </c>
    </row>
    <row r="59" customFormat="false" ht="19.5" hidden="false" customHeight="true" outlineLevel="0" collapsed="false">
      <c r="B59" s="23" t="s">
        <v>210</v>
      </c>
      <c r="C59" s="23"/>
      <c r="D59" s="23"/>
      <c r="E59" s="23"/>
      <c r="F59" s="8" t="n">
        <f aca="false">COUNTIF(L13:L52,"Vencida")</f>
        <v>0</v>
      </c>
    </row>
    <row r="60" customFormat="false" ht="19.5" hidden="false" customHeight="true" outlineLevel="0" collapsed="false">
      <c r="B60" s="23" t="s">
        <v>211</v>
      </c>
      <c r="C60" s="23"/>
      <c r="D60" s="23"/>
      <c r="E60" s="23"/>
      <c r="F60" s="8" t="n">
        <f aca="false">COUNTIF(L13:L52,"Fora de uso")</f>
        <v>0</v>
      </c>
    </row>
    <row r="61" customFormat="false" ht="19.5" hidden="false" customHeight="true" outlineLevel="0" collapsed="false">
      <c r="B61" s="23" t="s">
        <v>212</v>
      </c>
      <c r="C61" s="23"/>
      <c r="D61" s="23"/>
      <c r="E61" s="23"/>
      <c r="F61" s="8" t="n">
        <f aca="false">COUNTIF(L13:L52,"Sem data")</f>
        <v>0</v>
      </c>
    </row>
    <row r="62" customFormat="false" ht="21.75" hidden="false" customHeight="true" outlineLevel="0" collapsed="false">
      <c r="B62" s="23" t="s">
        <v>120</v>
      </c>
      <c r="C62" s="23"/>
      <c r="D62" s="23"/>
      <c r="E62" s="23"/>
      <c r="F62" s="25" t="str">
        <f aca="false">IF(F55=0,"Cadastre os itens",IF(F59&gt;0,"Há manutenção vencida: faça antes do próximo evento",IF(F60&gt;0,"Há itens fora de uso: não conte com eles no evento",IF(F61&gt;0,"Há itens sem data de manutenção","OK"))))</f>
        <v>Cadastre os itens</v>
      </c>
      <c r="G62" s="25"/>
      <c r="H62" s="25"/>
      <c r="I62" s="25"/>
      <c r="J62" s="25"/>
      <c r="K62" s="25"/>
      <c r="L62" s="25"/>
      <c r="M62" s="25"/>
    </row>
  </sheetData>
  <mergeCells count="20">
    <mergeCell ref="B1:M1"/>
    <mergeCell ref="B2:M2"/>
    <mergeCell ref="B4:D4"/>
    <mergeCell ref="E4:H4"/>
    <mergeCell ref="J4:K4"/>
    <mergeCell ref="B5:D5"/>
    <mergeCell ref="E5:H5"/>
    <mergeCell ref="J5:K5"/>
    <mergeCell ref="J6:M6"/>
    <mergeCell ref="B9:M9"/>
    <mergeCell ref="B54:M54"/>
    <mergeCell ref="B55:E55"/>
    <mergeCell ref="B56:E56"/>
    <mergeCell ref="B57:E57"/>
    <mergeCell ref="B58:E58"/>
    <mergeCell ref="B59:E59"/>
    <mergeCell ref="B60:E60"/>
    <mergeCell ref="B61:E61"/>
    <mergeCell ref="B62:E62"/>
    <mergeCell ref="F62:M62"/>
  </mergeCells>
  <conditionalFormatting sqref="L13:L52">
    <cfRule type="cellIs" priority="2" operator="equal" aboveAverage="0" equalAverage="0" bottom="0" percent="0" rank="0" text="" dxfId="0">
      <formula>"Em dia"</formula>
    </cfRule>
    <cfRule type="cellIs" priority="3" operator="equal" aboveAverage="0" equalAverage="0" bottom="0" percent="0" rank="0" text="" dxfId="1">
      <formula>"Vence logo"</formula>
    </cfRule>
    <cfRule type="cellIs" priority="4" operator="equal" aboveAverage="0" equalAverage="0" bottom="0" percent="0" rank="0" text="" dxfId="1">
      <formula>"Sem data"</formula>
    </cfRule>
    <cfRule type="cellIs" priority="5" operator="equal" aboveAverage="0" equalAverage="0" bottom="0" percent="0" rank="0" text="" dxfId="2">
      <formula>"Vencida"</formula>
    </cfRule>
    <cfRule type="cellIs" priority="6" operator="equal" aboveAverage="0" equalAverage="0" bottom="0" percent="0" rank="0" text="" dxfId="2">
      <formula>"Fora de uso"</formula>
    </cfRule>
  </conditionalFormatting>
  <conditionalFormatting sqref="F62:M62">
    <cfRule type="cellIs" priority="7" operator="equal" aboveAverage="0" equalAverage="0" bottom="0" percent="0" rank="0" text="" dxfId="0">
      <formula>"OK"</formula>
    </cfRule>
    <cfRule type="cellIs" priority="8" operator="notEqual" aboveAverage="0" equalAverage="0" bottom="0" percent="0" rank="0" text="" dxfId="1">
      <formula>"OK"</formula>
    </cfRule>
  </conditionalFormatting>
  <dataValidations count="5">
    <dataValidation allowBlank="true" error="Digite uma data no formato dia/mês/ano." errorStyle="stop" errorTitle="Data inválida" operator="greaterThanOrEqual" showDropDown="false" showErrorMessage="true" showInputMessage="false" sqref="L4 I13:I52" type="date">
      <formula1>36526</formula1>
      <formula2>0</formula2>
    </dataValidation>
    <dataValidation allowBlank="true" error="Escolha uma das opções da lista." errorStyle="stop" errorTitle="Valor inválido" operator="between" prompt="Escolha a categoria." promptTitle="Opções" showDropDown="false" showErrorMessage="true" showInputMessage="true" sqref="E13:E52" type="list">
      <formula1>"Som,Vídeo,Luz,Mídia,Energia,Cabos,Estrutura,Outros"</formula1>
      <formula2>0</formula2>
    </dataValidation>
    <dataValidation allowBlank="true" error="Escolha uma das opções da lista." errorStyle="stop" errorTitle="Valor inválido" operator="between" prompt="Bom, Regular, Com defeito ou Em conserto." promptTitle="Opções" showDropDown="false" showErrorMessage="true" showInputMessage="true" sqref="H13:H52" type="list">
      <formula1>"Bom,Regular,Com defeito,Em conserto"</formula1>
      <formula2>0</formula2>
    </dataValidation>
    <dataValidation allowBlank="true" error="Digite o intervalo em meses, de 1 a 120." errorStyle="stop" errorTitle="Valor inválido" operator="between" showDropDown="false" showErrorMessage="true" showInputMessage="false" sqref="J13:J52" type="whole">
      <formula1>1</formula1>
      <formula2>120</formula2>
    </dataValidation>
    <dataValidation allowBlank="true" error="Digite apenas o número, sem texto nem unidade." errorStyle="stop" errorTitle="Valor inválido" operator="between" showDropDown="false" showErrorMessage="true" showInputMessage="false" sqref="F13:F52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30"/>
    <col collapsed="false" customWidth="true" hidden="false" outlineLevel="0" max="9" min="8" style="0" width="26"/>
    <col collapsed="false" customWidth="true" hidden="false" outlineLevel="0" max="10" min="10" style="0" width="32"/>
    <col collapsed="false" customWidth="true" hidden="false" outlineLevel="0" max="11" min="11" style="0" width="17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6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213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214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B4" s="4" t="s">
        <v>61</v>
      </c>
      <c r="C4" s="4"/>
      <c r="D4" s="4"/>
      <c r="E4" s="5"/>
      <c r="F4" s="5"/>
      <c r="G4" s="5"/>
      <c r="I4" s="4" t="s">
        <v>53</v>
      </c>
      <c r="J4" s="27"/>
      <c r="K4" s="10" t="s">
        <v>177</v>
      </c>
      <c r="L4" s="10"/>
      <c r="M4" s="10"/>
      <c r="N4" s="10"/>
    </row>
    <row r="5" customFormat="false" ht="21.75" hidden="false" customHeight="true" outlineLevel="0" collapsed="false">
      <c r="B5" s="4" t="s">
        <v>215</v>
      </c>
      <c r="C5" s="4"/>
      <c r="D5" s="4"/>
      <c r="E5" s="11"/>
      <c r="F5" s="11"/>
      <c r="G5" s="11"/>
      <c r="I5" s="4" t="s">
        <v>179</v>
      </c>
      <c r="J5" s="28" t="n">
        <f aca="true">IF(J4="",TODAY(),J4)</f>
        <v>46296</v>
      </c>
    </row>
    <row r="6" customFormat="false" ht="21.75" hidden="false" customHeight="true" outlineLevel="0" collapsed="false">
      <c r="B6" s="4" t="s">
        <v>70</v>
      </c>
      <c r="C6" s="4"/>
      <c r="D6" s="4"/>
      <c r="E6" s="5"/>
      <c r="F6" s="5"/>
      <c r="G6" s="5"/>
    </row>
    <row r="9" customFormat="false" ht="21.75" hidden="false" customHeight="true" outlineLevel="0" collapsed="false">
      <c r="B9" s="13" t="s">
        <v>216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customFormat="false" ht="30" hidden="false" customHeight="true" outlineLevel="0" collapsed="false">
      <c r="B10" s="14" t="s">
        <v>76</v>
      </c>
      <c r="C10" s="17" t="s">
        <v>217</v>
      </c>
      <c r="D10" s="17" t="s">
        <v>77</v>
      </c>
      <c r="E10" s="17" t="s">
        <v>218</v>
      </c>
      <c r="F10" s="17" t="s">
        <v>219</v>
      </c>
      <c r="G10" s="17" t="s">
        <v>220</v>
      </c>
      <c r="H10" s="15" t="s">
        <v>221</v>
      </c>
      <c r="I10" s="17" t="s">
        <v>222</v>
      </c>
      <c r="J10" s="15" t="s">
        <v>223</v>
      </c>
      <c r="K10" s="15" t="s">
        <v>152</v>
      </c>
      <c r="L10" s="15" t="s">
        <v>224</v>
      </c>
      <c r="M10" s="15" t="s">
        <v>225</v>
      </c>
      <c r="N10" s="16" t="s">
        <v>226</v>
      </c>
    </row>
    <row r="11" customFormat="false" ht="24" hidden="false" customHeight="true" outlineLevel="0" collapsed="false">
      <c r="B11" s="18"/>
      <c r="C11" s="18" t="s">
        <v>227</v>
      </c>
      <c r="D11" s="18" t="s">
        <v>228</v>
      </c>
      <c r="E11" s="18" t="s">
        <v>155</v>
      </c>
      <c r="F11" s="18" t="s">
        <v>155</v>
      </c>
      <c r="G11" s="18" t="s">
        <v>229</v>
      </c>
      <c r="H11" s="18" t="s">
        <v>230</v>
      </c>
      <c r="I11" s="18" t="s">
        <v>231</v>
      </c>
      <c r="J11" s="18" t="s">
        <v>232</v>
      </c>
      <c r="K11" s="18" t="s">
        <v>233</v>
      </c>
      <c r="L11" s="18" t="s">
        <v>194</v>
      </c>
      <c r="M11" s="18" t="s">
        <v>234</v>
      </c>
      <c r="N11" s="18"/>
    </row>
    <row r="12" customFormat="false" ht="30" hidden="false" customHeight="true" outlineLevel="0" collapsed="false">
      <c r="B12" s="18" t="s">
        <v>100</v>
      </c>
      <c r="C12" s="18" t="s">
        <v>110</v>
      </c>
      <c r="D12" s="10" t="s">
        <v>235</v>
      </c>
      <c r="E12" s="18" t="s">
        <v>236</v>
      </c>
      <c r="F12" s="18" t="s">
        <v>237</v>
      </c>
      <c r="G12" s="10" t="s">
        <v>238</v>
      </c>
      <c r="H12" s="10" t="s">
        <v>239</v>
      </c>
      <c r="I12" s="10" t="s">
        <v>240</v>
      </c>
      <c r="J12" s="10" t="s">
        <v>241</v>
      </c>
      <c r="K12" s="10" t="s">
        <v>242</v>
      </c>
      <c r="L12" s="18" t="s">
        <v>243</v>
      </c>
      <c r="M12" s="18" t="s">
        <v>244</v>
      </c>
      <c r="N12" s="18" t="s">
        <v>245</v>
      </c>
    </row>
    <row r="13" customFormat="false" ht="30" hidden="false" customHeight="true" outlineLevel="0" collapsed="false">
      <c r="B13" s="19" t="n">
        <v>1</v>
      </c>
      <c r="C13" s="9"/>
      <c r="D13" s="5"/>
      <c r="E13" s="12"/>
      <c r="F13" s="12"/>
      <c r="G13" s="5"/>
      <c r="H13" s="5"/>
      <c r="I13" s="5"/>
      <c r="J13" s="5"/>
      <c r="K13" s="5"/>
      <c r="L13" s="27"/>
      <c r="M13" s="12"/>
      <c r="N13" s="22" t="str">
        <f aca="false">IF(AND(G13="",J13=""),"",IF(J13="","Defina a ação",IF(K13="","Sem responsável",IF(L13="","Sem prazo",IF(M13="Feita","OK",IF(L13&lt;$J$5,"Atrasada","No prazo"))))))</f>
        <v/>
      </c>
    </row>
    <row r="14" customFormat="false" ht="30" hidden="false" customHeight="true" outlineLevel="0" collapsed="false">
      <c r="B14" s="19" t="n">
        <v>2</v>
      </c>
      <c r="C14" s="9"/>
      <c r="D14" s="5"/>
      <c r="E14" s="12"/>
      <c r="F14" s="12"/>
      <c r="G14" s="5"/>
      <c r="H14" s="5"/>
      <c r="I14" s="5"/>
      <c r="J14" s="5"/>
      <c r="K14" s="5"/>
      <c r="L14" s="27"/>
      <c r="M14" s="12"/>
      <c r="N14" s="22" t="str">
        <f aca="false">IF(AND(G14="",J14=""),"",IF(J14="","Defina a ação",IF(K14="","Sem responsável",IF(L14="","Sem prazo",IF(M14="Feita","OK",IF(L14&lt;$J$5,"Atrasada","No prazo"))))))</f>
        <v/>
      </c>
    </row>
    <row r="15" customFormat="false" ht="30" hidden="false" customHeight="true" outlineLevel="0" collapsed="false">
      <c r="B15" s="19" t="n">
        <v>3</v>
      </c>
      <c r="C15" s="9"/>
      <c r="D15" s="5"/>
      <c r="E15" s="12"/>
      <c r="F15" s="12"/>
      <c r="G15" s="5"/>
      <c r="H15" s="5"/>
      <c r="I15" s="5"/>
      <c r="J15" s="5"/>
      <c r="K15" s="5"/>
      <c r="L15" s="27"/>
      <c r="M15" s="12"/>
      <c r="N15" s="22" t="str">
        <f aca="false">IF(AND(G15="",J15=""),"",IF(J15="","Defina a ação",IF(K15="","Sem responsável",IF(L15="","Sem prazo",IF(M15="Feita","OK",IF(L15&lt;$J$5,"Atrasada","No prazo"))))))</f>
        <v/>
      </c>
    </row>
    <row r="16" customFormat="false" ht="30" hidden="false" customHeight="true" outlineLevel="0" collapsed="false">
      <c r="B16" s="19" t="n">
        <v>4</v>
      </c>
      <c r="C16" s="9"/>
      <c r="D16" s="5"/>
      <c r="E16" s="12"/>
      <c r="F16" s="12"/>
      <c r="G16" s="5"/>
      <c r="H16" s="5"/>
      <c r="I16" s="5"/>
      <c r="J16" s="5"/>
      <c r="K16" s="5"/>
      <c r="L16" s="27"/>
      <c r="M16" s="12"/>
      <c r="N16" s="22" t="str">
        <f aca="false">IF(AND(G16="",J16=""),"",IF(J16="","Defina a ação",IF(K16="","Sem responsável",IF(L16="","Sem prazo",IF(M16="Feita","OK",IF(L16&lt;$J$5,"Atrasada","No prazo"))))))</f>
        <v/>
      </c>
    </row>
    <row r="17" customFormat="false" ht="30" hidden="false" customHeight="true" outlineLevel="0" collapsed="false">
      <c r="B17" s="19" t="n">
        <v>5</v>
      </c>
      <c r="C17" s="9"/>
      <c r="D17" s="5"/>
      <c r="E17" s="12"/>
      <c r="F17" s="12"/>
      <c r="G17" s="5"/>
      <c r="H17" s="5"/>
      <c r="I17" s="5"/>
      <c r="J17" s="5"/>
      <c r="K17" s="5"/>
      <c r="L17" s="27"/>
      <c r="M17" s="12"/>
      <c r="N17" s="22" t="str">
        <f aca="false">IF(AND(G17="",J17=""),"",IF(J17="","Defina a ação",IF(K17="","Sem responsável",IF(L17="","Sem prazo",IF(M17="Feita","OK",IF(L17&lt;$J$5,"Atrasada","No prazo"))))))</f>
        <v/>
      </c>
    </row>
    <row r="18" customFormat="false" ht="30" hidden="false" customHeight="true" outlineLevel="0" collapsed="false">
      <c r="B18" s="19" t="n">
        <v>6</v>
      </c>
      <c r="C18" s="9"/>
      <c r="D18" s="5"/>
      <c r="E18" s="12"/>
      <c r="F18" s="12"/>
      <c r="G18" s="5"/>
      <c r="H18" s="5"/>
      <c r="I18" s="5"/>
      <c r="J18" s="5"/>
      <c r="K18" s="5"/>
      <c r="L18" s="27"/>
      <c r="M18" s="12"/>
      <c r="N18" s="22" t="str">
        <f aca="false">IF(AND(G18="",J18=""),"",IF(J18="","Defina a ação",IF(K18="","Sem responsável",IF(L18="","Sem prazo",IF(M18="Feita","OK",IF(L18&lt;$J$5,"Atrasada","No prazo"))))))</f>
        <v/>
      </c>
    </row>
    <row r="19" customFormat="false" ht="30" hidden="false" customHeight="true" outlineLevel="0" collapsed="false">
      <c r="B19" s="19" t="n">
        <v>7</v>
      </c>
      <c r="C19" s="9"/>
      <c r="D19" s="5"/>
      <c r="E19" s="12"/>
      <c r="F19" s="12"/>
      <c r="G19" s="5"/>
      <c r="H19" s="5"/>
      <c r="I19" s="5"/>
      <c r="J19" s="5"/>
      <c r="K19" s="5"/>
      <c r="L19" s="27"/>
      <c r="M19" s="12"/>
      <c r="N19" s="22" t="str">
        <f aca="false">IF(AND(G19="",J19=""),"",IF(J19="","Defina a ação",IF(K19="","Sem responsável",IF(L19="","Sem prazo",IF(M19="Feita","OK",IF(L19&lt;$J$5,"Atrasada","No prazo"))))))</f>
        <v/>
      </c>
    </row>
    <row r="20" customFormat="false" ht="30" hidden="false" customHeight="true" outlineLevel="0" collapsed="false">
      <c r="B20" s="19" t="n">
        <v>8</v>
      </c>
      <c r="C20" s="9"/>
      <c r="D20" s="5"/>
      <c r="E20" s="12"/>
      <c r="F20" s="12"/>
      <c r="G20" s="5"/>
      <c r="H20" s="5"/>
      <c r="I20" s="5"/>
      <c r="J20" s="5"/>
      <c r="K20" s="5"/>
      <c r="L20" s="27"/>
      <c r="M20" s="12"/>
      <c r="N20" s="22" t="str">
        <f aca="false">IF(AND(G20="",J20=""),"",IF(J20="","Defina a ação",IF(K20="","Sem responsável",IF(L20="","Sem prazo",IF(M20="Feita","OK",IF(L20&lt;$J$5,"Atrasada","No prazo"))))))</f>
        <v/>
      </c>
    </row>
    <row r="21" customFormat="false" ht="30" hidden="false" customHeight="true" outlineLevel="0" collapsed="false">
      <c r="B21" s="19" t="n">
        <v>9</v>
      </c>
      <c r="C21" s="9"/>
      <c r="D21" s="5"/>
      <c r="E21" s="12"/>
      <c r="F21" s="12"/>
      <c r="G21" s="5"/>
      <c r="H21" s="5"/>
      <c r="I21" s="5"/>
      <c r="J21" s="5"/>
      <c r="K21" s="5"/>
      <c r="L21" s="27"/>
      <c r="M21" s="12"/>
      <c r="N21" s="22" t="str">
        <f aca="false">IF(AND(G21="",J21=""),"",IF(J21="","Defina a ação",IF(K21="","Sem responsável",IF(L21="","Sem prazo",IF(M21="Feita","OK",IF(L21&lt;$J$5,"Atrasada","No prazo"))))))</f>
        <v/>
      </c>
    </row>
    <row r="22" customFormat="false" ht="30" hidden="false" customHeight="true" outlineLevel="0" collapsed="false">
      <c r="B22" s="19" t="n">
        <v>10</v>
      </c>
      <c r="C22" s="9"/>
      <c r="D22" s="5"/>
      <c r="E22" s="12"/>
      <c r="F22" s="12"/>
      <c r="G22" s="5"/>
      <c r="H22" s="5"/>
      <c r="I22" s="5"/>
      <c r="J22" s="5"/>
      <c r="K22" s="5"/>
      <c r="L22" s="27"/>
      <c r="M22" s="12"/>
      <c r="N22" s="22" t="str">
        <f aca="false">IF(AND(G22="",J22=""),"",IF(J22="","Defina a ação",IF(K22="","Sem responsável",IF(L22="","Sem prazo",IF(M22="Feita","OK",IF(L22&lt;$J$5,"Atrasada","No prazo"))))))</f>
        <v/>
      </c>
    </row>
    <row r="23" customFormat="false" ht="30" hidden="false" customHeight="true" outlineLevel="0" collapsed="false">
      <c r="B23" s="19" t="n">
        <v>11</v>
      </c>
      <c r="C23" s="9"/>
      <c r="D23" s="5"/>
      <c r="E23" s="12"/>
      <c r="F23" s="12"/>
      <c r="G23" s="5"/>
      <c r="H23" s="5"/>
      <c r="I23" s="5"/>
      <c r="J23" s="5"/>
      <c r="K23" s="5"/>
      <c r="L23" s="27"/>
      <c r="M23" s="12"/>
      <c r="N23" s="22" t="str">
        <f aca="false">IF(AND(G23="",J23=""),"",IF(J23="","Defina a ação",IF(K23="","Sem responsável",IF(L23="","Sem prazo",IF(M23="Feita","OK",IF(L23&lt;$J$5,"Atrasada","No prazo"))))))</f>
        <v/>
      </c>
    </row>
    <row r="24" customFormat="false" ht="30" hidden="false" customHeight="true" outlineLevel="0" collapsed="false">
      <c r="B24" s="19" t="n">
        <v>12</v>
      </c>
      <c r="C24" s="9"/>
      <c r="D24" s="5"/>
      <c r="E24" s="12"/>
      <c r="F24" s="12"/>
      <c r="G24" s="5"/>
      <c r="H24" s="5"/>
      <c r="I24" s="5"/>
      <c r="J24" s="5"/>
      <c r="K24" s="5"/>
      <c r="L24" s="27"/>
      <c r="M24" s="12"/>
      <c r="N24" s="22" t="str">
        <f aca="false">IF(AND(G24="",J24=""),"",IF(J24="","Defina a ação",IF(K24="","Sem responsável",IF(L24="","Sem prazo",IF(M24="Feita","OK",IF(L24&lt;$J$5,"Atrasada","No prazo"))))))</f>
        <v/>
      </c>
    </row>
    <row r="25" customFormat="false" ht="30" hidden="false" customHeight="true" outlineLevel="0" collapsed="false">
      <c r="B25" s="19" t="n">
        <v>13</v>
      </c>
      <c r="C25" s="9"/>
      <c r="D25" s="5"/>
      <c r="E25" s="12"/>
      <c r="F25" s="12"/>
      <c r="G25" s="5"/>
      <c r="H25" s="5"/>
      <c r="I25" s="5"/>
      <c r="J25" s="5"/>
      <c r="K25" s="5"/>
      <c r="L25" s="27"/>
      <c r="M25" s="12"/>
      <c r="N25" s="22" t="str">
        <f aca="false">IF(AND(G25="",J25=""),"",IF(J25="","Defina a ação",IF(K25="","Sem responsável",IF(L25="","Sem prazo",IF(M25="Feita","OK",IF(L25&lt;$J$5,"Atrasada","No prazo"))))))</f>
        <v/>
      </c>
    </row>
    <row r="26" customFormat="false" ht="30" hidden="false" customHeight="true" outlineLevel="0" collapsed="false">
      <c r="B26" s="19" t="n">
        <v>14</v>
      </c>
      <c r="C26" s="9"/>
      <c r="D26" s="5"/>
      <c r="E26" s="12"/>
      <c r="F26" s="12"/>
      <c r="G26" s="5"/>
      <c r="H26" s="5"/>
      <c r="I26" s="5"/>
      <c r="J26" s="5"/>
      <c r="K26" s="5"/>
      <c r="L26" s="27"/>
      <c r="M26" s="12"/>
      <c r="N26" s="22" t="str">
        <f aca="false">IF(AND(G26="",J26=""),"",IF(J26="","Defina a ação",IF(K26="","Sem responsável",IF(L26="","Sem prazo",IF(M26="Feita","OK",IF(L26&lt;$J$5,"Atrasada","No prazo"))))))</f>
        <v/>
      </c>
    </row>
    <row r="27" customFormat="false" ht="30" hidden="false" customHeight="true" outlineLevel="0" collapsed="false">
      <c r="B27" s="19" t="n">
        <v>15</v>
      </c>
      <c r="C27" s="9"/>
      <c r="D27" s="5"/>
      <c r="E27" s="12"/>
      <c r="F27" s="12"/>
      <c r="G27" s="5"/>
      <c r="H27" s="5"/>
      <c r="I27" s="5"/>
      <c r="J27" s="5"/>
      <c r="K27" s="5"/>
      <c r="L27" s="27"/>
      <c r="M27" s="12"/>
      <c r="N27" s="22" t="str">
        <f aca="false">IF(AND(G27="",J27=""),"",IF(J27="","Defina a ação",IF(K27="","Sem responsável",IF(L27="","Sem prazo",IF(M27="Feita","OK",IF(L27&lt;$J$5,"Atrasada","No prazo"))))))</f>
        <v/>
      </c>
    </row>
    <row r="29" customFormat="false" ht="21.75" hidden="false" customHeight="true" outlineLevel="0" collapsed="false">
      <c r="B29" s="13" t="s">
        <v>113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customFormat="false" ht="19.5" hidden="false" customHeight="true" outlineLevel="0" collapsed="false">
      <c r="B30" s="23" t="s">
        <v>246</v>
      </c>
      <c r="C30" s="23"/>
      <c r="D30" s="23"/>
      <c r="E30" s="23"/>
      <c r="F30" s="8" t="n">
        <f aca="false">COUNTA(G13:G27)</f>
        <v>0</v>
      </c>
    </row>
    <row r="31" customFormat="false" ht="19.5" hidden="false" customHeight="true" outlineLevel="0" collapsed="false">
      <c r="B31" s="23" t="s">
        <v>247</v>
      </c>
      <c r="C31" s="23"/>
      <c r="D31" s="23"/>
      <c r="E31" s="23"/>
      <c r="F31" s="8" t="n">
        <f aca="false">COUNTIF(F13:F27,"Público percebeu")</f>
        <v>0</v>
      </c>
    </row>
    <row r="32" customFormat="false" ht="19.5" hidden="false" customHeight="true" outlineLevel="0" collapsed="false">
      <c r="B32" s="23" t="s">
        <v>248</v>
      </c>
      <c r="C32" s="23"/>
      <c r="D32" s="23"/>
      <c r="E32" s="23"/>
      <c r="F32" s="8" t="n">
        <f aca="false">COUNTIF(N13:N27,"No prazo")+COUNTIF(N13:N27,"Atrasada")</f>
        <v>0</v>
      </c>
    </row>
    <row r="33" customFormat="false" ht="19.5" hidden="false" customHeight="true" outlineLevel="0" collapsed="false">
      <c r="B33" s="23" t="s">
        <v>249</v>
      </c>
      <c r="C33" s="23"/>
      <c r="D33" s="23"/>
      <c r="E33" s="23"/>
      <c r="F33" s="8" t="n">
        <f aca="false">COUNTIF(N13:N27,"Atrasada")</f>
        <v>0</v>
      </c>
    </row>
    <row r="34" customFormat="false" ht="19.5" hidden="false" customHeight="true" outlineLevel="0" collapsed="false">
      <c r="B34" s="23" t="s">
        <v>250</v>
      </c>
      <c r="C34" s="23"/>
      <c r="D34" s="23"/>
      <c r="E34" s="23"/>
      <c r="F34" s="8" t="n">
        <f aca="false">COUNTIF(N13:N27,"Defina a ação")+COUNTIF(N13:N27,"Sem responsável")+COUNTIF(N13:N27,"Sem prazo")</f>
        <v>0</v>
      </c>
    </row>
    <row r="35" customFormat="false" ht="21.75" hidden="false" customHeight="true" outlineLevel="0" collapsed="false">
      <c r="B35" s="23" t="s">
        <v>120</v>
      </c>
      <c r="C35" s="23"/>
      <c r="D35" s="23"/>
      <c r="E35" s="23"/>
      <c r="F35" s="25" t="str">
        <f aca="false">IF(F30=0,"Nenhuma ocorrência registrada",IF(F34&gt;0,"Há ocorrência que ainda não virou ação com responsável e prazo",IF(F33&gt;0,"Há ação atrasada: cobre na próxima reunião","OK")))</f>
        <v>Nenhuma ocorrência registrada</v>
      </c>
      <c r="G35" s="25"/>
      <c r="H35" s="25"/>
      <c r="I35" s="25"/>
      <c r="J35" s="25"/>
      <c r="K35" s="25"/>
      <c r="L35" s="25"/>
      <c r="M35" s="25"/>
      <c r="N35" s="25"/>
    </row>
    <row r="37" customFormat="false" ht="21.75" hidden="false" customHeight="true" outlineLevel="0" collapsed="false">
      <c r="B37" s="13" t="s">
        <v>251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customFormat="false" ht="48" hidden="false" customHeight="true" outlineLevel="0" collapsed="false">
      <c r="B38" s="4" t="s">
        <v>252</v>
      </c>
      <c r="C38" s="4"/>
      <c r="D38" s="4"/>
      <c r="E38" s="4"/>
      <c r="F38" s="5"/>
      <c r="G38" s="5"/>
      <c r="H38" s="5"/>
      <c r="I38" s="5"/>
      <c r="J38" s="5"/>
      <c r="K38" s="5"/>
      <c r="L38" s="5"/>
      <c r="M38" s="5"/>
      <c r="N38" s="5"/>
    </row>
    <row r="39" customFormat="false" ht="48" hidden="false" customHeight="true" outlineLevel="0" collapsed="false">
      <c r="B39" s="4" t="s">
        <v>253</v>
      </c>
      <c r="C39" s="4"/>
      <c r="D39" s="4"/>
      <c r="E39" s="4"/>
      <c r="F39" s="5"/>
      <c r="G39" s="5"/>
      <c r="H39" s="5"/>
      <c r="I39" s="5"/>
      <c r="J39" s="5"/>
      <c r="K39" s="5"/>
      <c r="L39" s="5"/>
      <c r="M39" s="5"/>
      <c r="N39" s="5"/>
    </row>
    <row r="40" customFormat="false" ht="48" hidden="false" customHeight="true" outlineLevel="0" collapsed="false">
      <c r="B40" s="4" t="s">
        <v>254</v>
      </c>
      <c r="C40" s="4"/>
      <c r="D40" s="4"/>
      <c r="E40" s="4"/>
      <c r="F40" s="5"/>
      <c r="G40" s="5"/>
      <c r="H40" s="5"/>
      <c r="I40" s="5"/>
      <c r="J40" s="5"/>
      <c r="K40" s="5"/>
      <c r="L40" s="5"/>
      <c r="M40" s="5"/>
      <c r="N40" s="5"/>
    </row>
  </sheetData>
  <mergeCells count="25">
    <mergeCell ref="B1:N1"/>
    <mergeCell ref="B2:N2"/>
    <mergeCell ref="B4:D4"/>
    <mergeCell ref="E4:G4"/>
    <mergeCell ref="K4:N4"/>
    <mergeCell ref="B5:D5"/>
    <mergeCell ref="E5:G5"/>
    <mergeCell ref="B6:D6"/>
    <mergeCell ref="E6:G6"/>
    <mergeCell ref="B9:N9"/>
    <mergeCell ref="B29:N29"/>
    <mergeCell ref="B30:E30"/>
    <mergeCell ref="B31:E31"/>
    <mergeCell ref="B32:E32"/>
    <mergeCell ref="B33:E33"/>
    <mergeCell ref="B34:E34"/>
    <mergeCell ref="B35:E35"/>
    <mergeCell ref="F35:N35"/>
    <mergeCell ref="B37:N37"/>
    <mergeCell ref="B38:E38"/>
    <mergeCell ref="F38:N38"/>
    <mergeCell ref="B39:E39"/>
    <mergeCell ref="F39:N39"/>
    <mergeCell ref="B40:E40"/>
    <mergeCell ref="F40:N40"/>
  </mergeCells>
  <conditionalFormatting sqref="N13:N2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"Defina a ação"</formula>
    </cfRule>
    <cfRule type="cellIs" priority="4" operator="equal" aboveAverage="0" equalAverage="0" bottom="0" percent="0" rank="0" text="" dxfId="1">
      <formula>"Sem responsável"</formula>
    </cfRule>
    <cfRule type="cellIs" priority="5" operator="equal" aboveAverage="0" equalAverage="0" bottom="0" percent="0" rank="0" text="" dxfId="1">
      <formula>"Sem prazo"</formula>
    </cfRule>
    <cfRule type="cellIs" priority="6" operator="equal" aboveAverage="0" equalAverage="0" bottom="0" percent="0" rank="0" text="" dxfId="2">
      <formula>"Atrasada"</formula>
    </cfRule>
  </conditionalFormatting>
  <conditionalFormatting sqref="F35:N35">
    <cfRule type="cellIs" priority="7" operator="equal" aboveAverage="0" equalAverage="0" bottom="0" percent="0" rank="0" text="" dxfId="0">
      <formula>"OK"</formula>
    </cfRule>
    <cfRule type="cellIs" priority="8" operator="notEqual" aboveAverage="0" equalAverage="0" bottom="0" percent="0" rank="0" text="" dxfId="1">
      <formula>"OK"</formula>
    </cfRule>
  </conditionalFormatting>
  <dataValidations count="5">
    <dataValidation allowBlank="true" error="Digite uma data no formato dia/mês/ano." errorStyle="stop" errorTitle="Data inválida" operator="greaterThanOrEqual" showDropDown="false" showErrorMessage="true" showInputMessage="false" sqref="J4 E5 L13:L27" type="date">
      <formula1>36526</formula1>
      <formula2>0</formula2>
    </dataValidation>
    <dataValidation allowBlank="true" error="Digite a hora no formato 19:00." errorStyle="stop" errorTitle="Hora inválida" operator="between" showDropDown="false" showErrorMessage="true" showInputMessage="false" sqref="C13:C27" type="time">
      <formula1>0</formula1>
      <formula2>0.99999</formula2>
    </dataValidation>
    <dataValidation allowBlank="true" error="Escolha uma das opções da lista." errorStyle="stop" errorTitle="Valor inválido" operator="between" prompt="Escolha a área." promptTitle="Opções" showDropDown="false" showErrorMessage="true" showInputMessage="true" sqref="E13:E27" type="list">
      <formula1>"Som,Vídeo,Luz,Mídia,Transmissão,Energia,Equipe,Outros"</formula1>
      <formula2>0</formula2>
    </dataValidation>
    <dataValidation allowBlank="true" error="Escolha uma das opções da lista." errorStyle="stop" errorTitle="Valor inválido" operator="between" prompt="Público percebeu, Quase falha ou Interna." promptTitle="Opções" showDropDown="false" showErrorMessage="true" showInputMessage="true" sqref="F13:F27" type="list">
      <formula1>"Público percebeu,Quase falha,Interna"</formula1>
      <formula2>0</formula2>
    </dataValidation>
    <dataValidation allowBlank="true" error="Escolha uma das opções da lista." errorStyle="stop" errorTitle="Valor inválido" operator="between" prompt="A ação já foi feita?" promptTitle="Opções" showDropDown="false" showErrorMessage="true" showInputMessage="true" sqref="M13:M27" type="list">
      <formula1>"Aberta,Feita"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5" min="4" style="0" width="30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255</v>
      </c>
      <c r="C1" s="1"/>
      <c r="D1" s="1"/>
      <c r="E1" s="1"/>
    </row>
    <row r="2" customFormat="false" ht="19.5" hidden="false" customHeight="true" outlineLevel="0" collapsed="false">
      <c r="B2" s="2" t="s">
        <v>256</v>
      </c>
      <c r="C2" s="2"/>
      <c r="D2" s="2"/>
      <c r="E2" s="2"/>
    </row>
    <row r="4" customFormat="false" ht="21.75" hidden="false" customHeight="true" outlineLevel="0" collapsed="false">
      <c r="B4" s="13" t="s">
        <v>257</v>
      </c>
      <c r="C4" s="13"/>
      <c r="D4" s="13"/>
      <c r="E4" s="13"/>
    </row>
    <row r="5" customFormat="false" ht="21.75" hidden="false" customHeight="true" outlineLevel="0" collapsed="false">
      <c r="B5" s="8" t="s">
        <v>258</v>
      </c>
      <c r="C5" s="8" t="s">
        <v>259</v>
      </c>
      <c r="D5" s="8" t="s">
        <v>260</v>
      </c>
      <c r="E5" s="8" t="s">
        <v>261</v>
      </c>
    </row>
    <row r="6" customFormat="false" ht="31.5" hidden="false" customHeight="true" outlineLevel="0" collapsed="false">
      <c r="B6" s="30" t="s">
        <v>262</v>
      </c>
      <c r="C6" s="7" t="s">
        <v>263</v>
      </c>
      <c r="D6" s="7" t="s">
        <v>264</v>
      </c>
      <c r="E6" s="7" t="s">
        <v>265</v>
      </c>
    </row>
    <row r="7" customFormat="false" ht="31.5" hidden="false" customHeight="true" outlineLevel="0" collapsed="false">
      <c r="B7" s="30" t="s">
        <v>266</v>
      </c>
      <c r="C7" s="7" t="s">
        <v>267</v>
      </c>
      <c r="D7" s="7" t="s">
        <v>268</v>
      </c>
      <c r="E7" s="7" t="s">
        <v>269</v>
      </c>
    </row>
    <row r="8" customFormat="false" ht="31.5" hidden="false" customHeight="true" outlineLevel="0" collapsed="false">
      <c r="B8" s="30" t="s">
        <v>270</v>
      </c>
      <c r="C8" s="7" t="s">
        <v>271</v>
      </c>
      <c r="D8" s="7" t="s">
        <v>272</v>
      </c>
      <c r="E8" s="7" t="s">
        <v>273</v>
      </c>
    </row>
    <row r="9" customFormat="false" ht="31.5" hidden="false" customHeight="true" outlineLevel="0" collapsed="false">
      <c r="B9" s="30" t="s">
        <v>274</v>
      </c>
      <c r="C9" s="7" t="s">
        <v>275</v>
      </c>
      <c r="D9" s="7" t="s">
        <v>276</v>
      </c>
      <c r="E9" s="7" t="s">
        <v>277</v>
      </c>
    </row>
    <row r="10" customFormat="false" ht="31.5" hidden="false" customHeight="true" outlineLevel="0" collapsed="false">
      <c r="B10" s="30" t="s">
        <v>278</v>
      </c>
      <c r="C10" s="7" t="s">
        <v>279</v>
      </c>
      <c r="D10" s="7" t="s">
        <v>280</v>
      </c>
      <c r="E10" s="7" t="s">
        <v>281</v>
      </c>
    </row>
    <row r="11" customFormat="false" ht="31.5" hidden="false" customHeight="true" outlineLevel="0" collapsed="false">
      <c r="B11" s="30" t="s">
        <v>282</v>
      </c>
      <c r="C11" s="7" t="s">
        <v>283</v>
      </c>
      <c r="D11" s="7" t="s">
        <v>284</v>
      </c>
      <c r="E11" s="7" t="s">
        <v>277</v>
      </c>
    </row>
    <row r="12" customFormat="false" ht="31.5" hidden="false" customHeight="true" outlineLevel="0" collapsed="false">
      <c r="B12" s="30" t="s">
        <v>285</v>
      </c>
      <c r="C12" s="7" t="s">
        <v>286</v>
      </c>
      <c r="D12" s="7" t="s">
        <v>287</v>
      </c>
      <c r="E12" s="7" t="s">
        <v>288</v>
      </c>
    </row>
    <row r="13" customFormat="false" ht="31.5" hidden="false" customHeight="true" outlineLevel="0" collapsed="false">
      <c r="B13" s="30" t="s">
        <v>289</v>
      </c>
      <c r="C13" s="7" t="s">
        <v>290</v>
      </c>
      <c r="D13" s="7" t="s">
        <v>291</v>
      </c>
      <c r="E13" s="7" t="s">
        <v>292</v>
      </c>
    </row>
    <row r="14" customFormat="false" ht="31.5" hidden="false" customHeight="true" outlineLevel="0" collapsed="false">
      <c r="B14" s="30" t="s">
        <v>293</v>
      </c>
      <c r="C14" s="7" t="s">
        <v>294</v>
      </c>
      <c r="D14" s="7" t="s">
        <v>295</v>
      </c>
      <c r="E14" s="7" t="s">
        <v>292</v>
      </c>
    </row>
    <row r="15" customFormat="false" ht="31.5" hidden="false" customHeight="true" outlineLevel="0" collapsed="false">
      <c r="B15" s="30" t="s">
        <v>296</v>
      </c>
      <c r="C15" s="7" t="s">
        <v>297</v>
      </c>
      <c r="D15" s="7" t="s">
        <v>298</v>
      </c>
      <c r="E15" s="7" t="s">
        <v>299</v>
      </c>
    </row>
    <row r="16" customFormat="false" ht="31.5" hidden="false" customHeight="true" outlineLevel="0" collapsed="false">
      <c r="B16" s="30" t="s">
        <v>300</v>
      </c>
      <c r="C16" s="7" t="s">
        <v>301</v>
      </c>
      <c r="D16" s="7" t="s">
        <v>302</v>
      </c>
      <c r="E16" s="7" t="s">
        <v>299</v>
      </c>
    </row>
    <row r="17" customFormat="false" ht="31.5" hidden="false" customHeight="true" outlineLevel="0" collapsed="false">
      <c r="B17" s="30" t="s">
        <v>303</v>
      </c>
      <c r="C17" s="7" t="s">
        <v>304</v>
      </c>
      <c r="D17" s="7" t="s">
        <v>305</v>
      </c>
      <c r="E17" s="7" t="s">
        <v>306</v>
      </c>
    </row>
    <row r="18" customFormat="false" ht="31.5" hidden="false" customHeight="true" outlineLevel="0" collapsed="false">
      <c r="B18" s="30" t="s">
        <v>307</v>
      </c>
      <c r="C18" s="7" t="s">
        <v>308</v>
      </c>
      <c r="D18" s="7" t="s">
        <v>309</v>
      </c>
      <c r="E18" s="7" t="s">
        <v>310</v>
      </c>
    </row>
    <row r="19" customFormat="false" ht="31.5" hidden="false" customHeight="true" outlineLevel="0" collapsed="false">
      <c r="B19" s="30" t="s">
        <v>311</v>
      </c>
      <c r="C19" s="7" t="s">
        <v>312</v>
      </c>
      <c r="D19" s="7" t="s">
        <v>313</v>
      </c>
      <c r="E19" s="7" t="s">
        <v>310</v>
      </c>
    </row>
    <row r="21" customFormat="false" ht="21.75" hidden="false" customHeight="true" outlineLevel="0" collapsed="false">
      <c r="B21" s="13" t="s">
        <v>314</v>
      </c>
      <c r="C21" s="13"/>
      <c r="D21" s="13"/>
      <c r="E21" s="13"/>
    </row>
    <row r="22" customFormat="false" ht="21.75" hidden="false" customHeight="true" outlineLevel="0" collapsed="false">
      <c r="B22" s="8" t="s">
        <v>315</v>
      </c>
      <c r="C22" s="8" t="s">
        <v>316</v>
      </c>
      <c r="D22" s="8" t="s">
        <v>317</v>
      </c>
      <c r="E22" s="8" t="s">
        <v>318</v>
      </c>
    </row>
    <row r="23" customFormat="false" ht="21.75" hidden="false" customHeight="true" outlineLevel="0" collapsed="false">
      <c r="B23" s="30" t="s">
        <v>319</v>
      </c>
      <c r="C23" s="7" t="s">
        <v>320</v>
      </c>
      <c r="D23" s="7" t="s">
        <v>321</v>
      </c>
      <c r="E23" s="7" t="s">
        <v>322</v>
      </c>
    </row>
    <row r="24" customFormat="false" ht="21.75" hidden="false" customHeight="true" outlineLevel="0" collapsed="false">
      <c r="B24" s="30" t="s">
        <v>323</v>
      </c>
      <c r="C24" s="7" t="s">
        <v>324</v>
      </c>
      <c r="D24" s="7" t="s">
        <v>325</v>
      </c>
      <c r="E24" s="7" t="s">
        <v>326</v>
      </c>
    </row>
    <row r="25" customFormat="false" ht="21.75" hidden="false" customHeight="true" outlineLevel="0" collapsed="false">
      <c r="B25" s="30" t="s">
        <v>327</v>
      </c>
      <c r="C25" s="7" t="s">
        <v>328</v>
      </c>
      <c r="D25" s="7" t="s">
        <v>324</v>
      </c>
      <c r="E25" s="7" t="s">
        <v>329</v>
      </c>
    </row>
    <row r="26" customFormat="false" ht="21.75" hidden="false" customHeight="true" outlineLevel="0" collapsed="false">
      <c r="B26" s="30" t="s">
        <v>330</v>
      </c>
      <c r="C26" s="7" t="s">
        <v>331</v>
      </c>
      <c r="D26" s="7" t="s">
        <v>328</v>
      </c>
      <c r="E26" s="7" t="s">
        <v>332</v>
      </c>
    </row>
    <row r="28" customFormat="false" ht="21.75" hidden="false" customHeight="true" outlineLevel="0" collapsed="false">
      <c r="B28" s="13" t="s">
        <v>333</v>
      </c>
      <c r="C28" s="13"/>
      <c r="D28" s="13"/>
      <c r="E28" s="13"/>
    </row>
    <row r="29" customFormat="false" ht="21.75" hidden="false" customHeight="true" outlineLevel="0" collapsed="false">
      <c r="B29" s="8" t="s">
        <v>150</v>
      </c>
      <c r="C29" s="8" t="s">
        <v>334</v>
      </c>
      <c r="D29" s="8" t="s">
        <v>335</v>
      </c>
      <c r="E29" s="8" t="s">
        <v>135</v>
      </c>
    </row>
    <row r="30" customFormat="false" ht="21.75" hidden="false" customHeight="true" outlineLevel="0" collapsed="false">
      <c r="B30" s="30" t="s">
        <v>336</v>
      </c>
      <c r="C30" s="7" t="s">
        <v>337</v>
      </c>
      <c r="D30" s="7" t="s">
        <v>338</v>
      </c>
      <c r="E30" s="7"/>
    </row>
    <row r="31" customFormat="false" ht="21.75" hidden="false" customHeight="true" outlineLevel="0" collapsed="false">
      <c r="B31" s="30" t="s">
        <v>339</v>
      </c>
      <c r="C31" s="7" t="s">
        <v>340</v>
      </c>
      <c r="D31" s="7" t="s">
        <v>341</v>
      </c>
      <c r="E31" s="7" t="s">
        <v>342</v>
      </c>
    </row>
    <row r="32" customFormat="false" ht="21.75" hidden="false" customHeight="true" outlineLevel="0" collapsed="false">
      <c r="B32" s="30" t="s">
        <v>161</v>
      </c>
      <c r="C32" s="7" t="s">
        <v>343</v>
      </c>
      <c r="D32" s="7" t="s">
        <v>344</v>
      </c>
      <c r="E32" s="7" t="s">
        <v>345</v>
      </c>
    </row>
    <row r="33" customFormat="false" ht="21.75" hidden="false" customHeight="true" outlineLevel="0" collapsed="false">
      <c r="B33" s="30" t="s">
        <v>163</v>
      </c>
      <c r="C33" s="7" t="s">
        <v>346</v>
      </c>
      <c r="D33" s="7" t="s">
        <v>347</v>
      </c>
      <c r="E33" s="7" t="s">
        <v>348</v>
      </c>
    </row>
    <row r="34" customFormat="false" ht="21.75" hidden="false" customHeight="true" outlineLevel="0" collapsed="false">
      <c r="B34" s="30" t="s">
        <v>164</v>
      </c>
      <c r="C34" s="7" t="s">
        <v>349</v>
      </c>
      <c r="D34" s="7" t="s">
        <v>344</v>
      </c>
      <c r="E34" s="7" t="s">
        <v>350</v>
      </c>
    </row>
    <row r="35" customFormat="false" ht="21.75" hidden="false" customHeight="true" outlineLevel="0" collapsed="false">
      <c r="B35" s="30" t="s">
        <v>166</v>
      </c>
      <c r="C35" s="7"/>
      <c r="D35" s="7" t="s">
        <v>351</v>
      </c>
      <c r="E35" s="7" t="s">
        <v>352</v>
      </c>
    </row>
    <row r="36" customFormat="false" ht="21.75" hidden="false" customHeight="true" outlineLevel="0" collapsed="false">
      <c r="B36" s="30" t="s">
        <v>353</v>
      </c>
      <c r="C36" s="7" t="s">
        <v>354</v>
      </c>
      <c r="D36" s="7" t="s">
        <v>355</v>
      </c>
      <c r="E36" s="7"/>
    </row>
    <row r="38" customFormat="false" ht="21.75" hidden="false" customHeight="true" outlineLevel="0" collapsed="false">
      <c r="B38" s="13" t="s">
        <v>356</v>
      </c>
      <c r="C38" s="13"/>
      <c r="D38" s="13"/>
      <c r="E38" s="13"/>
    </row>
    <row r="39" customFormat="false" ht="21.75" hidden="false" customHeight="true" outlineLevel="0" collapsed="false">
      <c r="B39" s="8" t="s">
        <v>357</v>
      </c>
      <c r="C39" s="8" t="s">
        <v>358</v>
      </c>
      <c r="D39" s="8" t="s">
        <v>359</v>
      </c>
      <c r="E39" s="8"/>
    </row>
    <row r="40" customFormat="false" ht="21.75" hidden="false" customHeight="true" outlineLevel="0" collapsed="false">
      <c r="B40" s="30" t="s">
        <v>360</v>
      </c>
      <c r="C40" s="7" t="s">
        <v>361</v>
      </c>
      <c r="D40" s="7" t="s">
        <v>362</v>
      </c>
      <c r="E40" s="7"/>
    </row>
    <row r="41" customFormat="false" ht="21.75" hidden="false" customHeight="true" outlineLevel="0" collapsed="false">
      <c r="B41" s="30" t="s">
        <v>363</v>
      </c>
      <c r="C41" s="7" t="s">
        <v>364</v>
      </c>
      <c r="D41" s="7" t="s">
        <v>365</v>
      </c>
      <c r="E41" s="7"/>
    </row>
    <row r="42" customFormat="false" ht="21.75" hidden="false" customHeight="true" outlineLevel="0" collapsed="false">
      <c r="B42" s="30" t="s">
        <v>366</v>
      </c>
      <c r="C42" s="7" t="s">
        <v>367</v>
      </c>
      <c r="D42" s="7" t="s">
        <v>368</v>
      </c>
      <c r="E42" s="7"/>
    </row>
    <row r="43" customFormat="false" ht="21.75" hidden="false" customHeight="true" outlineLevel="0" collapsed="false">
      <c r="B43" s="30" t="s">
        <v>369</v>
      </c>
      <c r="C43" s="7" t="s">
        <v>370</v>
      </c>
      <c r="D43" s="7" t="s">
        <v>371</v>
      </c>
      <c r="E43" s="7"/>
    </row>
    <row r="45" customFormat="false" ht="21.75" hidden="false" customHeight="true" outlineLevel="0" collapsed="false">
      <c r="B45" s="13" t="s">
        <v>372</v>
      </c>
      <c r="C45" s="13"/>
      <c r="D45" s="13"/>
      <c r="E45" s="13"/>
    </row>
    <row r="46" customFormat="false" ht="21.75" hidden="false" customHeight="true" outlineLevel="0" collapsed="false">
      <c r="B46" s="8" t="s">
        <v>183</v>
      </c>
      <c r="C46" s="8" t="s">
        <v>373</v>
      </c>
      <c r="D46" s="8" t="s">
        <v>374</v>
      </c>
      <c r="E46" s="8" t="s">
        <v>375</v>
      </c>
    </row>
    <row r="47" customFormat="false" ht="21.75" hidden="false" customHeight="true" outlineLevel="0" collapsed="false">
      <c r="B47" s="30" t="s">
        <v>376</v>
      </c>
      <c r="C47" s="7" t="s">
        <v>377</v>
      </c>
      <c r="D47" s="7" t="s">
        <v>16</v>
      </c>
      <c r="E47" s="7" t="s">
        <v>378</v>
      </c>
    </row>
    <row r="48" customFormat="false" ht="21.75" hidden="false" customHeight="true" outlineLevel="0" collapsed="false">
      <c r="B48" s="30" t="s">
        <v>379</v>
      </c>
      <c r="C48" s="7" t="s">
        <v>380</v>
      </c>
      <c r="D48" s="7" t="s">
        <v>381</v>
      </c>
      <c r="E48" s="7" t="s">
        <v>382</v>
      </c>
    </row>
    <row r="49" customFormat="false" ht="21.75" hidden="false" customHeight="true" outlineLevel="0" collapsed="false">
      <c r="B49" s="30" t="s">
        <v>383</v>
      </c>
      <c r="C49" s="7" t="s">
        <v>384</v>
      </c>
      <c r="D49" s="7" t="s">
        <v>16</v>
      </c>
      <c r="E49" s="7"/>
    </row>
    <row r="50" customFormat="false" ht="21.75" hidden="false" customHeight="true" outlineLevel="0" collapsed="false">
      <c r="B50" s="30" t="s">
        <v>385</v>
      </c>
      <c r="C50" s="7" t="s">
        <v>386</v>
      </c>
      <c r="D50" s="7" t="s">
        <v>387</v>
      </c>
      <c r="E50" s="7" t="s">
        <v>388</v>
      </c>
    </row>
    <row r="51" customFormat="false" ht="21.75" hidden="false" customHeight="true" outlineLevel="0" collapsed="false">
      <c r="B51" s="30" t="s">
        <v>389</v>
      </c>
      <c r="C51" s="7" t="s">
        <v>390</v>
      </c>
      <c r="D51" s="7" t="s">
        <v>391</v>
      </c>
      <c r="E51" s="7" t="s">
        <v>392</v>
      </c>
    </row>
    <row r="52" customFormat="false" ht="21.75" hidden="false" customHeight="true" outlineLevel="0" collapsed="false">
      <c r="B52" s="30" t="s">
        <v>393</v>
      </c>
      <c r="C52" s="7" t="s">
        <v>394</v>
      </c>
      <c r="D52" s="7" t="s">
        <v>16</v>
      </c>
      <c r="E52" s="7" t="s">
        <v>395</v>
      </c>
    </row>
    <row r="53" customFormat="false" ht="21.75" hidden="false" customHeight="true" outlineLevel="0" collapsed="false">
      <c r="B53" s="30" t="s">
        <v>396</v>
      </c>
      <c r="C53" s="7" t="s">
        <v>397</v>
      </c>
      <c r="D53" s="7" t="s">
        <v>391</v>
      </c>
      <c r="E53" s="7" t="s">
        <v>398</v>
      </c>
    </row>
    <row r="54" customFormat="false" ht="21.75" hidden="false" customHeight="true" outlineLevel="0" collapsed="false">
      <c r="B54" s="30" t="s">
        <v>399</v>
      </c>
      <c r="C54" s="7" t="s">
        <v>400</v>
      </c>
      <c r="D54" s="7" t="s">
        <v>391</v>
      </c>
      <c r="E54" s="7"/>
    </row>
    <row r="55" customFormat="false" ht="21.75" hidden="false" customHeight="true" outlineLevel="0" collapsed="false">
      <c r="B55" s="30" t="s">
        <v>401</v>
      </c>
      <c r="C55" s="7" t="s">
        <v>402</v>
      </c>
      <c r="D55" s="7" t="s">
        <v>403</v>
      </c>
      <c r="E55" s="7"/>
    </row>
    <row r="56" customFormat="false" ht="21.75" hidden="false" customHeight="true" outlineLevel="0" collapsed="false">
      <c r="B56" s="30" t="s">
        <v>404</v>
      </c>
      <c r="C56" s="7" t="s">
        <v>405</v>
      </c>
      <c r="D56" s="7" t="s">
        <v>406</v>
      </c>
      <c r="E56" s="7" t="s">
        <v>407</v>
      </c>
    </row>
    <row r="57" customFormat="false" ht="15" hidden="false" customHeight="true" outlineLevel="0" collapsed="false">
      <c r="B57" s="10" t="s">
        <v>408</v>
      </c>
      <c r="C57" s="10"/>
      <c r="D57" s="10"/>
      <c r="E57" s="10"/>
    </row>
  </sheetData>
  <mergeCells count="8">
    <mergeCell ref="B1:E1"/>
    <mergeCell ref="B2:E2"/>
    <mergeCell ref="B4:E4"/>
    <mergeCell ref="B21:E21"/>
    <mergeCell ref="B28:E28"/>
    <mergeCell ref="B38:E38"/>
    <mergeCell ref="B45:E45"/>
    <mergeCell ref="B57:E57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409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410</v>
      </c>
      <c r="C2" s="2"/>
      <c r="D2" s="2"/>
      <c r="E2" s="2"/>
      <c r="F2" s="2"/>
    </row>
    <row r="4" customFormat="false" ht="21.75" hidden="false" customHeight="true" outlineLevel="0" collapsed="false">
      <c r="B4" s="14" t="s">
        <v>76</v>
      </c>
      <c r="C4" s="14" t="s">
        <v>411</v>
      </c>
      <c r="D4" s="14" t="s">
        <v>183</v>
      </c>
      <c r="E4" s="14" t="s">
        <v>89</v>
      </c>
      <c r="F4" s="14" t="s">
        <v>135</v>
      </c>
    </row>
    <row r="5" customFormat="false" ht="31.5" hidden="false" customHeight="true" outlineLevel="0" collapsed="false">
      <c r="B5" s="19" t="n">
        <v>1</v>
      </c>
      <c r="C5" s="6" t="s">
        <v>412</v>
      </c>
      <c r="D5" s="7" t="s">
        <v>413</v>
      </c>
      <c r="E5" s="12"/>
      <c r="F5" s="5"/>
    </row>
    <row r="6" customFormat="false" ht="31.5" hidden="false" customHeight="true" outlineLevel="0" collapsed="false">
      <c r="B6" s="19" t="n">
        <v>2</v>
      </c>
      <c r="C6" s="6" t="s">
        <v>412</v>
      </c>
      <c r="D6" s="7" t="s">
        <v>414</v>
      </c>
      <c r="E6" s="12"/>
      <c r="F6" s="5"/>
    </row>
    <row r="7" customFormat="false" ht="31.5" hidden="false" customHeight="true" outlineLevel="0" collapsed="false">
      <c r="B7" s="19" t="n">
        <v>3</v>
      </c>
      <c r="C7" s="6" t="s">
        <v>412</v>
      </c>
      <c r="D7" s="7" t="s">
        <v>415</v>
      </c>
      <c r="E7" s="12"/>
      <c r="F7" s="5"/>
    </row>
    <row r="8" customFormat="false" ht="31.5" hidden="false" customHeight="true" outlineLevel="0" collapsed="false">
      <c r="B8" s="19" t="n">
        <v>4</v>
      </c>
      <c r="C8" s="6" t="s">
        <v>412</v>
      </c>
      <c r="D8" s="7" t="s">
        <v>416</v>
      </c>
      <c r="E8" s="12"/>
      <c r="F8" s="5"/>
    </row>
    <row r="9" customFormat="false" ht="31.5" hidden="false" customHeight="true" outlineLevel="0" collapsed="false">
      <c r="B9" s="19" t="n">
        <v>5</v>
      </c>
      <c r="C9" s="6" t="s">
        <v>412</v>
      </c>
      <c r="D9" s="7" t="s">
        <v>417</v>
      </c>
      <c r="E9" s="12"/>
      <c r="F9" s="5"/>
    </row>
    <row r="10" customFormat="false" ht="31.5" hidden="false" customHeight="true" outlineLevel="0" collapsed="false">
      <c r="B10" s="19" t="n">
        <v>6</v>
      </c>
      <c r="C10" s="6" t="s">
        <v>412</v>
      </c>
      <c r="D10" s="7" t="s">
        <v>418</v>
      </c>
      <c r="E10" s="12"/>
      <c r="F10" s="5"/>
    </row>
    <row r="11" customFormat="false" ht="31.5" hidden="false" customHeight="true" outlineLevel="0" collapsed="false">
      <c r="B11" s="19" t="n">
        <v>7</v>
      </c>
      <c r="C11" s="6" t="s">
        <v>412</v>
      </c>
      <c r="D11" s="7" t="s">
        <v>419</v>
      </c>
      <c r="E11" s="12"/>
      <c r="F11" s="5"/>
    </row>
    <row r="12" customFormat="false" ht="31.5" hidden="false" customHeight="true" outlineLevel="0" collapsed="false">
      <c r="B12" s="19" t="n">
        <v>8</v>
      </c>
      <c r="C12" s="6" t="s">
        <v>412</v>
      </c>
      <c r="D12" s="7" t="s">
        <v>420</v>
      </c>
      <c r="E12" s="12"/>
      <c r="F12" s="5"/>
    </row>
    <row r="13" customFormat="false" ht="31.5" hidden="false" customHeight="true" outlineLevel="0" collapsed="false">
      <c r="B13" s="19" t="n">
        <v>9</v>
      </c>
      <c r="C13" s="6" t="s">
        <v>421</v>
      </c>
      <c r="D13" s="7" t="s">
        <v>422</v>
      </c>
      <c r="E13" s="12"/>
      <c r="F13" s="5"/>
    </row>
    <row r="14" customFormat="false" ht="31.5" hidden="false" customHeight="true" outlineLevel="0" collapsed="false">
      <c r="B14" s="19" t="n">
        <v>10</v>
      </c>
      <c r="C14" s="6" t="s">
        <v>421</v>
      </c>
      <c r="D14" s="7" t="s">
        <v>423</v>
      </c>
      <c r="E14" s="12"/>
      <c r="F14" s="5"/>
    </row>
    <row r="15" customFormat="false" ht="31.5" hidden="false" customHeight="true" outlineLevel="0" collapsed="false">
      <c r="B15" s="19" t="n">
        <v>11</v>
      </c>
      <c r="C15" s="6" t="s">
        <v>424</v>
      </c>
      <c r="D15" s="7" t="s">
        <v>425</v>
      </c>
      <c r="E15" s="12"/>
      <c r="F15" s="5"/>
    </row>
    <row r="16" customFormat="false" ht="19.5" hidden="false" customHeight="true" outlineLevel="0" collapsed="false">
      <c r="B16" s="19" t="n">
        <v>12</v>
      </c>
      <c r="C16" s="6" t="s">
        <v>424</v>
      </c>
      <c r="D16" s="7" t="s">
        <v>426</v>
      </c>
      <c r="E16" s="12"/>
      <c r="F16" s="5"/>
    </row>
    <row r="18" customFormat="false" ht="19.5" hidden="false" customHeight="true" outlineLevel="0" collapsed="false">
      <c r="B18" s="23" t="s">
        <v>427</v>
      </c>
      <c r="C18" s="23"/>
      <c r="D18" s="23"/>
      <c r="E18" s="8" t="n">
        <f aca="false">COUNTA(E5:E16)</f>
        <v>0</v>
      </c>
    </row>
    <row r="19" customFormat="false" ht="19.5" hidden="false" customHeight="true" outlineLevel="0" collapsed="false">
      <c r="B19" s="23" t="s">
        <v>428</v>
      </c>
      <c r="C19" s="23"/>
      <c r="D19" s="23"/>
      <c r="E19" s="31" t="str">
        <f aca="false">IF(COUNTA(E5:E16)=0,"",(COUNTIF(E5:E16,"Sim")+COUNTIF(E5:E16,"Parcial")/2)/COUNTA(E5:E16))</f>
        <v/>
      </c>
    </row>
    <row r="20" customFormat="false" ht="19.5" hidden="false" customHeight="true" outlineLevel="0" collapsed="false">
      <c r="B20" s="23" t="s">
        <v>89</v>
      </c>
      <c r="C20" s="23"/>
      <c r="D20" s="23"/>
      <c r="E20" s="22" t="str">
        <f aca="false">IF(COUNTA(E5:E16)&lt;12,"Incompleto",IF(COUNTIF(E5:E16,"Não")=0,"OK","Há itens a resolver"))</f>
        <v>Incompleto</v>
      </c>
    </row>
  </sheetData>
  <mergeCells count="5">
    <mergeCell ref="B1:F1"/>
    <mergeCell ref="B2:F2"/>
    <mergeCell ref="B18:D18"/>
    <mergeCell ref="B19:D19"/>
    <mergeCell ref="B20:D20"/>
  </mergeCells>
  <conditionalFormatting sqref="E5:E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conditionalFormatting sqref="E20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1">
      <formula>"OK"</formula>
    </cfRule>
  </conditionalFormatting>
  <dataValidations count="1">
    <dataValidation allowBlank="true" error="Escolha uma das opções da lista." errorStyle="stop" errorTitle="Valor inválido" operator="between" prompt="Sim, Parcial ou Não." promptTitle="Opções" showDropDown="false" showErrorMessage="true" showInputMessage="true" sqref="E5:E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O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17"/>
    <col collapsed="false" customWidth="true" hidden="false" outlineLevel="0" max="8" min="8" style="0" width="28"/>
    <col collapsed="false" customWidth="true" hidden="false" outlineLevel="0" max="9" min="9" style="0" width="25"/>
    <col collapsed="false" customWidth="true" hidden="false" outlineLevel="0" max="10" min="10" style="0" width="20"/>
    <col collapsed="false" customWidth="true" hidden="false" outlineLevel="0" max="11" min="11" style="0" width="24"/>
    <col collapsed="false" customWidth="true" hidden="false" outlineLevel="0" max="12" min="12" style="0" width="26"/>
    <col collapsed="false" customWidth="true" hidden="false" outlineLevel="0" max="14" min="13" style="0" width="9"/>
    <col collapsed="false" customWidth="true" hidden="false" outlineLevel="0" max="15" min="15" style="0" width="15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59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429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1.75" hidden="false" customHeight="true" outlineLevel="0" collapsed="false">
      <c r="B4" s="4" t="s">
        <v>61</v>
      </c>
      <c r="C4" s="4"/>
      <c r="D4" s="32" t="s">
        <v>430</v>
      </c>
      <c r="E4" s="32"/>
      <c r="F4" s="32"/>
      <c r="G4" s="32"/>
      <c r="I4" s="4" t="s">
        <v>62</v>
      </c>
      <c r="J4" s="4"/>
      <c r="K4" s="33" t="n">
        <v>0.791666666666667</v>
      </c>
      <c r="L4" s="10" t="s">
        <v>63</v>
      </c>
      <c r="M4" s="10"/>
      <c r="N4" s="10"/>
      <c r="O4" s="10"/>
    </row>
    <row r="5" customFormat="false" ht="21.75" hidden="false" customHeight="true" outlineLevel="0" collapsed="false">
      <c r="B5" s="4" t="s">
        <v>64</v>
      </c>
      <c r="C5" s="4"/>
      <c r="D5" s="32" t="s">
        <v>431</v>
      </c>
      <c r="E5" s="32"/>
      <c r="F5" s="32"/>
      <c r="G5" s="32"/>
      <c r="I5" s="4" t="s">
        <v>65</v>
      </c>
      <c r="J5" s="4"/>
      <c r="K5" s="33" t="n">
        <v>0.854166666666667</v>
      </c>
      <c r="L5" s="10" t="s">
        <v>66</v>
      </c>
      <c r="M5" s="10"/>
      <c r="N5" s="10"/>
      <c r="O5" s="10"/>
    </row>
    <row r="6" customFormat="false" ht="21.75" hidden="false" customHeight="true" outlineLevel="0" collapsed="false">
      <c r="B6" s="4" t="s">
        <v>67</v>
      </c>
      <c r="C6" s="4"/>
      <c r="D6" s="34" t="n">
        <v>46299</v>
      </c>
      <c r="E6" s="34"/>
      <c r="F6" s="34"/>
      <c r="G6" s="34"/>
      <c r="I6" s="4" t="s">
        <v>68</v>
      </c>
      <c r="J6" s="4"/>
      <c r="K6" s="35" t="n">
        <v>5</v>
      </c>
      <c r="L6" s="10" t="s">
        <v>69</v>
      </c>
      <c r="M6" s="10"/>
      <c r="N6" s="10"/>
      <c r="O6" s="10"/>
    </row>
    <row r="7" customFormat="false" ht="21.75" hidden="false" customHeight="true" outlineLevel="0" collapsed="false">
      <c r="B7" s="4" t="s">
        <v>70</v>
      </c>
      <c r="C7" s="4"/>
      <c r="D7" s="32" t="s">
        <v>432</v>
      </c>
      <c r="E7" s="32"/>
      <c r="F7" s="32"/>
      <c r="G7" s="32"/>
      <c r="I7" s="4" t="s">
        <v>71</v>
      </c>
      <c r="J7" s="4"/>
      <c r="K7" s="35" t="n">
        <v>3</v>
      </c>
      <c r="L7" s="10" t="s">
        <v>72</v>
      </c>
      <c r="M7" s="10"/>
      <c r="N7" s="10"/>
      <c r="O7" s="10"/>
    </row>
    <row r="8" customFormat="false" ht="21.75" hidden="false" customHeight="true" outlineLevel="0" collapsed="false">
      <c r="B8" s="4" t="s">
        <v>73</v>
      </c>
      <c r="C8" s="4"/>
      <c r="D8" s="32" t="s">
        <v>433</v>
      </c>
      <c r="E8" s="32"/>
      <c r="F8" s="32"/>
      <c r="G8" s="32"/>
      <c r="I8" s="10" t="s">
        <v>74</v>
      </c>
      <c r="J8" s="10"/>
      <c r="K8" s="10"/>
      <c r="L8" s="10"/>
      <c r="M8" s="10"/>
      <c r="N8" s="10"/>
      <c r="O8" s="10"/>
    </row>
    <row r="10" customFormat="false" ht="21.75" hidden="false" customHeight="true" outlineLevel="0" collapsed="false">
      <c r="B10" s="13" t="s">
        <v>75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customFormat="false" ht="30" hidden="false" customHeight="true" outlineLevel="0" collapsed="false">
      <c r="B11" s="14" t="s">
        <v>76</v>
      </c>
      <c r="C11" s="14" t="s">
        <v>77</v>
      </c>
      <c r="D11" s="15" t="s">
        <v>78</v>
      </c>
      <c r="E11" s="16" t="s">
        <v>79</v>
      </c>
      <c r="F11" s="16" t="s">
        <v>80</v>
      </c>
      <c r="G11" s="15" t="s">
        <v>81</v>
      </c>
      <c r="H11" s="15" t="s">
        <v>82</v>
      </c>
      <c r="I11" s="15" t="s">
        <v>83</v>
      </c>
      <c r="J11" s="15" t="s">
        <v>84</v>
      </c>
      <c r="K11" s="15" t="s">
        <v>85</v>
      </c>
      <c r="L11" s="15" t="s">
        <v>86</v>
      </c>
      <c r="M11" s="17" t="s">
        <v>87</v>
      </c>
      <c r="N11" s="16" t="s">
        <v>88</v>
      </c>
      <c r="O11" s="16" t="s">
        <v>89</v>
      </c>
    </row>
    <row r="12" customFormat="false" ht="24" hidden="false" customHeight="true" outlineLevel="0" collapsed="false">
      <c r="B12" s="18"/>
      <c r="C12" s="18" t="s">
        <v>90</v>
      </c>
      <c r="D12" s="18" t="s">
        <v>91</v>
      </c>
      <c r="E12" s="18" t="s">
        <v>92</v>
      </c>
      <c r="F12" s="18" t="s">
        <v>92</v>
      </c>
      <c r="G12" s="18" t="s">
        <v>93</v>
      </c>
      <c r="H12" s="18" t="s">
        <v>94</v>
      </c>
      <c r="I12" s="18" t="s">
        <v>95</v>
      </c>
      <c r="J12" s="18" t="s">
        <v>96</v>
      </c>
      <c r="K12" s="18" t="s">
        <v>97</v>
      </c>
      <c r="L12" s="18" t="s">
        <v>98</v>
      </c>
      <c r="M12" s="18" t="s">
        <v>99</v>
      </c>
      <c r="N12" s="18" t="s">
        <v>91</v>
      </c>
      <c r="O12" s="18"/>
    </row>
    <row r="13" customFormat="false" ht="21.75" hidden="false" customHeight="true" outlineLevel="0" collapsed="false">
      <c r="B13" s="10" t="s">
        <v>434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customFormat="false" ht="30" hidden="false" customHeight="true" outlineLevel="0" collapsed="false">
      <c r="B14" s="19" t="n">
        <v>1</v>
      </c>
      <c r="C14" s="32" t="s">
        <v>435</v>
      </c>
      <c r="D14" s="35" t="n">
        <v>3</v>
      </c>
      <c r="E14" s="20" t="n">
        <f aca="false">IF(OR(D14="",$K$4=""),"",$K$4+(SUM(D$14:D14)-D14)/1440)</f>
        <v>0.791666666666667</v>
      </c>
      <c r="F14" s="20" t="n">
        <f aca="false">IF(E14="","",E14+D14/1440)</f>
        <v>0.79375</v>
      </c>
      <c r="G14" s="32" t="s">
        <v>436</v>
      </c>
      <c r="H14" s="32" t="s">
        <v>437</v>
      </c>
      <c r="I14" s="32" t="s">
        <v>438</v>
      </c>
      <c r="J14" s="32" t="s">
        <v>439</v>
      </c>
      <c r="K14" s="32" t="s">
        <v>440</v>
      </c>
      <c r="L14" s="32" t="s">
        <v>441</v>
      </c>
      <c r="M14" s="33" t="n">
        <v>0.793055555555556</v>
      </c>
      <c r="N14" s="21" t="n">
        <f aca="false">IF(OR(M14="",E14=""),"",ROUND((M14-E14)*1440,0))</f>
        <v>2</v>
      </c>
      <c r="O14" s="22" t="str">
        <f aca="false">IF(E14="","",IF(AND($K$5&lt;&gt;"",ROUND((F14-$K$5)*1440,0)&gt;0),"Passa do limite",IF(N14="","Previsto",IF(N14&gt;$K$7,"Atrasado",IF(N14&lt;-$K$7,"Adiantado","No horário")))))</f>
        <v>No horário</v>
      </c>
    </row>
    <row r="15" customFormat="false" ht="30" hidden="false" customHeight="true" outlineLevel="0" collapsed="false">
      <c r="B15" s="19" t="n">
        <v>2</v>
      </c>
      <c r="C15" s="32" t="s">
        <v>442</v>
      </c>
      <c r="D15" s="35" t="n">
        <v>15</v>
      </c>
      <c r="E15" s="20" t="n">
        <f aca="false">IF(OR(D15="",$K$4=""),"",$K$4+(SUM(D$14:D15)-D15)/1440)</f>
        <v>0.79375</v>
      </c>
      <c r="F15" s="20" t="n">
        <f aca="false">IF(E15="","",E15+D15/1440)</f>
        <v>0.804166666666667</v>
      </c>
      <c r="G15" s="32" t="s">
        <v>443</v>
      </c>
      <c r="H15" s="32" t="s">
        <v>444</v>
      </c>
      <c r="I15" s="32" t="s">
        <v>445</v>
      </c>
      <c r="J15" s="32" t="s">
        <v>446</v>
      </c>
      <c r="K15" s="32" t="s">
        <v>447</v>
      </c>
      <c r="L15" s="32" t="s">
        <v>448</v>
      </c>
      <c r="M15" s="33" t="n">
        <v>0.795138888888889</v>
      </c>
      <c r="N15" s="21" t="n">
        <f aca="false">IF(OR(M15="",E15=""),"",ROUND((M15-E15)*1440,0))</f>
        <v>2</v>
      </c>
      <c r="O15" s="22" t="str">
        <f aca="false">IF(E15="","",IF(AND($K$5&lt;&gt;"",ROUND((F15-$K$5)*1440,0)&gt;0),"Passa do limite",IF(N15="","Previsto",IF(N15&gt;$K$7,"Atrasado",IF(N15&lt;-$K$7,"Adiantado","No horário")))))</f>
        <v>No horário</v>
      </c>
    </row>
    <row r="16" customFormat="false" ht="30" hidden="false" customHeight="true" outlineLevel="0" collapsed="false">
      <c r="B16" s="19" t="n">
        <v>3</v>
      </c>
      <c r="C16" s="32" t="s">
        <v>101</v>
      </c>
      <c r="D16" s="35" t="n">
        <v>4</v>
      </c>
      <c r="E16" s="20" t="n">
        <f aca="false">IF(OR(D16="",$K$4=""),"",$K$4+(SUM(D$14:D16)-D16)/1440)</f>
        <v>0.804166666666667</v>
      </c>
      <c r="F16" s="20" t="n">
        <f aca="false">IF(E16="","",E16+D16/1440)</f>
        <v>0.806944444444445</v>
      </c>
      <c r="G16" s="32" t="s">
        <v>104</v>
      </c>
      <c r="H16" s="32" t="s">
        <v>449</v>
      </c>
      <c r="I16" s="32" t="s">
        <v>106</v>
      </c>
      <c r="J16" s="32" t="s">
        <v>107</v>
      </c>
      <c r="K16" s="32" t="s">
        <v>450</v>
      </c>
      <c r="L16" s="32" t="s">
        <v>451</v>
      </c>
      <c r="M16" s="33" t="n">
        <v>0.80625</v>
      </c>
      <c r="N16" s="21" t="n">
        <f aca="false">IF(OR(M16="",E16=""),"",ROUND((M16-E16)*1440,0))</f>
        <v>3</v>
      </c>
      <c r="O16" s="22" t="str">
        <f aca="false">IF(E16="","",IF(AND($K$5&lt;&gt;"",ROUND((F16-$K$5)*1440,0)&gt;0),"Passa do limite",IF(N16="","Previsto",IF(N16&gt;$K$7,"Atrasado",IF(N16&lt;-$K$7,"Adiantado","No horário")))))</f>
        <v>No horário</v>
      </c>
    </row>
    <row r="17" customFormat="false" ht="30" hidden="false" customHeight="true" outlineLevel="0" collapsed="false">
      <c r="B17" s="19" t="n">
        <v>4</v>
      </c>
      <c r="C17" s="32" t="s">
        <v>452</v>
      </c>
      <c r="D17" s="35" t="n">
        <v>3</v>
      </c>
      <c r="E17" s="20" t="n">
        <f aca="false">IF(OR(D17="",$K$4=""),"",$K$4+(SUM(D$14:D17)-D17)/1440)</f>
        <v>0.806944444444445</v>
      </c>
      <c r="F17" s="20" t="n">
        <f aca="false">IF(E17="","",E17+D17/1440)</f>
        <v>0.809027777777778</v>
      </c>
      <c r="G17" s="32" t="s">
        <v>453</v>
      </c>
      <c r="H17" s="32" t="s">
        <v>454</v>
      </c>
      <c r="I17" s="32" t="s">
        <v>455</v>
      </c>
      <c r="J17" s="32" t="s">
        <v>456</v>
      </c>
      <c r="K17" s="32" t="s">
        <v>457</v>
      </c>
      <c r="L17" s="32" t="s">
        <v>458</v>
      </c>
      <c r="M17" s="33" t="n">
        <v>0.809027777777778</v>
      </c>
      <c r="N17" s="21" t="n">
        <f aca="false">IF(OR(M17="",E17=""),"",ROUND((M17-E17)*1440,0))</f>
        <v>3</v>
      </c>
      <c r="O17" s="22" t="str">
        <f aca="false">IF(E17="","",IF(AND($K$5&lt;&gt;"",ROUND((F17-$K$5)*1440,0)&gt;0),"Passa do limite",IF(N17="","Previsto",IF(N17&gt;$K$7,"Atrasado",IF(N17&lt;-$K$7,"Adiantado","No horário")))))</f>
        <v>No horário</v>
      </c>
    </row>
    <row r="18" customFormat="false" ht="30" hidden="false" customHeight="true" outlineLevel="0" collapsed="false">
      <c r="B18" s="19" t="n">
        <v>5</v>
      </c>
      <c r="C18" s="32" t="s">
        <v>459</v>
      </c>
      <c r="D18" s="35" t="n">
        <v>5</v>
      </c>
      <c r="E18" s="20" t="n">
        <f aca="false">IF(OR(D18="",$K$4=""),"",$K$4+(SUM(D$14:D18)-D18)/1440)</f>
        <v>0.809027777777778</v>
      </c>
      <c r="F18" s="20" t="n">
        <f aca="false">IF(E18="","",E18+D18/1440)</f>
        <v>0.8125</v>
      </c>
      <c r="G18" s="32" t="s">
        <v>460</v>
      </c>
      <c r="H18" s="32" t="s">
        <v>461</v>
      </c>
      <c r="I18" s="32" t="s">
        <v>462</v>
      </c>
      <c r="J18" s="32" t="s">
        <v>463</v>
      </c>
      <c r="K18" s="32" t="s">
        <v>464</v>
      </c>
      <c r="L18" s="32" t="s">
        <v>465</v>
      </c>
      <c r="M18" s="33" t="n">
        <v>0.811111111111111</v>
      </c>
      <c r="N18" s="21" t="n">
        <f aca="false">IF(OR(M18="",E18=""),"",ROUND((M18-E18)*1440,0))</f>
        <v>3</v>
      </c>
      <c r="O18" s="22" t="str">
        <f aca="false">IF(E18="","",IF(AND($K$5&lt;&gt;"",ROUND((F18-$K$5)*1440,0)&gt;0),"Passa do limite",IF(N18="","Previsto",IF(N18&gt;$K$7,"Atrasado",IF(N18&lt;-$K$7,"Adiantado","No horário")))))</f>
        <v>No horário</v>
      </c>
    </row>
    <row r="19" customFormat="false" ht="30" hidden="false" customHeight="true" outlineLevel="0" collapsed="false">
      <c r="B19" s="19" t="n">
        <v>6</v>
      </c>
      <c r="C19" s="32" t="s">
        <v>466</v>
      </c>
      <c r="D19" s="35" t="n">
        <v>5</v>
      </c>
      <c r="E19" s="20" t="n">
        <f aca="false">IF(OR(D19="",$K$4=""),"",$K$4+(SUM(D$14:D19)-D19)/1440)</f>
        <v>0.8125</v>
      </c>
      <c r="F19" s="20" t="n">
        <f aca="false">IF(E19="","",E19+D19/1440)</f>
        <v>0.815972222222222</v>
      </c>
      <c r="G19" s="32" t="s">
        <v>467</v>
      </c>
      <c r="H19" s="32" t="s">
        <v>468</v>
      </c>
      <c r="I19" s="32" t="s">
        <v>469</v>
      </c>
      <c r="J19" s="32" t="s">
        <v>439</v>
      </c>
      <c r="K19" s="32" t="s">
        <v>470</v>
      </c>
      <c r="L19" s="32" t="s">
        <v>471</v>
      </c>
      <c r="M19" s="33" t="n">
        <v>0.814583333333333</v>
      </c>
      <c r="N19" s="21" t="n">
        <f aca="false">IF(OR(M19="",E19=""),"",ROUND((M19-E19)*1440,0))</f>
        <v>3</v>
      </c>
      <c r="O19" s="22" t="str">
        <f aca="false">IF(E19="","",IF(AND($K$5&lt;&gt;"",ROUND((F19-$K$5)*1440,0)&gt;0),"Passa do limite",IF(N19="","Previsto",IF(N19&gt;$K$7,"Atrasado",IF(N19&lt;-$K$7,"Adiantado","No horário")))))</f>
        <v>No horário</v>
      </c>
    </row>
    <row r="20" customFormat="false" ht="30" hidden="false" customHeight="true" outlineLevel="0" collapsed="false">
      <c r="B20" s="19" t="n">
        <v>7</v>
      </c>
      <c r="C20" s="32" t="s">
        <v>472</v>
      </c>
      <c r="D20" s="35" t="n">
        <v>40</v>
      </c>
      <c r="E20" s="20" t="n">
        <f aca="false">IF(OR(D20="",$K$4=""),"",$K$4+(SUM(D$14:D20)-D20)/1440)</f>
        <v>0.815972222222222</v>
      </c>
      <c r="F20" s="20" t="n">
        <f aca="false">IF(E20="","",E20+D20/1440)</f>
        <v>0.84375</v>
      </c>
      <c r="G20" s="32" t="s">
        <v>473</v>
      </c>
      <c r="H20" s="32" t="s">
        <v>474</v>
      </c>
      <c r="I20" s="32" t="s">
        <v>475</v>
      </c>
      <c r="J20" s="32" t="s">
        <v>476</v>
      </c>
      <c r="K20" s="32" t="s">
        <v>477</v>
      </c>
      <c r="L20" s="32" t="s">
        <v>478</v>
      </c>
      <c r="M20" s="33" t="n">
        <v>0.818055555555556</v>
      </c>
      <c r="N20" s="21" t="n">
        <f aca="false">IF(OR(M20="",E20=""),"",ROUND((M20-E20)*1440,0))</f>
        <v>3</v>
      </c>
      <c r="O20" s="22" t="str">
        <f aca="false">IF(E20="","",IF(AND($K$5&lt;&gt;"",ROUND((F20-$K$5)*1440,0)&gt;0),"Passa do limite",IF(N20="","Previsto",IF(N20&gt;$K$7,"Atrasado",IF(N20&lt;-$K$7,"Adiantado","No horário")))))</f>
        <v>No horário</v>
      </c>
    </row>
    <row r="21" customFormat="false" ht="30" hidden="false" customHeight="true" outlineLevel="0" collapsed="false">
      <c r="B21" s="19" t="n">
        <v>8</v>
      </c>
      <c r="C21" s="32" t="s">
        <v>479</v>
      </c>
      <c r="D21" s="35" t="n">
        <v>7</v>
      </c>
      <c r="E21" s="20" t="n">
        <f aca="false">IF(OR(D21="",$K$4=""),"",$K$4+(SUM(D$14:D21)-D21)/1440)</f>
        <v>0.84375</v>
      </c>
      <c r="F21" s="20" t="n">
        <f aca="false">IF(E21="","",E21+D21/1440)</f>
        <v>0.848611111111111</v>
      </c>
      <c r="G21" s="32" t="s">
        <v>473</v>
      </c>
      <c r="H21" s="32" t="s">
        <v>480</v>
      </c>
      <c r="I21" s="32" t="s">
        <v>481</v>
      </c>
      <c r="J21" s="32" t="s">
        <v>107</v>
      </c>
      <c r="K21" s="32" t="s">
        <v>482</v>
      </c>
      <c r="L21" s="32" t="s">
        <v>483</v>
      </c>
      <c r="M21" s="33" t="n">
        <v>0.847916666666667</v>
      </c>
      <c r="N21" s="21" t="n">
        <f aca="false">IF(OR(M21="",E21=""),"",ROUND((M21-E21)*1440,0))</f>
        <v>6</v>
      </c>
      <c r="O21" s="22" t="str">
        <f aca="false">IF(E21="","",IF(AND($K$5&lt;&gt;"",ROUND((F21-$K$5)*1440,0)&gt;0),"Passa do limite",IF(N21="","Previsto",IF(N21&gt;$K$7,"Atrasado",IF(N21&lt;-$K$7,"Adiantado","No horário")))))</f>
        <v>Atrasado</v>
      </c>
    </row>
    <row r="22" customFormat="false" ht="30" hidden="false" customHeight="true" outlineLevel="0" collapsed="false">
      <c r="B22" s="19" t="n">
        <v>9</v>
      </c>
      <c r="C22" s="32" t="s">
        <v>484</v>
      </c>
      <c r="D22" s="35" t="n">
        <v>5</v>
      </c>
      <c r="E22" s="20" t="n">
        <f aca="false">IF(OR(D22="",$K$4=""),"",$K$4+(SUM(D$14:D22)-D22)/1440)</f>
        <v>0.848611111111111</v>
      </c>
      <c r="F22" s="20" t="n">
        <f aca="false">IF(E22="","",E22+D22/1440)</f>
        <v>0.852083333333333</v>
      </c>
      <c r="G22" s="32" t="s">
        <v>460</v>
      </c>
      <c r="H22" s="32" t="s">
        <v>485</v>
      </c>
      <c r="I22" s="32" t="s">
        <v>486</v>
      </c>
      <c r="J22" s="32" t="s">
        <v>463</v>
      </c>
      <c r="K22" s="32" t="s">
        <v>464</v>
      </c>
      <c r="L22" s="32" t="s">
        <v>487</v>
      </c>
      <c r="M22" s="33" t="n">
        <v>0.852777777777778</v>
      </c>
      <c r="N22" s="21" t="n">
        <f aca="false">IF(OR(M22="",E22=""),"",ROUND((M22-E22)*1440,0))</f>
        <v>6</v>
      </c>
      <c r="O22" s="22" t="str">
        <f aca="false">IF(E22="","",IF(AND($K$5&lt;&gt;"",ROUND((F22-$K$5)*1440,0)&gt;0),"Passa do limite",IF(N22="","Previsto",IF(N22&gt;$K$7,"Atrasado",IF(N22&lt;-$K$7,"Adiantado","No horário")))))</f>
        <v>Atrasado</v>
      </c>
    </row>
    <row r="23" customFormat="false" ht="30" hidden="false" customHeight="true" outlineLevel="0" collapsed="false">
      <c r="B23" s="19" t="n">
        <v>10</v>
      </c>
      <c r="C23" s="32" t="s">
        <v>488</v>
      </c>
      <c r="D23" s="35" t="n">
        <v>3</v>
      </c>
      <c r="E23" s="20" t="n">
        <f aca="false">IF(OR(D23="",$K$4=""),"",$K$4+(SUM(D$14:D23)-D23)/1440)</f>
        <v>0.852083333333333</v>
      </c>
      <c r="F23" s="20" t="n">
        <f aca="false">IF(E23="","",E23+D23/1440)</f>
        <v>0.854166666666667</v>
      </c>
      <c r="G23" s="32" t="s">
        <v>473</v>
      </c>
      <c r="H23" s="32" t="s">
        <v>489</v>
      </c>
      <c r="I23" s="32" t="s">
        <v>490</v>
      </c>
      <c r="J23" s="32" t="s">
        <v>491</v>
      </c>
      <c r="K23" s="32" t="s">
        <v>492</v>
      </c>
      <c r="L23" s="32" t="s">
        <v>109</v>
      </c>
      <c r="M23" s="33" t="n">
        <v>0.855555555555556</v>
      </c>
      <c r="N23" s="21" t="n">
        <f aca="false">IF(OR(M23="",E23=""),"",ROUND((M23-E23)*1440,0))</f>
        <v>5</v>
      </c>
      <c r="O23" s="22" t="str">
        <f aca="false">IF(E23="","",IF(AND($K$5&lt;&gt;"",ROUND((F23-$K$5)*1440,0)&gt;0),"Passa do limite",IF(N23="","Previsto",IF(N23&gt;$K$7,"Atrasado",IF(N23&lt;-$K$7,"Adiantado","No horário")))))</f>
        <v>Atrasado</v>
      </c>
    </row>
    <row r="24" customFormat="false" ht="30" hidden="false" customHeight="true" outlineLevel="0" collapsed="false">
      <c r="B24" s="19" t="n">
        <v>11</v>
      </c>
      <c r="C24" s="32"/>
      <c r="D24" s="35"/>
      <c r="E24" s="20" t="str">
        <f aca="false">IF(OR(D24="",$K$4=""),"",$K$4+(SUM(D$14:D24)-D24)/1440)</f>
        <v/>
      </c>
      <c r="F24" s="20" t="str">
        <f aca="false">IF(E24="","",E24+D24/1440)</f>
        <v/>
      </c>
      <c r="G24" s="32"/>
      <c r="H24" s="32"/>
      <c r="I24" s="32"/>
      <c r="J24" s="32"/>
      <c r="K24" s="32"/>
      <c r="L24" s="32"/>
      <c r="M24" s="33"/>
      <c r="N24" s="21" t="str">
        <f aca="false">IF(OR(M24="",E24=""),"",ROUND((M24-E24)*1440,0))</f>
        <v/>
      </c>
      <c r="O24" s="22" t="str">
        <f aca="false">IF(E24="","",IF(AND($K$5&lt;&gt;"",ROUND((F24-$K$5)*1440,0)&gt;0),"Passa do limite",IF(N24="","Previsto",IF(N24&gt;$K$7,"Atrasado",IF(N24&lt;-$K$7,"Adiantado","No horário")))))</f>
        <v/>
      </c>
    </row>
    <row r="25" customFormat="false" ht="30" hidden="false" customHeight="true" outlineLevel="0" collapsed="false">
      <c r="B25" s="19" t="n">
        <v>12</v>
      </c>
      <c r="C25" s="32"/>
      <c r="D25" s="35"/>
      <c r="E25" s="20" t="str">
        <f aca="false">IF(OR(D25="",$K$4=""),"",$K$4+(SUM(D$14:D25)-D25)/1440)</f>
        <v/>
      </c>
      <c r="F25" s="20" t="str">
        <f aca="false">IF(E25="","",E25+D25/1440)</f>
        <v/>
      </c>
      <c r="G25" s="32"/>
      <c r="H25" s="32"/>
      <c r="I25" s="32"/>
      <c r="J25" s="32"/>
      <c r="K25" s="32"/>
      <c r="L25" s="32"/>
      <c r="M25" s="33"/>
      <c r="N25" s="21" t="str">
        <f aca="false">IF(OR(M25="",E25=""),"",ROUND((M25-E25)*1440,0))</f>
        <v/>
      </c>
      <c r="O25" s="22" t="str">
        <f aca="false">IF(E25="","",IF(AND($K$5&lt;&gt;"",ROUND((F25-$K$5)*1440,0)&gt;0),"Passa do limite",IF(N25="","Previsto",IF(N25&gt;$K$7,"Atrasado",IF(N25&lt;-$K$7,"Adiantado","No horário")))))</f>
        <v/>
      </c>
    </row>
    <row r="26" customFormat="false" ht="30" hidden="false" customHeight="true" outlineLevel="0" collapsed="false">
      <c r="B26" s="19" t="n">
        <v>13</v>
      </c>
      <c r="C26" s="32"/>
      <c r="D26" s="35"/>
      <c r="E26" s="20" t="str">
        <f aca="false">IF(OR(D26="",$K$4=""),"",$K$4+(SUM(D$14:D26)-D26)/1440)</f>
        <v/>
      </c>
      <c r="F26" s="20" t="str">
        <f aca="false">IF(E26="","",E26+D26/1440)</f>
        <v/>
      </c>
      <c r="G26" s="32"/>
      <c r="H26" s="32"/>
      <c r="I26" s="32"/>
      <c r="J26" s="32"/>
      <c r="K26" s="32"/>
      <c r="L26" s="32"/>
      <c r="M26" s="33"/>
      <c r="N26" s="21" t="str">
        <f aca="false">IF(OR(M26="",E26=""),"",ROUND((M26-E26)*1440,0))</f>
        <v/>
      </c>
      <c r="O26" s="22" t="str">
        <f aca="false">IF(E26="","",IF(AND($K$5&lt;&gt;"",ROUND((F26-$K$5)*1440,0)&gt;0),"Passa do limite",IF(N26="","Previsto",IF(N26&gt;$K$7,"Atrasado",IF(N26&lt;-$K$7,"Adiantado","No horário")))))</f>
        <v/>
      </c>
    </row>
    <row r="27" customFormat="false" ht="30" hidden="false" customHeight="true" outlineLevel="0" collapsed="false">
      <c r="B27" s="19" t="n">
        <v>14</v>
      </c>
      <c r="C27" s="32"/>
      <c r="D27" s="35"/>
      <c r="E27" s="20" t="str">
        <f aca="false">IF(OR(D27="",$K$4=""),"",$K$4+(SUM(D$14:D27)-D27)/1440)</f>
        <v/>
      </c>
      <c r="F27" s="20" t="str">
        <f aca="false">IF(E27="","",E27+D27/1440)</f>
        <v/>
      </c>
      <c r="G27" s="32"/>
      <c r="H27" s="32"/>
      <c r="I27" s="32"/>
      <c r="J27" s="32"/>
      <c r="K27" s="32"/>
      <c r="L27" s="32"/>
      <c r="M27" s="33"/>
      <c r="N27" s="21" t="str">
        <f aca="false">IF(OR(M27="",E27=""),"",ROUND((M27-E27)*1440,0))</f>
        <v/>
      </c>
      <c r="O27" s="22" t="str">
        <f aca="false">IF(E27="","",IF(AND($K$5&lt;&gt;"",ROUND((F27-$K$5)*1440,0)&gt;0),"Passa do limite",IF(N27="","Previsto",IF(N27&gt;$K$7,"Atrasado",IF(N27&lt;-$K$7,"Adiantado","No horário")))))</f>
        <v/>
      </c>
    </row>
    <row r="28" customFormat="false" ht="30" hidden="false" customHeight="true" outlineLevel="0" collapsed="false">
      <c r="B28" s="19" t="n">
        <v>15</v>
      </c>
      <c r="C28" s="32"/>
      <c r="D28" s="35"/>
      <c r="E28" s="20" t="str">
        <f aca="false">IF(OR(D28="",$K$4=""),"",$K$4+(SUM(D$14:D28)-D28)/1440)</f>
        <v/>
      </c>
      <c r="F28" s="20" t="str">
        <f aca="false">IF(E28="","",E28+D28/1440)</f>
        <v/>
      </c>
      <c r="G28" s="32"/>
      <c r="H28" s="32"/>
      <c r="I28" s="32"/>
      <c r="J28" s="32"/>
      <c r="K28" s="32"/>
      <c r="L28" s="32"/>
      <c r="M28" s="33"/>
      <c r="N28" s="21" t="str">
        <f aca="false">IF(OR(M28="",E28=""),"",ROUND((M28-E28)*1440,0))</f>
        <v/>
      </c>
      <c r="O28" s="22" t="str">
        <f aca="false">IF(E28="","",IF(AND($K$5&lt;&gt;"",ROUND((F28-$K$5)*1440,0)&gt;0),"Passa do limite",IF(N28="","Previsto",IF(N28&gt;$K$7,"Atrasado",IF(N28&lt;-$K$7,"Adiantado","No horário")))))</f>
        <v/>
      </c>
    </row>
    <row r="29" customFormat="false" ht="30" hidden="false" customHeight="true" outlineLevel="0" collapsed="false">
      <c r="B29" s="19" t="n">
        <v>16</v>
      </c>
      <c r="C29" s="32"/>
      <c r="D29" s="35"/>
      <c r="E29" s="20" t="str">
        <f aca="false">IF(OR(D29="",$K$4=""),"",$K$4+(SUM(D$14:D29)-D29)/1440)</f>
        <v/>
      </c>
      <c r="F29" s="20" t="str">
        <f aca="false">IF(E29="","",E29+D29/1440)</f>
        <v/>
      </c>
      <c r="G29" s="32"/>
      <c r="H29" s="32"/>
      <c r="I29" s="32"/>
      <c r="J29" s="32"/>
      <c r="K29" s="32"/>
      <c r="L29" s="32"/>
      <c r="M29" s="33"/>
      <c r="N29" s="21" t="str">
        <f aca="false">IF(OR(M29="",E29=""),"",ROUND((M29-E29)*1440,0))</f>
        <v/>
      </c>
      <c r="O29" s="22" t="str">
        <f aca="false">IF(E29="","",IF(AND($K$5&lt;&gt;"",ROUND((F29-$K$5)*1440,0)&gt;0),"Passa do limite",IF(N29="","Previsto",IF(N29&gt;$K$7,"Atrasado",IF(N29&lt;-$K$7,"Adiantado","No horário")))))</f>
        <v/>
      </c>
    </row>
    <row r="30" customFormat="false" ht="30" hidden="false" customHeight="true" outlineLevel="0" collapsed="false">
      <c r="B30" s="19" t="n">
        <v>17</v>
      </c>
      <c r="C30" s="32"/>
      <c r="D30" s="35"/>
      <c r="E30" s="20" t="str">
        <f aca="false">IF(OR(D30="",$K$4=""),"",$K$4+(SUM(D$14:D30)-D30)/1440)</f>
        <v/>
      </c>
      <c r="F30" s="20" t="str">
        <f aca="false">IF(E30="","",E30+D30/1440)</f>
        <v/>
      </c>
      <c r="G30" s="32"/>
      <c r="H30" s="32"/>
      <c r="I30" s="32"/>
      <c r="J30" s="32"/>
      <c r="K30" s="32"/>
      <c r="L30" s="32"/>
      <c r="M30" s="33"/>
      <c r="N30" s="21" t="str">
        <f aca="false">IF(OR(M30="",E30=""),"",ROUND((M30-E30)*1440,0))</f>
        <v/>
      </c>
      <c r="O30" s="22" t="str">
        <f aca="false">IF(E30="","",IF(AND($K$5&lt;&gt;"",ROUND((F30-$K$5)*1440,0)&gt;0),"Passa do limite",IF(N30="","Previsto",IF(N30&gt;$K$7,"Atrasado",IF(N30&lt;-$K$7,"Adiantado","No horário")))))</f>
        <v/>
      </c>
    </row>
    <row r="31" customFormat="false" ht="30" hidden="false" customHeight="true" outlineLevel="0" collapsed="false">
      <c r="B31" s="19" t="n">
        <v>18</v>
      </c>
      <c r="C31" s="32"/>
      <c r="D31" s="35"/>
      <c r="E31" s="20" t="str">
        <f aca="false">IF(OR(D31="",$K$4=""),"",$K$4+(SUM(D$14:D31)-D31)/1440)</f>
        <v/>
      </c>
      <c r="F31" s="20" t="str">
        <f aca="false">IF(E31="","",E31+D31/1440)</f>
        <v/>
      </c>
      <c r="G31" s="32"/>
      <c r="H31" s="32"/>
      <c r="I31" s="32"/>
      <c r="J31" s="32"/>
      <c r="K31" s="32"/>
      <c r="L31" s="32"/>
      <c r="M31" s="33"/>
      <c r="N31" s="21" t="str">
        <f aca="false">IF(OR(M31="",E31=""),"",ROUND((M31-E31)*1440,0))</f>
        <v/>
      </c>
      <c r="O31" s="22" t="str">
        <f aca="false">IF(E31="","",IF(AND($K$5&lt;&gt;"",ROUND((F31-$K$5)*1440,0)&gt;0),"Passa do limite",IF(N31="","Previsto",IF(N31&gt;$K$7,"Atrasado",IF(N31&lt;-$K$7,"Adiantado","No horário")))))</f>
        <v/>
      </c>
    </row>
    <row r="32" customFormat="false" ht="30" hidden="false" customHeight="true" outlineLevel="0" collapsed="false">
      <c r="B32" s="19" t="n">
        <v>19</v>
      </c>
      <c r="C32" s="32"/>
      <c r="D32" s="35"/>
      <c r="E32" s="20" t="str">
        <f aca="false">IF(OR(D32="",$K$4=""),"",$K$4+(SUM(D$14:D32)-D32)/1440)</f>
        <v/>
      </c>
      <c r="F32" s="20" t="str">
        <f aca="false">IF(E32="","",E32+D32/1440)</f>
        <v/>
      </c>
      <c r="G32" s="32"/>
      <c r="H32" s="32"/>
      <c r="I32" s="32"/>
      <c r="J32" s="32"/>
      <c r="K32" s="32"/>
      <c r="L32" s="32"/>
      <c r="M32" s="33"/>
      <c r="N32" s="21" t="str">
        <f aca="false">IF(OR(M32="",E32=""),"",ROUND((M32-E32)*1440,0))</f>
        <v/>
      </c>
      <c r="O32" s="22" t="str">
        <f aca="false">IF(E32="","",IF(AND($K$5&lt;&gt;"",ROUND((F32-$K$5)*1440,0)&gt;0),"Passa do limite",IF(N32="","Previsto",IF(N32&gt;$K$7,"Atrasado",IF(N32&lt;-$K$7,"Adiantado","No horário")))))</f>
        <v/>
      </c>
    </row>
    <row r="33" customFormat="false" ht="30" hidden="false" customHeight="true" outlineLevel="0" collapsed="false">
      <c r="B33" s="19" t="n">
        <v>20</v>
      </c>
      <c r="C33" s="32"/>
      <c r="D33" s="35"/>
      <c r="E33" s="20" t="str">
        <f aca="false">IF(OR(D33="",$K$4=""),"",$K$4+(SUM(D$14:D33)-D33)/1440)</f>
        <v/>
      </c>
      <c r="F33" s="20" t="str">
        <f aca="false">IF(E33="","",E33+D33/1440)</f>
        <v/>
      </c>
      <c r="G33" s="32"/>
      <c r="H33" s="32"/>
      <c r="I33" s="32"/>
      <c r="J33" s="32"/>
      <c r="K33" s="32"/>
      <c r="L33" s="32"/>
      <c r="M33" s="33"/>
      <c r="N33" s="21" t="str">
        <f aca="false">IF(OR(M33="",E33=""),"",ROUND((M33-E33)*1440,0))</f>
        <v/>
      </c>
      <c r="O33" s="22" t="str">
        <f aca="false">IF(E33="","",IF(AND($K$5&lt;&gt;"",ROUND((F33-$K$5)*1440,0)&gt;0),"Passa do limite",IF(N33="","Previsto",IF(N33&gt;$K$7,"Atrasado",IF(N33&lt;-$K$7,"Adiantado","No horário")))))</f>
        <v/>
      </c>
    </row>
    <row r="34" customFormat="false" ht="30" hidden="false" customHeight="true" outlineLevel="0" collapsed="false">
      <c r="B34" s="19" t="n">
        <v>21</v>
      </c>
      <c r="C34" s="32"/>
      <c r="D34" s="35"/>
      <c r="E34" s="20" t="str">
        <f aca="false">IF(OR(D34="",$K$4=""),"",$K$4+(SUM(D$14:D34)-D34)/1440)</f>
        <v/>
      </c>
      <c r="F34" s="20" t="str">
        <f aca="false">IF(E34="","",E34+D34/1440)</f>
        <v/>
      </c>
      <c r="G34" s="32"/>
      <c r="H34" s="32"/>
      <c r="I34" s="32"/>
      <c r="J34" s="32"/>
      <c r="K34" s="32"/>
      <c r="L34" s="32"/>
      <c r="M34" s="33"/>
      <c r="N34" s="21" t="str">
        <f aca="false">IF(OR(M34="",E34=""),"",ROUND((M34-E34)*1440,0))</f>
        <v/>
      </c>
      <c r="O34" s="22" t="str">
        <f aca="false">IF(E34="","",IF(AND($K$5&lt;&gt;"",ROUND((F34-$K$5)*1440,0)&gt;0),"Passa do limite",IF(N34="","Previsto",IF(N34&gt;$K$7,"Atrasado",IF(N34&lt;-$K$7,"Adiantado","No horário")))))</f>
        <v/>
      </c>
    </row>
    <row r="35" customFormat="false" ht="30" hidden="false" customHeight="true" outlineLevel="0" collapsed="false">
      <c r="B35" s="19" t="n">
        <v>22</v>
      </c>
      <c r="C35" s="32"/>
      <c r="D35" s="35"/>
      <c r="E35" s="20" t="str">
        <f aca="false">IF(OR(D35="",$K$4=""),"",$K$4+(SUM(D$14:D35)-D35)/1440)</f>
        <v/>
      </c>
      <c r="F35" s="20" t="str">
        <f aca="false">IF(E35="","",E35+D35/1440)</f>
        <v/>
      </c>
      <c r="G35" s="32"/>
      <c r="H35" s="32"/>
      <c r="I35" s="32"/>
      <c r="J35" s="32"/>
      <c r="K35" s="32"/>
      <c r="L35" s="32"/>
      <c r="M35" s="33"/>
      <c r="N35" s="21" t="str">
        <f aca="false">IF(OR(M35="",E35=""),"",ROUND((M35-E35)*1440,0))</f>
        <v/>
      </c>
      <c r="O35" s="22" t="str">
        <f aca="false">IF(E35="","",IF(AND($K$5&lt;&gt;"",ROUND((F35-$K$5)*1440,0)&gt;0),"Passa do limite",IF(N35="","Previsto",IF(N35&gt;$K$7,"Atrasado",IF(N35&lt;-$K$7,"Adiantado","No horário")))))</f>
        <v/>
      </c>
    </row>
    <row r="36" customFormat="false" ht="30" hidden="false" customHeight="true" outlineLevel="0" collapsed="false">
      <c r="B36" s="19" t="n">
        <v>23</v>
      </c>
      <c r="C36" s="32"/>
      <c r="D36" s="35"/>
      <c r="E36" s="20" t="str">
        <f aca="false">IF(OR(D36="",$K$4=""),"",$K$4+(SUM(D$14:D36)-D36)/1440)</f>
        <v/>
      </c>
      <c r="F36" s="20" t="str">
        <f aca="false">IF(E36="","",E36+D36/1440)</f>
        <v/>
      </c>
      <c r="G36" s="32"/>
      <c r="H36" s="32"/>
      <c r="I36" s="32"/>
      <c r="J36" s="32"/>
      <c r="K36" s="32"/>
      <c r="L36" s="32"/>
      <c r="M36" s="33"/>
      <c r="N36" s="21" t="str">
        <f aca="false">IF(OR(M36="",E36=""),"",ROUND((M36-E36)*1440,0))</f>
        <v/>
      </c>
      <c r="O36" s="22" t="str">
        <f aca="false">IF(E36="","",IF(AND($K$5&lt;&gt;"",ROUND((F36-$K$5)*1440,0)&gt;0),"Passa do limite",IF(N36="","Previsto",IF(N36&gt;$K$7,"Atrasado",IF(N36&lt;-$K$7,"Adiantado","No horário")))))</f>
        <v/>
      </c>
    </row>
    <row r="37" customFormat="false" ht="30" hidden="false" customHeight="true" outlineLevel="0" collapsed="false">
      <c r="B37" s="19" t="n">
        <v>24</v>
      </c>
      <c r="C37" s="32"/>
      <c r="D37" s="35"/>
      <c r="E37" s="20" t="str">
        <f aca="false">IF(OR(D37="",$K$4=""),"",$K$4+(SUM(D$14:D37)-D37)/1440)</f>
        <v/>
      </c>
      <c r="F37" s="20" t="str">
        <f aca="false">IF(E37="","",E37+D37/1440)</f>
        <v/>
      </c>
      <c r="G37" s="32"/>
      <c r="H37" s="32"/>
      <c r="I37" s="32"/>
      <c r="J37" s="32"/>
      <c r="K37" s="32"/>
      <c r="L37" s="32"/>
      <c r="M37" s="33"/>
      <c r="N37" s="21" t="str">
        <f aca="false">IF(OR(M37="",E37=""),"",ROUND((M37-E37)*1440,0))</f>
        <v/>
      </c>
      <c r="O37" s="22" t="str">
        <f aca="false">IF(E37="","",IF(AND($K$5&lt;&gt;"",ROUND((F37-$K$5)*1440,0)&gt;0),"Passa do limite",IF(N37="","Previsto",IF(N37&gt;$K$7,"Atrasado",IF(N37&lt;-$K$7,"Adiantado","No horário")))))</f>
        <v/>
      </c>
    </row>
    <row r="38" customFormat="false" ht="30" hidden="false" customHeight="true" outlineLevel="0" collapsed="false">
      <c r="B38" s="19" t="n">
        <v>25</v>
      </c>
      <c r="C38" s="32"/>
      <c r="D38" s="35"/>
      <c r="E38" s="20" t="str">
        <f aca="false">IF(OR(D38="",$K$4=""),"",$K$4+(SUM(D$14:D38)-D38)/1440)</f>
        <v/>
      </c>
      <c r="F38" s="20" t="str">
        <f aca="false">IF(E38="","",E38+D38/1440)</f>
        <v/>
      </c>
      <c r="G38" s="32"/>
      <c r="H38" s="32"/>
      <c r="I38" s="32"/>
      <c r="J38" s="32"/>
      <c r="K38" s="32"/>
      <c r="L38" s="32"/>
      <c r="M38" s="33"/>
      <c r="N38" s="21" t="str">
        <f aca="false">IF(OR(M38="",E38=""),"",ROUND((M38-E38)*1440,0))</f>
        <v/>
      </c>
      <c r="O38" s="22" t="str">
        <f aca="false">IF(E38="","",IF(AND($K$5&lt;&gt;"",ROUND((F38-$K$5)*1440,0)&gt;0),"Passa do limite",IF(N38="","Previsto",IF(N38&gt;$K$7,"Atrasado",IF(N38&lt;-$K$7,"Adiantado","No horário")))))</f>
        <v/>
      </c>
    </row>
    <row r="39" customFormat="false" ht="30" hidden="false" customHeight="true" outlineLevel="0" collapsed="false">
      <c r="B39" s="19" t="n">
        <v>26</v>
      </c>
      <c r="C39" s="32"/>
      <c r="D39" s="35"/>
      <c r="E39" s="20" t="str">
        <f aca="false">IF(OR(D39="",$K$4=""),"",$K$4+(SUM(D$14:D39)-D39)/1440)</f>
        <v/>
      </c>
      <c r="F39" s="20" t="str">
        <f aca="false">IF(E39="","",E39+D39/1440)</f>
        <v/>
      </c>
      <c r="G39" s="32"/>
      <c r="H39" s="32"/>
      <c r="I39" s="32"/>
      <c r="J39" s="32"/>
      <c r="K39" s="32"/>
      <c r="L39" s="32"/>
      <c r="M39" s="33"/>
      <c r="N39" s="21" t="str">
        <f aca="false">IF(OR(M39="",E39=""),"",ROUND((M39-E39)*1440,0))</f>
        <v/>
      </c>
      <c r="O39" s="22" t="str">
        <f aca="false">IF(E39="","",IF(AND($K$5&lt;&gt;"",ROUND((F39-$K$5)*1440,0)&gt;0),"Passa do limite",IF(N39="","Previsto",IF(N39&gt;$K$7,"Atrasado",IF(N39&lt;-$K$7,"Adiantado","No horário")))))</f>
        <v/>
      </c>
    </row>
    <row r="40" customFormat="false" ht="30" hidden="false" customHeight="true" outlineLevel="0" collapsed="false">
      <c r="B40" s="19" t="n">
        <v>27</v>
      </c>
      <c r="C40" s="32"/>
      <c r="D40" s="35"/>
      <c r="E40" s="20" t="str">
        <f aca="false">IF(OR(D40="",$K$4=""),"",$K$4+(SUM(D$14:D40)-D40)/1440)</f>
        <v/>
      </c>
      <c r="F40" s="20" t="str">
        <f aca="false">IF(E40="","",E40+D40/1440)</f>
        <v/>
      </c>
      <c r="G40" s="32"/>
      <c r="H40" s="32"/>
      <c r="I40" s="32"/>
      <c r="J40" s="32"/>
      <c r="K40" s="32"/>
      <c r="L40" s="32"/>
      <c r="M40" s="33"/>
      <c r="N40" s="21" t="str">
        <f aca="false">IF(OR(M40="",E40=""),"",ROUND((M40-E40)*1440,0))</f>
        <v/>
      </c>
      <c r="O40" s="22" t="str">
        <f aca="false">IF(E40="","",IF(AND($K$5&lt;&gt;"",ROUND((F40-$K$5)*1440,0)&gt;0),"Passa do limite",IF(N40="","Previsto",IF(N40&gt;$K$7,"Atrasado",IF(N40&lt;-$K$7,"Adiantado","No horário")))))</f>
        <v/>
      </c>
    </row>
    <row r="41" customFormat="false" ht="30" hidden="false" customHeight="true" outlineLevel="0" collapsed="false">
      <c r="B41" s="19" t="n">
        <v>28</v>
      </c>
      <c r="C41" s="32"/>
      <c r="D41" s="35"/>
      <c r="E41" s="20" t="str">
        <f aca="false">IF(OR(D41="",$K$4=""),"",$K$4+(SUM(D$14:D41)-D41)/1440)</f>
        <v/>
      </c>
      <c r="F41" s="20" t="str">
        <f aca="false">IF(E41="","",E41+D41/1440)</f>
        <v/>
      </c>
      <c r="G41" s="32"/>
      <c r="H41" s="32"/>
      <c r="I41" s="32"/>
      <c r="J41" s="32"/>
      <c r="K41" s="32"/>
      <c r="L41" s="32"/>
      <c r="M41" s="33"/>
      <c r="N41" s="21" t="str">
        <f aca="false">IF(OR(M41="",E41=""),"",ROUND((M41-E41)*1440,0))</f>
        <v/>
      </c>
      <c r="O41" s="22" t="str">
        <f aca="false">IF(E41="","",IF(AND($K$5&lt;&gt;"",ROUND((F41-$K$5)*1440,0)&gt;0),"Passa do limite",IF(N41="","Previsto",IF(N41&gt;$K$7,"Atrasado",IF(N41&lt;-$K$7,"Adiantado","No horário")))))</f>
        <v/>
      </c>
    </row>
    <row r="42" customFormat="false" ht="30" hidden="false" customHeight="true" outlineLevel="0" collapsed="false">
      <c r="B42" s="19" t="n">
        <v>29</v>
      </c>
      <c r="C42" s="32"/>
      <c r="D42" s="35"/>
      <c r="E42" s="20" t="str">
        <f aca="false">IF(OR(D42="",$K$4=""),"",$K$4+(SUM(D$14:D42)-D42)/1440)</f>
        <v/>
      </c>
      <c r="F42" s="20" t="str">
        <f aca="false">IF(E42="","",E42+D42/1440)</f>
        <v/>
      </c>
      <c r="G42" s="32"/>
      <c r="H42" s="32"/>
      <c r="I42" s="32"/>
      <c r="J42" s="32"/>
      <c r="K42" s="32"/>
      <c r="L42" s="32"/>
      <c r="M42" s="33"/>
      <c r="N42" s="21" t="str">
        <f aca="false">IF(OR(M42="",E42=""),"",ROUND((M42-E42)*1440,0))</f>
        <v/>
      </c>
      <c r="O42" s="22" t="str">
        <f aca="false">IF(E42="","",IF(AND($K$5&lt;&gt;"",ROUND((F42-$K$5)*1440,0)&gt;0),"Passa do limite",IF(N42="","Previsto",IF(N42&gt;$K$7,"Atrasado",IF(N42&lt;-$K$7,"Adiantado","No horário")))))</f>
        <v/>
      </c>
    </row>
    <row r="43" customFormat="false" ht="30" hidden="false" customHeight="true" outlineLevel="0" collapsed="false">
      <c r="B43" s="19" t="n">
        <v>30</v>
      </c>
      <c r="C43" s="32"/>
      <c r="D43" s="35"/>
      <c r="E43" s="20" t="str">
        <f aca="false">IF(OR(D43="",$K$4=""),"",$K$4+(SUM(D$14:D43)-D43)/1440)</f>
        <v/>
      </c>
      <c r="F43" s="20" t="str">
        <f aca="false">IF(E43="","",E43+D43/1440)</f>
        <v/>
      </c>
      <c r="G43" s="32"/>
      <c r="H43" s="32"/>
      <c r="I43" s="32"/>
      <c r="J43" s="32"/>
      <c r="K43" s="32"/>
      <c r="L43" s="32"/>
      <c r="M43" s="33"/>
      <c r="N43" s="21" t="str">
        <f aca="false">IF(OR(M43="",E43=""),"",ROUND((M43-E43)*1440,0))</f>
        <v/>
      </c>
      <c r="O43" s="22" t="str">
        <f aca="false">IF(E43="","",IF(AND($K$5&lt;&gt;"",ROUND((F43-$K$5)*1440,0)&gt;0),"Passa do limite",IF(N43="","Previsto",IF(N43&gt;$K$7,"Atrasado",IF(N43&lt;-$K$7,"Adiantado","No horário")))))</f>
        <v/>
      </c>
    </row>
    <row r="45" customFormat="false" ht="21.75" hidden="false" customHeight="true" outlineLevel="0" collapsed="false">
      <c r="B45" s="13" t="s">
        <v>113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 customFormat="false" ht="19.5" hidden="false" customHeight="true" outlineLevel="0" collapsed="false">
      <c r="B46" s="23" t="s">
        <v>114</v>
      </c>
      <c r="C46" s="23"/>
      <c r="D46" s="23"/>
      <c r="E46" s="23"/>
      <c r="F46" s="22" t="n">
        <f aca="false">COUNTA(C14:C43)</f>
        <v>10</v>
      </c>
      <c r="G46" s="22"/>
    </row>
    <row r="47" customFormat="false" ht="19.5" hidden="false" customHeight="true" outlineLevel="0" collapsed="false">
      <c r="B47" s="23" t="s">
        <v>115</v>
      </c>
      <c r="C47" s="23"/>
      <c r="D47" s="23"/>
      <c r="E47" s="23"/>
      <c r="F47" s="22" t="n">
        <f aca="false">SUM(D14:D43)</f>
        <v>90</v>
      </c>
      <c r="G47" s="22"/>
    </row>
    <row r="48" customFormat="false" ht="19.5" hidden="false" customHeight="true" outlineLevel="0" collapsed="false">
      <c r="B48" s="23" t="s">
        <v>116</v>
      </c>
      <c r="C48" s="23"/>
      <c r="D48" s="23"/>
      <c r="E48" s="23"/>
      <c r="F48" s="24" t="n">
        <f aca="false">IF(OR($K$4="",F47=0),"",$K$4+F47/1440)</f>
        <v>0.854166666666667</v>
      </c>
      <c r="G48" s="24"/>
    </row>
    <row r="49" customFormat="false" ht="19.5" hidden="false" customHeight="true" outlineLevel="0" collapsed="false">
      <c r="B49" s="23" t="s">
        <v>117</v>
      </c>
      <c r="C49" s="23"/>
      <c r="D49" s="23"/>
      <c r="E49" s="23"/>
      <c r="F49" s="21" t="n">
        <f aca="false">IF(OR(F48="",$K$5=""),"",ROUND(($K$5-F48)*1440,0))</f>
        <v>0</v>
      </c>
      <c r="G49" s="21"/>
    </row>
    <row r="50" customFormat="false" ht="19.5" hidden="false" customHeight="true" outlineLevel="0" collapsed="false">
      <c r="B50" s="23" t="s">
        <v>118</v>
      </c>
      <c r="C50" s="23"/>
      <c r="D50" s="23"/>
      <c r="E50" s="23"/>
      <c r="F50" s="22" t="n">
        <f aca="false">COUNTIF(O14:O43,"Atrasado")</f>
        <v>3</v>
      </c>
      <c r="G50" s="22"/>
    </row>
    <row r="51" customFormat="false" ht="19.5" hidden="false" customHeight="true" outlineLevel="0" collapsed="false">
      <c r="B51" s="23" t="s">
        <v>119</v>
      </c>
      <c r="C51" s="23"/>
      <c r="D51" s="23"/>
      <c r="E51" s="23"/>
      <c r="F51" s="21" t="n">
        <f aca="false">IF(COUNT(N14:N43)=0,"",MAX(N14:N43))</f>
        <v>6</v>
      </c>
      <c r="G51" s="21"/>
    </row>
    <row r="52" customFormat="false" ht="21.75" hidden="false" customHeight="true" outlineLevel="0" collapsed="false">
      <c r="B52" s="23" t="s">
        <v>120</v>
      </c>
      <c r="C52" s="23"/>
      <c r="D52" s="23"/>
      <c r="E52" s="23"/>
      <c r="F52" s="25" t="str">
        <f aca="false">IF(OR($K$4="",$K$5=""),"Informe a hora de início e a hora limite",IF(F47=0,"Liste os momentos com a duração",IF(F49&lt;0,"O roteiro passa "&amp;-F49&amp;" min da hora limite: combine com quem conduz o que sai",IF(F49&lt;$K$6,"Folga de "&amp;F49&amp;" min, abaixo da mínima de "&amp;$K$6&amp;" min",IF(F50&gt;0,"Houve momentos atrasados: veja na coluna Desvio onde o tempo se perdeu","OK")))))</f>
        <v>Folga de 0 min, abaixo da mínima de 5 min</v>
      </c>
      <c r="G52" s="25"/>
      <c r="H52" s="25"/>
      <c r="I52" s="25"/>
      <c r="J52" s="25"/>
      <c r="K52" s="25"/>
      <c r="L52" s="25"/>
      <c r="M52" s="25"/>
      <c r="N52" s="25"/>
      <c r="O52" s="25"/>
    </row>
    <row r="54" customFormat="false" ht="21.75" hidden="false" customHeight="true" outlineLevel="0" collapsed="false">
      <c r="B54" s="13" t="s">
        <v>493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</row>
    <row r="55" customFormat="false" ht="21.75" hidden="false" customHeight="true" outlineLevel="0" collapsed="false">
      <c r="B55" s="8" t="s">
        <v>76</v>
      </c>
      <c r="C55" s="8" t="s">
        <v>225</v>
      </c>
      <c r="D55" s="8"/>
      <c r="E55" s="8"/>
      <c r="F55" s="8"/>
      <c r="G55" s="8"/>
      <c r="H55" s="8"/>
      <c r="I55" s="8"/>
      <c r="J55" s="8"/>
      <c r="K55" s="22" t="s">
        <v>152</v>
      </c>
      <c r="L55" s="22"/>
      <c r="M55" s="8" t="s">
        <v>224</v>
      </c>
      <c r="N55" s="8"/>
      <c r="O55" s="8"/>
    </row>
    <row r="56" customFormat="false" ht="21.75" hidden="false" customHeight="true" outlineLevel="0" collapsed="false">
      <c r="B56" s="19" t="n">
        <v>1</v>
      </c>
      <c r="C56" s="7" t="s">
        <v>494</v>
      </c>
      <c r="D56" s="7"/>
      <c r="E56" s="7"/>
      <c r="F56" s="7"/>
      <c r="G56" s="7"/>
      <c r="H56" s="7"/>
      <c r="I56" s="7"/>
      <c r="J56" s="7"/>
      <c r="K56" s="7" t="s">
        <v>242</v>
      </c>
      <c r="L56" s="7"/>
      <c r="M56" s="36" t="s">
        <v>495</v>
      </c>
      <c r="N56" s="36"/>
      <c r="O56" s="36"/>
    </row>
    <row r="57" customFormat="false" ht="21.75" hidden="false" customHeight="true" outlineLevel="0" collapsed="false">
      <c r="B57" s="19" t="n">
        <v>2</v>
      </c>
      <c r="C57" s="7" t="s">
        <v>496</v>
      </c>
      <c r="D57" s="7"/>
      <c r="E57" s="7"/>
      <c r="F57" s="7"/>
      <c r="G57" s="7"/>
      <c r="H57" s="7"/>
      <c r="I57" s="7"/>
      <c r="J57" s="7"/>
      <c r="K57" s="7" t="s">
        <v>70</v>
      </c>
      <c r="L57" s="7"/>
      <c r="M57" s="36" t="s">
        <v>495</v>
      </c>
      <c r="N57" s="36"/>
      <c r="O57" s="36"/>
    </row>
    <row r="58" customFormat="false" ht="21.75" hidden="false" customHeight="true" outlineLevel="0" collapsed="false">
      <c r="B58" s="19" t="n">
        <v>3</v>
      </c>
      <c r="C58" s="7" t="s">
        <v>497</v>
      </c>
      <c r="D58" s="7"/>
      <c r="E58" s="7"/>
      <c r="F58" s="7"/>
      <c r="G58" s="7"/>
      <c r="H58" s="7"/>
      <c r="I58" s="7"/>
      <c r="J58" s="7"/>
      <c r="K58" s="7" t="s">
        <v>70</v>
      </c>
      <c r="L58" s="7"/>
      <c r="M58" s="36" t="s">
        <v>498</v>
      </c>
      <c r="N58" s="36"/>
      <c r="O58" s="36"/>
    </row>
  </sheetData>
  <mergeCells count="51">
    <mergeCell ref="B1:O1"/>
    <mergeCell ref="B2:O2"/>
    <mergeCell ref="B4:C4"/>
    <mergeCell ref="D4:G4"/>
    <mergeCell ref="I4:J4"/>
    <mergeCell ref="L4:O4"/>
    <mergeCell ref="B5:C5"/>
    <mergeCell ref="D5:G5"/>
    <mergeCell ref="I5:J5"/>
    <mergeCell ref="L5:O5"/>
    <mergeCell ref="B6:C6"/>
    <mergeCell ref="D6:G6"/>
    <mergeCell ref="I6:J6"/>
    <mergeCell ref="L6:O6"/>
    <mergeCell ref="B7:C7"/>
    <mergeCell ref="D7:G7"/>
    <mergeCell ref="I7:J7"/>
    <mergeCell ref="L7:O7"/>
    <mergeCell ref="B8:C8"/>
    <mergeCell ref="D8:G8"/>
    <mergeCell ref="I8:O8"/>
    <mergeCell ref="B10:O10"/>
    <mergeCell ref="B13:O13"/>
    <mergeCell ref="B45:O45"/>
    <mergeCell ref="B46:E46"/>
    <mergeCell ref="F46:G46"/>
    <mergeCell ref="B47:E47"/>
    <mergeCell ref="F47:G47"/>
    <mergeCell ref="B48:E48"/>
    <mergeCell ref="F48:G48"/>
    <mergeCell ref="B49:E49"/>
    <mergeCell ref="F49:G49"/>
    <mergeCell ref="B50:E50"/>
    <mergeCell ref="F50:G50"/>
    <mergeCell ref="B51:E51"/>
    <mergeCell ref="F51:G51"/>
    <mergeCell ref="B52:E52"/>
    <mergeCell ref="F52:O52"/>
    <mergeCell ref="B54:O54"/>
    <mergeCell ref="C55:J55"/>
    <mergeCell ref="K55:L55"/>
    <mergeCell ref="M55:O55"/>
    <mergeCell ref="C56:J56"/>
    <mergeCell ref="K56:L56"/>
    <mergeCell ref="M56:O56"/>
    <mergeCell ref="C57:J57"/>
    <mergeCell ref="K57:L57"/>
    <mergeCell ref="M57:O57"/>
    <mergeCell ref="C58:J58"/>
    <mergeCell ref="K58:L58"/>
    <mergeCell ref="M58:O58"/>
  </mergeCells>
  <conditionalFormatting sqref="O14:O43">
    <cfRule type="cellIs" priority="2" operator="equal" aboveAverage="0" equalAverage="0" bottom="0" percent="0" rank="0" text="" dxfId="0">
      <formula>"No horário"</formula>
    </cfRule>
    <cfRule type="cellIs" priority="3" operator="equal" aboveAverage="0" equalAverage="0" bottom="0" percent="0" rank="0" text="" dxfId="1">
      <formula>"Atrasado"</formula>
    </cfRule>
    <cfRule type="cellIs" priority="4" operator="equal" aboveAverage="0" equalAverage="0" bottom="0" percent="0" rank="0" text="" dxfId="1">
      <formula>"Adiantado"</formula>
    </cfRule>
    <cfRule type="cellIs" priority="5" operator="equal" aboveAverage="0" equalAverage="0" bottom="0" percent="0" rank="0" text="" dxfId="2">
      <formula>"Passa do limite"</formula>
    </cfRule>
  </conditionalFormatting>
  <conditionalFormatting sqref="F52:O52">
    <cfRule type="cellIs" priority="6" operator="equal" aboveAverage="0" equalAverage="0" bottom="0" percent="0" rank="0" text="" dxfId="0">
      <formula>"OK"</formula>
    </cfRule>
    <cfRule type="cellIs" priority="7" operator="notEqual" aboveAverage="0" equalAverage="0" bottom="0" percent="0" rank="0" text="" dxfId="1">
      <formula>"OK"</formula>
    </cfRule>
  </conditionalFormatting>
  <dataValidations count="4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 hora no formato 19:00." errorStyle="stop" errorTitle="Hora inválida" operator="between" showDropDown="false" showErrorMessage="true" showInputMessage="false" sqref="K4:K5 M14:M43" type="time">
      <formula1>0</formula1>
      <formula2>0.99999</formula2>
    </dataValidation>
    <dataValidation allowBlank="true" error="Digite apenas o número, sem texto nem unidade." errorStyle="stop" errorTitle="Valor inválido" operator="between" showDropDown="false" showErrorMessage="true" showInputMessage="false" sqref="K6:K7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D14:D43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2026-10-01T12:59:39Z</dcterms:created>
  <dc:creator>Estudos: Técnico em áudio e vídeo</dc:creator>
  <dc:description/>
  <dc:language>pt-BR</dc:language>
  <cp:lastModifiedBy/>
  <dcterms:modified xsi:type="dcterms:W3CDTF">2026-10-01T12:59:40Z</dcterms:modified>
  <cp:revision>0</cp:revision>
  <dc:subject/>
  <dc:title>Operação do evento — roteiro, equipe e ocorrências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