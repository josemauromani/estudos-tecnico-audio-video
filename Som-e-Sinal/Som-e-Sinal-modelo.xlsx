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Calculadora de dB" sheetId="2" state="visible" r:id="rId4"/>
    <sheet name="Medição da sala" sheetId="3" state="visible" r:id="rId5"/>
    <sheet name="Faixas por fonte" sheetId="4" state="visible" r:id="rId6"/>
    <sheet name="Referência" sheetId="5" state="visible" r:id="rId7"/>
    <sheet name="Checklist" sheetId="6" state="visible" r:id="rId8"/>
    <sheet name="Exemplo - Medição" sheetId="7" state="visible" r:id="rId9"/>
  </sheets>
  <definedNames>
    <definedName function="false" hidden="false" localSheetId="1" name="_xlnm.Print_Area" vbProcedure="false">'Calculadora de dB'!$B$1:$G$58</definedName>
    <definedName function="false" hidden="false" localSheetId="5" name="_xlnm.Print_Area" vbProcedure="false">Checklist!$B$1:$F$20</definedName>
    <definedName function="false" hidden="false" localSheetId="6" name="_xlnm.Print_Area" vbProcedure="false">'Exemplo - Medição'!$B$1:$N$53</definedName>
    <definedName function="false" hidden="false" localSheetId="3" name="_xlnm.Print_Area" vbProcedure="false">'Faixas por fonte'!$B$1:$I$32</definedName>
    <definedName function="false" hidden="false" localSheetId="0" name="_xlnm.Print_Area" vbProcedure="false">Instruções!$B$1:$C$37</definedName>
    <definedName function="false" hidden="false" localSheetId="2" name="_xlnm.Print_Area" vbProcedure="false">'Medição da sala'!$B$1:$N$47</definedName>
    <definedName function="false" hidden="false" localSheetId="4" name="_xlnm.Print_Area" vbProcedure="false">Referência!$B$1:$E$71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4" authorId="0">
      <text>
        <r>
          <rPr>
            <sz val="10"/>
            <rFont val="Arial"/>
            <family val="2"/>
          </rPr>
          <t xml:space="preserve">Distância em metros da caixa mais próxima até o medidor.
Use trena, ou passos largos (perto de 1 m cada).</t>
        </r>
      </text>
    </comment>
    <comment ref="E14" authorId="0">
      <text>
        <r>
          <rPr>
            <sz val="10"/>
            <rFont val="Arial"/>
            <family val="2"/>
          </rPr>
          <t xml:space="preserve">Leitura do medidor, só o número.
Espere uns 10 segundos para a leitura estabilizar.</t>
        </r>
      </text>
    </comment>
    <comment ref="G14" authorId="0">
      <text>
        <r>
          <rPr>
            <sz val="10"/>
            <rFont val="Arial"/>
            <family val="2"/>
          </rPr>
          <t xml:space="preserve">Nível que o ponto teria pela lei do inverso do quadrado (−6 dB a cada dobro da distância), partindo do ponto de referência.</t>
        </r>
      </text>
    </comment>
    <comment ref="I14" authorId="0">
      <text>
        <r>
          <rPr>
            <sz val="10"/>
            <rFont val="Arial"/>
            <family val="2"/>
          </rPr>
          <t xml:space="preserve">Tempo de exposição diária de referência para esse nível: 85 dB(A) por 8 horas, e metade do tempo a cada 3 dB a mais.
Não é limite legal.</t>
        </r>
      </text>
    </comment>
    <comment ref="L14" authorId="0">
      <text>
        <r>
          <rPr>
            <sz val="10"/>
            <rFont val="Arial"/>
            <family val="2"/>
          </rPr>
          <t xml:space="preserve">Nova leitura no mesmo ponto, depois de corrigir a posição das caixas ou o nível.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14" authorId="0">
      <text>
        <r>
          <rPr>
            <sz val="10"/>
            <rFont val="Arial"/>
            <family val="2"/>
          </rPr>
          <t xml:space="preserve">Até onde vão os harmônicos, as consoantes ou o ataque: o que dá definição à fonte.</t>
        </r>
      </text>
    </comment>
    <comment ref="H14" authorId="0">
      <text>
        <r>
          <rPr>
            <sz val="10"/>
            <rFont val="Arial"/>
            <family val="2"/>
          </rPr>
          <t xml:space="preserve">Quantas vezes a nota mais aguda dobra a mais grave.</t>
        </r>
      </text>
    </comment>
  </commentList>
</comments>
</file>

<file path=xl/sharedStrings.xml><?xml version="1.0" encoding="utf-8"?>
<sst xmlns="http://schemas.openxmlformats.org/spreadsheetml/2006/main" count="646" uniqueCount="477">
  <si>
    <t xml:space="preserve">Som, frequência e decibel — como usar esta planilha</t>
  </si>
  <si>
    <t xml:space="preserve">Calculadora de dB, medição do nível sonoro por ponto da sala e faixas de frequência por fonte.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</si>
  <si>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</si>
  <si>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</si>
  <si>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</si>
  <si>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</si>
  <si>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</si>
  <si>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</si>
  <si>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</si>
  <si>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</si>
  <si>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 de grandeza, ponderação e resposta do medidor aceitam só as opções da lista.</t>
  </si>
  <si>
    <t xml:space="preserve">Números</t>
  </si>
  <si>
    <t xml:space="preserve">Digite só o número, com o sinal de menos quando houver, e vírgula para decimais: 2,5, e não “2,5 m”.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</si>
  <si>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</si>
  <si>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</si>
  <si>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</si>
  <si>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</si>
  <si>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Medição da sala: preencha o cabeçalho, o limite combinado e a tolerância entre os pontos.</t>
  </si>
  <si>
    <t xml:space="preserve">2</t>
  </si>
  <si>
    <t xml:space="preserve">Escolha os pontos (de seis a dez), meça a distância de cada um até a caixa mais próxima e anote.</t>
  </si>
  <si>
    <t xml:space="preserve">3</t>
  </si>
  <si>
    <t xml:space="preserve">Meça o ruído de fundo com o sistema mudo e anote no alto da aba.</t>
  </si>
  <si>
    <t xml:space="preserve">4</t>
  </si>
  <si>
    <t xml:space="preserve">Toque um sinal estável, sem mexer no sistema, e anote a leitura de cada ponto. Informe o número do ponto de referência (em geral, a mesa).</t>
  </si>
  <si>
    <t xml:space="preserve">5</t>
  </si>
  <si>
    <t xml:space="preserve">Veja a situação e o que fazer. Corrija a posição das caixas, meça de novo e anote na coluna Depois.</t>
  </si>
  <si>
    <t xml:space="preserve">6</t>
  </si>
  <si>
    <t xml:space="preserve">Aba Calculadora de dB: use para estimar antes de comprar, mudar ou mover equipamento.</t>
  </si>
  <si>
    <t xml:space="preserve">7</t>
  </si>
  <si>
    <t xml:space="preserve">Aba Checklist: confira os doze itens na montagem e na passagem de som.</t>
  </si>
  <si>
    <t xml:space="preserve">Abas da planilha</t>
  </si>
  <si>
    <t xml:space="preserve">Calculadora de dB</t>
  </si>
  <si>
    <t xml:space="preserve">Sete blocos: razão para dB, dB para razão, distância, soma de fontes, tensão e dBu, frequência, atraso.</t>
  </si>
  <si>
    <t xml:space="preserve">Medição da sala</t>
  </si>
  <si>
    <t xml:space="preserve">Até 16 pontos, com diferença para a referência, previsto pela distância, tempo de referência e situação.</t>
  </si>
  <si>
    <t xml:space="preserve">Faixas por fonte</t>
  </si>
  <si>
    <t xml:space="preserve">As seis faixas de frequência e a extensão de onze fontes, com linhas livres para as suas.</t>
  </si>
  <si>
    <t xml:space="preserve">Referência</t>
  </si>
  <si>
    <t xml:space="preserve">Regras do decibel, escalas, níveis típicos, tempos de exposição, soma de fontes, distância e atraso.</t>
  </si>
  <si>
    <t xml:space="preserve">Checklist</t>
  </si>
  <si>
    <t xml:space="preserve">Os doze itens do treinamento, com percentual atendido.</t>
  </si>
  <si>
    <t xml:space="preserve">Exemplo - Medição</t>
  </si>
  <si>
    <t xml:space="preserve">A medição de uma igreja de 200 lugares, antes e depois de elevar as caixas (exemplo 1 do treinamento).</t>
  </si>
  <si>
    <t xml:space="preserve">Regras e premissas do modelo</t>
  </si>
  <si>
    <t xml:space="preserve">Valores de referência</t>
  </si>
  <si>
    <t xml:space="preserve">Os números são ponto de partida, e não norma. Confira o manual do seu equipamento.</t>
  </si>
  <si>
    <t xml:space="preserve">Previsto pela distância</t>
  </si>
  <si>
    <t xml:space="preserve">Lei do inverso do quadrado, para fonte pequena ao ar livre: −6 dB a cada dobro da distância. Em sala, longe da caixa, o nível cai menos.</t>
  </si>
  <si>
    <t xml:space="preserve">Situação do ponto</t>
  </si>
  <si>
    <t xml:space="preserve">Ruído: menos de 10 dB acima do ruído de fundo. Acima do limite: passou do limite combinado. Forte ou Fraco: diferença para a referência maior que a tolerância.</t>
  </si>
  <si>
    <t xml:space="preserve">Tempo de referência</t>
  </si>
  <si>
    <t xml:space="preserve">85 dB(A) por 8 horas, e metade do tempo a cada 3 dB a mais. É referência para planejar, e não limite legal: consulte a regulamentação vigente.</t>
  </si>
  <si>
    <t xml:space="preserve">Soma de fontes</t>
  </si>
  <si>
    <t xml:space="preserve">Vale para sons independentes. O mesmo sinal em duas caixas soma até 6 dB onde as ondas chegam juntas.</t>
  </si>
  <si>
    <t xml:space="preserve">Exemplos</t>
  </si>
  <si>
    <t xml:space="preserve">Os dados da aba de exemplo e os valores iniciais da calculadora são ilustrativos, criados para este material.</t>
  </si>
  <si>
    <t xml:space="preserve">Calculadora de dB — as contas do dia a dia</t>
  </si>
  <si>
    <t xml:space="preserve">Troque os valores em amarelo-claro. Os resultados em cinza são calculados. Os valores iniciais são os dos exemplos do treinamento.</t>
  </si>
  <si>
    <t xml:space="preserve">Velocidade do som (m/s)</t>
  </si>
  <si>
    <t xml:space="preserve">m/s</t>
  </si>
  <si>
    <t xml:space="preserve">A 20 °C. Sobe cerca de 0,6 m/s por grau. Usada nos blocos 6 e 7.</t>
  </si>
  <si>
    <t xml:space="preserve">1. Diferença em dB entre dois valores</t>
  </si>
  <si>
    <t xml:space="preserve">Entrada</t>
  </si>
  <si>
    <t xml:space="preserve">Valor</t>
  </si>
  <si>
    <t xml:space="preserve">Unidade</t>
  </si>
  <si>
    <t xml:space="preserve">Resultado</t>
  </si>
  <si>
    <t xml:space="preserve">Unidade ou leitura</t>
  </si>
  <si>
    <t xml:space="preserve">Valor inicial (W ou V)</t>
  </si>
  <si>
    <t xml:space="preserve">W ou V</t>
  </si>
  <si>
    <t xml:space="preserve">Diferença</t>
  </si>
  <si>
    <t xml:space="preserve">dB</t>
  </si>
  <si>
    <t xml:space="preserve">Valor final (W ou V)</t>
  </si>
  <si>
    <t xml:space="preserve">Como se ouve</t>
  </si>
  <si>
    <t xml:space="preserve">Tipo de grandeza</t>
  </si>
  <si>
    <t xml:space="preserve">Potência</t>
  </si>
  <si>
    <t xml:space="preserve">lista</t>
  </si>
  <si>
    <t xml:space="preserve">Potência em watts usa 10 × log. Tensão em volts e pressão sonora usam 20 × log.</t>
  </si>
  <si>
    <t xml:space="preserve">2. O que uma mudança em dB representa</t>
  </si>
  <si>
    <t xml:space="preserve">Mudança desejada</t>
  </si>
  <si>
    <t xml:space="preserve">A potência fica multiplicada por</t>
  </si>
  <si>
    <t xml:space="preserve">vezes</t>
  </si>
  <si>
    <t xml:space="preserve">Potência atual (opcional)</t>
  </si>
  <si>
    <t xml:space="preserve">W</t>
  </si>
  <si>
    <t xml:space="preserve">A tensão e a pressão ficam multiplicadas por</t>
  </si>
  <si>
    <t xml:space="preserve">Potência necessária</t>
  </si>
  <si>
    <t xml:space="preserve">+3 dB dobra a potência. +10 dB, que soa como o dobro do volume, pede dez vezes a potência.</t>
  </si>
  <si>
    <t xml:space="preserve">3. Nível a outra distância (fonte pequena, ao ar livre)</t>
  </si>
  <si>
    <t xml:space="preserve">Nível conhecido</t>
  </si>
  <si>
    <t xml:space="preserve">dB SPL</t>
  </si>
  <si>
    <t xml:space="preserve">Nível previsto na nova distância</t>
  </si>
  <si>
    <t xml:space="preserve">A esta distância</t>
  </si>
  <si>
    <t xml:space="preserve">m</t>
  </si>
  <si>
    <t xml:space="preserve">Variação</t>
  </si>
  <si>
    <t xml:space="preserve">Nova distância</t>
  </si>
  <si>
    <t xml:space="preserve">Distância em que se chega ao nível desejado</t>
  </si>
  <si>
    <t xml:space="preserve">Nível que se quer alcançar (opcional)</t>
  </si>
  <si>
    <t xml:space="preserve">−6 dB a cada dobro da distância. Em sala fechada, longe da caixa, o nível cai menos que o previsto por causa das reflexões.</t>
  </si>
  <si>
    <t xml:space="preserve">4. Soma de fontes independentes</t>
  </si>
  <si>
    <t xml:space="preserve">Fonte 1</t>
  </si>
  <si>
    <t xml:space="preserve">Nível total</t>
  </si>
  <si>
    <t xml:space="preserve">Fonte 2</t>
  </si>
  <si>
    <t xml:space="preserve">Acréscimo sobre a fonte mais forte</t>
  </si>
  <si>
    <t xml:space="preserve">Fonte 3 (opcional)</t>
  </si>
  <si>
    <t xml:space="preserve">Fonte 4 (opcional)</t>
  </si>
  <si>
    <t xml:space="preserve">Vale para sons diferentes (duas vozes, ruído e música). O mesmo sinal em duas caixas soma até 6 dB onde chega junto.</t>
  </si>
  <si>
    <t xml:space="preserve">5. Tensão, dBu e dBV</t>
  </si>
  <si>
    <t xml:space="preserve">Tensão do sinal</t>
  </si>
  <si>
    <t xml:space="preserve">V</t>
  </si>
  <si>
    <t xml:space="preserve">A tensão corresponde a</t>
  </si>
  <si>
    <t xml:space="preserve">dBu</t>
  </si>
  <si>
    <t xml:space="preserve">Nível em dBu</t>
  </si>
  <si>
    <t xml:space="preserve">e a</t>
  </si>
  <si>
    <t xml:space="preserve">dBV</t>
  </si>
  <si>
    <t xml:space="preserve">O nível em dBu corresponde a</t>
  </si>
  <si>
    <t xml:space="preserve">0 dBu = 0,775 V. 0 dBV = 1 V. A linha profissional trabalha em +4 dBu (1,23 V); a doméstica, em −10 dBV (0,32 V).</t>
  </si>
  <si>
    <t xml:space="preserve">6. Frequência, período e comprimento de onda</t>
  </si>
  <si>
    <t xml:space="preserve">Frequência</t>
  </si>
  <si>
    <t xml:space="preserve">Hz</t>
  </si>
  <si>
    <t xml:space="preserve">Duração de um ciclo</t>
  </si>
  <si>
    <t xml:space="preserve">ms</t>
  </si>
  <si>
    <t xml:space="preserve">Comprimento de onda</t>
  </si>
  <si>
    <t xml:space="preserve">Uma oitava acima</t>
  </si>
  <si>
    <t xml:space="preserve">Uma oitava abaixo</t>
  </si>
  <si>
    <t xml:space="preserve">Faixa</t>
  </si>
  <si>
    <t xml:space="preserve">7. Diferença de caminho, atraso e cancelamento</t>
  </si>
  <si>
    <t xml:space="preserve">Diferença de caminho entre os dois sinais</t>
  </si>
  <si>
    <t xml:space="preserve">Atraso</t>
  </si>
  <si>
    <t xml:space="preserve">Primeiro cancelamento</t>
  </si>
  <si>
    <t xml:space="preserve">Segundo cancelamento</t>
  </si>
  <si>
    <t xml:space="preserve">Primeiro reforço</t>
  </si>
  <si>
    <t xml:space="preserve">Os cancelamentos se repetem a intervalos iguais (filtro pente). Com o segundo sinal 10 dB mais fraco, a ondulação cai para cerca de 3 dB.</t>
  </si>
  <si>
    <t xml:space="preserve">Medição do nível sonoro na sala — ponto a ponto</t>
  </si>
  <si>
    <t xml:space="preserve">Preencha as células em amarelo-claro com o que você mediu. As células cinza são calculadas.</t>
  </si>
  <si>
    <t xml:space="preserve">Evento</t>
  </si>
  <si>
    <t xml:space="preserve">Limite combinado (dB)</t>
  </si>
  <si>
    <t xml:space="preserve">Nível máximo aceito em qualquer ponto. 90 dB(A) é só ponto de partida.</t>
  </si>
  <si>
    <t xml:space="preserve">Local</t>
  </si>
  <si>
    <t xml:space="preserve">Tolerância entre pontos (dB)</t>
  </si>
  <si>
    <t xml:space="preserve">Diferença para o ponto de referência que ainda conta como OK.</t>
  </si>
  <si>
    <t xml:space="preserve">Data</t>
  </si>
  <si>
    <t xml:space="preserve">Ruído de fundo (dB)</t>
  </si>
  <si>
    <t xml:space="preserve">Sistema mudo. O sinal precisa ficar 10 dB acima dele.</t>
  </si>
  <si>
    <t xml:space="preserve">Operador</t>
  </si>
  <si>
    <t xml:space="preserve">Ponto de referência (nº)</t>
  </si>
  <si>
    <t xml:space="preserve">Em geral, a mesa de som.</t>
  </si>
  <si>
    <t xml:space="preserve">Medidor (aparelho)</t>
  </si>
  <si>
    <t xml:space="preserve">Nível no ponto de referência (dB)</t>
  </si>
  <si>
    <t xml:space="preserve">Calculado a partir do ponto de referência.</t>
  </si>
  <si>
    <t xml:space="preserve">Ponderação</t>
  </si>
  <si>
    <t xml:space="preserve">Distância do ponto de referência (m)</t>
  </si>
  <si>
    <t xml:space="preserve">Resposta</t>
  </si>
  <si>
    <t xml:space="preserve">Mesmo sinal e mesmo ajuste do sistema em todos os pontos. Medidor na altura do ouvido de quem está sentado.</t>
  </si>
  <si>
    <t xml:space="preserve">Sinal de teste</t>
  </si>
  <si>
    <t xml:space="preserve">Nível medido por ponto da sala</t>
  </si>
  <si>
    <t xml:space="preserve">Nº</t>
  </si>
  <si>
    <t xml:space="preserve">Ponto</t>
  </si>
  <si>
    <t xml:space="preserve">Distância</t>
  </si>
  <si>
    <t xml:space="preserve">Medido</t>
  </si>
  <si>
    <t xml:space="preserve">Diferença para a referência</t>
  </si>
  <si>
    <t xml:space="preserve">Medido − previsto</t>
  </si>
  <si>
    <t xml:space="preserve">Situação</t>
  </si>
  <si>
    <t xml:space="preserve">O que fazer</t>
  </si>
  <si>
    <t xml:space="preserve">Depois</t>
  </si>
  <si>
    <t xml:space="preserve">Observação</t>
  </si>
  <si>
    <t xml:space="preserve">onde fica o medidor</t>
  </si>
  <si>
    <t xml:space="preserve">m, da caixa mais próxima</t>
  </si>
  <si>
    <t xml:space="preserve">por dia, em dB(A)</t>
  </si>
  <si>
    <t xml:space="preserve">dB, após corrigir</t>
  </si>
  <si>
    <t xml:space="preserve">Ex.</t>
  </si>
  <si>
    <t xml:space="preserve">Primeira fileira, no centro</t>
  </si>
  <si>
    <t xml:space="preserve">Acima do limite</t>
  </si>
  <si>
    <t xml:space="preserve">Eleve ou redirecione a caixa; se não bastar, baixe o master</t>
  </si>
  <si>
    <t xml:space="preserve">Resumo automático</t>
  </si>
  <si>
    <t xml:space="preserve">Pontos medidos</t>
  </si>
  <si>
    <t xml:space="preserve">Nível mais alto (dB)</t>
  </si>
  <si>
    <t xml:space="preserve">Nível mais baixo (dB)</t>
  </si>
  <si>
    <t xml:space="preserve">Diferença entre o mais alto e o mais baixo (dB)</t>
  </si>
  <si>
    <t xml:space="preserve">Pontos acima do limite</t>
  </si>
  <si>
    <t xml:space="preserve">Pontos fora da tolerância (Forte ou Fraco)</t>
  </si>
  <si>
    <t xml:space="preserve">Pontos com sinal fraco demais (Ruído)</t>
  </si>
  <si>
    <t xml:space="preserve">Nível máximo no ponto de referência para respeitar o limite (dB)</t>
  </si>
  <si>
    <t xml:space="preserve">Depois: nível mais alto (dB)</t>
  </si>
  <si>
    <t xml:space="preserve">Depois: nível mais baixo (dB)</t>
  </si>
  <si>
    <t xml:space="preserve">Depois: diferença entre o mais alto e o mais baixo (dB)</t>
  </si>
  <si>
    <t xml:space="preserve">Aviso</t>
  </si>
  <si>
    <t xml:space="preserve">O previsto pela distância vale para fonte pequena em espaço aberto. Em sala, longe da caixa, é normal o medido ficar acima do previsto. O tempo de referência segue o critério de 85 dB(A) por 8 horas e metade do tempo a cada 3 dB: é referência para planejar, e não limite legal.</t>
  </si>
  <si>
    <t xml:space="preserve">Faixas de frequência e extensão de cada fonte</t>
  </si>
  <si>
    <t xml:space="preserve">As faixas e as fontes são valores típicos. Troque ou acrescente fontes nas células em amarelo-claro.</t>
  </si>
  <si>
    <t xml:space="preserve">As faixas de frequência</t>
  </si>
  <si>
    <t xml:space="preserve">De (Hz)</t>
  </si>
  <si>
    <t xml:space="preserve">Até (Hz)</t>
  </si>
  <si>
    <t xml:space="preserve">O que fica ali</t>
  </si>
  <si>
    <t xml:space="preserve">Como se percebe</t>
  </si>
  <si>
    <t xml:space="preserve">Subgrave</t>
  </si>
  <si>
    <t xml:space="preserve">Fundo do bumbo, notas mais graves do baixo e do teclado.</t>
  </si>
  <si>
    <t xml:space="preserve">Mais sentido no corpo do que ouvido.</t>
  </si>
  <si>
    <t xml:space="preserve">Grave</t>
  </si>
  <si>
    <t xml:space="preserve">Bumbo, baixo, fundamentais da voz masculina, zumbido da rede (60 Hz).</t>
  </si>
  <si>
    <t xml:space="preserve">Peso. Em excesso, som pesado e sem contorno.</t>
  </si>
  <si>
    <t xml:space="preserve">Médio-grave</t>
  </si>
  <si>
    <t xml:space="preserve">Corpo das vozes, do violão, da caixa da bateria e do teclado.</t>
  </si>
  <si>
    <t xml:space="preserve">Calor. Em excesso, som embolado.</t>
  </si>
  <si>
    <t xml:space="preserve">Médio</t>
  </si>
  <si>
    <t xml:space="preserve">Vogais e primeiros harmônicos de quase todos os instrumentos.</t>
  </si>
  <si>
    <t xml:space="preserve">As fontes disputam espaço. Em excesso, som de telefone.</t>
  </si>
  <si>
    <t xml:space="preserve">Médio-agudo</t>
  </si>
  <si>
    <t xml:space="preserve">Consoantes, ataque da palheta e do batedor do bumbo.</t>
  </si>
  <si>
    <t xml:space="preserve">Clareza da palavra. O ouvido é mais sensível aqui.</t>
  </si>
  <si>
    <t xml:space="preserve">Agudo</t>
  </si>
  <si>
    <t xml:space="preserve">Pratos, brilho das cordas, ar da voz, sons de “s”.</t>
  </si>
  <si>
    <t xml:space="preserve">Brilho. Em excesso, som áspero, que cansa.</t>
  </si>
  <si>
    <t xml:space="preserve">Extensão de cada fonte</t>
  </si>
  <si>
    <t xml:space="preserve">Fonte</t>
  </si>
  <si>
    <t xml:space="preserve">Fundamental mais grave (Hz)</t>
  </si>
  <si>
    <t xml:space="preserve">Fundamental mais aguda (Hz)</t>
  </si>
  <si>
    <t xml:space="preserve">Vai até (Hz)</t>
  </si>
  <si>
    <t xml:space="preserve">Faixa da nota mais grave</t>
  </si>
  <si>
    <t xml:space="preserve">Faixa do brilho</t>
  </si>
  <si>
    <t xml:space="preserve">Oitavas de notas</t>
  </si>
  <si>
    <t xml:space="preserve">Voz falada de homem</t>
  </si>
  <si>
    <t xml:space="preserve">A palavra é entendida pelas consoantes, de 2 a 8 kHz.</t>
  </si>
  <si>
    <t xml:space="preserve">Voz falada de mulher</t>
  </si>
  <si>
    <t xml:space="preserve">Voz cantada, do baixo ao soprano</t>
  </si>
  <si>
    <t xml:space="preserve">Cada cantor ocupa só uma parte dessa extensão.</t>
  </si>
  <si>
    <t xml:space="preserve">Violão</t>
  </si>
  <si>
    <t xml:space="preserve">A corda mais grave é um mi de 82 Hz.</t>
  </si>
  <si>
    <t xml:space="preserve">Guitarra</t>
  </si>
  <si>
    <t xml:space="preserve">O alto-falante do amplificador quase não passa de 6 kHz.</t>
  </si>
  <si>
    <t xml:space="preserve">Baixo elétrico de 4 cordas</t>
  </si>
  <si>
    <t xml:space="preserve">Ataque e harmônicos até perto de 5 kHz.</t>
  </si>
  <si>
    <t xml:space="preserve">Baixo elétrico de 5 cordas</t>
  </si>
  <si>
    <t xml:space="preserve">A corda mais grave é um si de 31 Hz.</t>
  </si>
  <si>
    <t xml:space="preserve">Teclado e piano</t>
  </si>
  <si>
    <t xml:space="preserve">A fonte de maior extensão. Sintetizadores podem descer mais.</t>
  </si>
  <si>
    <t xml:space="preserve">Bumbo</t>
  </si>
  <si>
    <t xml:space="preserve">O ataque do batedor fica de 2 a 5 kHz.</t>
  </si>
  <si>
    <t xml:space="preserve">Caixa da bateria</t>
  </si>
  <si>
    <t xml:space="preserve">A esteira fica de 3 a 10 kHz.</t>
  </si>
  <si>
    <t xml:space="preserve">Pratos e chimbal</t>
  </si>
  <si>
    <t xml:space="preserve">Sem nota definida. Energia de 300 Hz a 16 kHz, mais forte acima de 6 kHz.</t>
  </si>
  <si>
    <t xml:space="preserve">Extensões típicas: um cantor, um instrumento ou uma afinação diferente mudam os limites. O que cortar e realçar em cada faixa está no estudo Equalização.</t>
  </si>
  <si>
    <t xml:space="preserve">Referência — decibel, distância, exposição e frequência</t>
  </si>
  <si>
    <t xml:space="preserve">Valores de referência, para servir de ponto de partida. Confira o manual do seu equipamento.</t>
  </si>
  <si>
    <t xml:space="preserve">Regras práticas do decibel</t>
  </si>
  <si>
    <t xml:space="preserve">Mudança</t>
  </si>
  <si>
    <t xml:space="preserve">Na potência (W)</t>
  </si>
  <si>
    <t xml:space="preserve">Na tensão e na pressão</t>
  </si>
  <si>
    <t xml:space="preserve">Onde aparece</t>
  </si>
  <si>
    <t xml:space="preserve">1 dB</t>
  </si>
  <si>
    <t xml:space="preserve">×1,26</t>
  </si>
  <si>
    <t xml:space="preserve">×1,12</t>
  </si>
  <si>
    <t xml:space="preserve">A menor diferença que se nota com atenção. Ao vivo, 2 a 3 dB já são claros.</t>
  </si>
  <si>
    <t xml:space="preserve">3 dB</t>
  </si>
  <si>
    <t xml:space="preserve">×2</t>
  </si>
  <si>
    <t xml:space="preserve">×1,41</t>
  </si>
  <si>
    <t xml:space="preserve">Amplificador de potência dobrada. Duas fontes iguais e independentes.</t>
  </si>
  <si>
    <t xml:space="preserve">6 dB</t>
  </si>
  <si>
    <t xml:space="preserve">×4</t>
  </si>
  <si>
    <t xml:space="preserve">Metade da distância. Dois sinais idênticos e em fase.</t>
  </si>
  <si>
    <t xml:space="preserve">10 dB</t>
  </si>
  <si>
    <t xml:space="preserve">×10</t>
  </si>
  <si>
    <t xml:space="preserve">×3,16</t>
  </si>
  <si>
    <t xml:space="preserve">O passo que soa como o dobro do volume.</t>
  </si>
  <si>
    <t xml:space="preserve">20 dB</t>
  </si>
  <si>
    <t xml:space="preserve">×100</t>
  </si>
  <si>
    <t xml:space="preserve">Valor usual do pad. Diferença entre linha e microfone forte.</t>
  </si>
  <si>
    <t xml:space="preserve">As escalas de decibel</t>
  </si>
  <si>
    <t xml:space="preserve">Escala</t>
  </si>
  <si>
    <t xml:space="preserve">O que mede</t>
  </si>
  <si>
    <t xml:space="preserve">O zero é</t>
  </si>
  <si>
    <t xml:space="preserve">Valores típicos</t>
  </si>
  <si>
    <t xml:space="preserve">pressão do som no ar</t>
  </si>
  <si>
    <t xml:space="preserve">limiar da audição (20 µPa)</t>
  </si>
  <si>
    <t xml:space="preserve">Conversa a 1 m: 60. Banda ao vivo na plateia: de 85 a 100.</t>
  </si>
  <si>
    <t xml:space="preserve">tensão elétrica</t>
  </si>
  <si>
    <t xml:space="preserve">0,775 V</t>
  </si>
  <si>
    <t xml:space="preserve">Microfone: de −60 a −30. Linha profissional: +4.</t>
  </si>
  <si>
    <t xml:space="preserve">1 V</t>
  </si>
  <si>
    <t xml:space="preserve">Linha doméstica: −10 dBV, cerca de 12 dB abaixo da profissional.</t>
  </si>
  <si>
    <t xml:space="preserve">dBFS</t>
  </si>
  <si>
    <t xml:space="preserve">valor no sistema digital</t>
  </si>
  <si>
    <t xml:space="preserve">o máximo representável</t>
  </si>
  <si>
    <t xml:space="preserve">Trabalho: perto de −18. Clip: 0. As leituras são negativas.</t>
  </si>
  <si>
    <t xml:space="preserve">dB(A) e dB(C)</t>
  </si>
  <si>
    <t xml:space="preserve">pressão sonora ponderada</t>
  </si>
  <si>
    <t xml:space="preserve">como no dB SPL</t>
  </si>
  <si>
    <t xml:space="preserve">A: como o ouvido, usada na exposição. C: quase plana, mostra o grave.</t>
  </si>
  <si>
    <t xml:space="preserve">Níveis sonoros típicos</t>
  </si>
  <si>
    <t xml:space="preserve">Nível (dB SPL)</t>
  </si>
  <si>
    <t xml:space="preserve">Quarto silencioso</t>
  </si>
  <si>
    <t xml:space="preserve">20 a 30</t>
  </si>
  <si>
    <t xml:space="preserve">–</t>
  </si>
  <si>
    <t xml:space="preserve">Noite, sem aparelhos ligados.</t>
  </si>
  <si>
    <t xml:space="preserve">Salão vazio com ar-condicionado</t>
  </si>
  <si>
    <t xml:space="preserve">40 a 50</t>
  </si>
  <si>
    <t xml:space="preserve">Meça o ruído de fundo antes do evento.</t>
  </si>
  <si>
    <t xml:space="preserve">Conversa a 1 m</t>
  </si>
  <si>
    <t xml:space="preserve">60 a 65</t>
  </si>
  <si>
    <t xml:space="preserve">Uma fala amplificada precisa ficar acima do ruído da sala.</t>
  </si>
  <si>
    <t xml:space="preserve">Palestra ou pregação amplificada</t>
  </si>
  <si>
    <t xml:space="preserve">65 a 75</t>
  </si>
  <si>
    <t xml:space="preserve">Na plateia.</t>
  </si>
  <si>
    <t xml:space="preserve">Música ao vivo com banda</t>
  </si>
  <si>
    <t xml:space="preserve">85 a 95</t>
  </si>
  <si>
    <t xml:space="preserve">de 8 h a 1 h</t>
  </si>
  <si>
    <t xml:space="preserve">Varia muito com o estilo e com a casa.</t>
  </si>
  <si>
    <t xml:space="preserve">Bateria acústica, para quem toca</t>
  </si>
  <si>
    <t xml:space="preserve">95 a 105</t>
  </si>
  <si>
    <t xml:space="preserve">de 1 h a 7 min</t>
  </si>
  <si>
    <t xml:space="preserve">Plateia perto das caixas também chega lá.</t>
  </si>
  <si>
    <t xml:space="preserve">Limiar do desconforto</t>
  </si>
  <si>
    <t xml:space="preserve">cerca de 120</t>
  </si>
  <si>
    <t xml:space="preserve">Acima disso, risco de dano em pouco tempo.</t>
  </si>
  <si>
    <t xml:space="preserve">Tempo de referência por dia (critério de 3 dB)</t>
  </si>
  <si>
    <t xml:space="preserve">Nível médio</t>
  </si>
  <si>
    <t xml:space="preserve">Tempo</t>
  </si>
  <si>
    <t xml:space="preserve">Comparado a 85 dB(A)</t>
  </si>
  <si>
    <t xml:space="preserve">85 dB(A)</t>
  </si>
  <si>
    <t xml:space="preserve">8 h</t>
  </si>
  <si>
    <t xml:space="preserve">referência</t>
  </si>
  <si>
    <t xml:space="preserve">Média do período, e não picos isolados.</t>
  </si>
  <si>
    <t xml:space="preserve">88 dB(A)</t>
  </si>
  <si>
    <t xml:space="preserve">4 h</t>
  </si>
  <si>
    <t xml:space="preserve">metade</t>
  </si>
  <si>
    <t xml:space="preserve">91 dB(A)</t>
  </si>
  <si>
    <t xml:space="preserve">2 h</t>
  </si>
  <si>
    <t xml:space="preserve">um quarto</t>
  </si>
  <si>
    <t xml:space="preserve">Um culto com duas horas de música nesse nível usa a referência do dia.</t>
  </si>
  <si>
    <t xml:space="preserve">94 dB(A)</t>
  </si>
  <si>
    <t xml:space="preserve">1 h</t>
  </si>
  <si>
    <t xml:space="preserve">um oitavo</t>
  </si>
  <si>
    <t xml:space="preserve">97 dB(A)</t>
  </si>
  <si>
    <t xml:space="preserve">30 min</t>
  </si>
  <si>
    <t xml:space="preserve">1/16</t>
  </si>
  <si>
    <t xml:space="preserve">100 dB(A)</t>
  </si>
  <si>
    <t xml:space="preserve">15 min</t>
  </si>
  <si>
    <t xml:space="preserve">1/32</t>
  </si>
  <si>
    <t xml:space="preserve">Perto das caixas e da bateria, é fácil chegar lá.</t>
  </si>
  <si>
    <t xml:space="preserve">103 dB(A)</t>
  </si>
  <si>
    <t xml:space="preserve">7,5 min</t>
  </si>
  <si>
    <t xml:space="preserve">1/64</t>
  </si>
  <si>
    <t xml:space="preserve">Há critérios legais menos rigorosos (5 dB): consulte a regulamentação vigente.</t>
  </si>
  <si>
    <t xml:space="preserve">Soma de duas fontes independentes</t>
  </si>
  <si>
    <t xml:space="preserve">Diferença entre elas</t>
  </si>
  <si>
    <t xml:space="preserve">Some à mais forte</t>
  </si>
  <si>
    <t xml:space="preserve">Exemplo</t>
  </si>
  <si>
    <t xml:space="preserve">0 dB</t>
  </si>
  <si>
    <t xml:space="preserve">+3,0 dB</t>
  </si>
  <si>
    <t xml:space="preserve">90 e 90 dão 93</t>
  </si>
  <si>
    <t xml:space="preserve">Duas fontes iguais.</t>
  </si>
  <si>
    <t xml:space="preserve">+2,5 dB</t>
  </si>
  <si>
    <t xml:space="preserve">90 e 89 dão 92,5</t>
  </si>
  <si>
    <t xml:space="preserve">+1,8 dB</t>
  </si>
  <si>
    <t xml:space="preserve">90 e 87 dão 91,8</t>
  </si>
  <si>
    <t xml:space="preserve">+1,0 dB</t>
  </si>
  <si>
    <t xml:space="preserve">90 e 84 dão 91</t>
  </si>
  <si>
    <t xml:space="preserve">10 dB ou mais</t>
  </si>
  <si>
    <t xml:space="preserve">+0,4 dB ou menos</t>
  </si>
  <si>
    <t xml:space="preserve">90 e 80 dão 90,4</t>
  </si>
  <si>
    <t xml:space="preserve">Por isso o sinal de teste precisa ficar 10 dB acima do ruído.</t>
  </si>
  <si>
    <t xml:space="preserve">Distância (fonte pequena, ao ar livre)</t>
  </si>
  <si>
    <t xml:space="preserve">A distância</t>
  </si>
  <si>
    <t xml:space="preserve">O nível</t>
  </si>
  <si>
    <t xml:space="preserve">No microfone</t>
  </si>
  <si>
    <t xml:space="preserve">Na plateia</t>
  </si>
  <si>
    <t xml:space="preserve">Cai à metade</t>
  </si>
  <si>
    <t xml:space="preserve">+6 dB</t>
  </si>
  <si>
    <t xml:space="preserve">de 10 para 5 cm</t>
  </si>
  <si>
    <t xml:space="preserve">da fileira a 8 m para a fileira a 4 m</t>
  </si>
  <si>
    <t xml:space="preserve">Dobra</t>
  </si>
  <si>
    <t xml:space="preserve">−6 dB</t>
  </si>
  <si>
    <t xml:space="preserve">de um palmo para dois</t>
  </si>
  <si>
    <t xml:space="preserve">de 4 para 8 m</t>
  </si>
  <si>
    <t xml:space="preserve">Fica 3 vezes maior</t>
  </si>
  <si>
    <t xml:space="preserve">−9,5 dB</t>
  </si>
  <si>
    <t xml:space="preserve">de 10 para 30 cm</t>
  </si>
  <si>
    <t xml:space="preserve">de 5 para 15 m</t>
  </si>
  <si>
    <t xml:space="preserve">Fica 4 vezes maior</t>
  </si>
  <si>
    <t xml:space="preserve">−12 dB</t>
  </si>
  <si>
    <t xml:space="preserve">de 5 para 20 cm</t>
  </si>
  <si>
    <t xml:space="preserve">de 3 para 12 m</t>
  </si>
  <si>
    <t xml:space="preserve">Fica 10 vezes maior</t>
  </si>
  <si>
    <t xml:space="preserve">−20 dB</t>
  </si>
  <si>
    <t xml:space="preserve">de 5 para 50 cm</t>
  </si>
  <si>
    <t xml:space="preserve">de 2 para 20 m</t>
  </si>
  <si>
    <t xml:space="preserve">Frequência, comprimento de onda e atraso (a 343 m/s)</t>
  </si>
  <si>
    <t xml:space="preserve">Duração do ciclo</t>
  </si>
  <si>
    <t xml:space="preserve">Atraso que cancela essa frequência</t>
  </si>
  <si>
    <t xml:space="preserve">50 Hz</t>
  </si>
  <si>
    <t xml:space="preserve">20 ms</t>
  </si>
  <si>
    <t xml:space="preserve">6,9 m</t>
  </si>
  <si>
    <t xml:space="preserve">10 ms (3,4 m de diferença de caminho)</t>
  </si>
  <si>
    <t xml:space="preserve">100 Hz</t>
  </si>
  <si>
    <t xml:space="preserve">10 ms</t>
  </si>
  <si>
    <t xml:space="preserve">3,4 m</t>
  </si>
  <si>
    <t xml:space="preserve">5 ms (1,7 m)</t>
  </si>
  <si>
    <t xml:space="preserve">250 Hz</t>
  </si>
  <si>
    <t xml:space="preserve">4 ms</t>
  </si>
  <si>
    <t xml:space="preserve">1,4 m</t>
  </si>
  <si>
    <t xml:space="preserve">2 ms (69 cm)</t>
  </si>
  <si>
    <t xml:space="preserve">500 Hz</t>
  </si>
  <si>
    <t xml:space="preserve">2 ms</t>
  </si>
  <si>
    <t xml:space="preserve">69 cm</t>
  </si>
  <si>
    <t xml:space="preserve">1 ms (34 cm)</t>
  </si>
  <si>
    <t xml:space="preserve">1 kHz</t>
  </si>
  <si>
    <t xml:space="preserve">1 ms</t>
  </si>
  <si>
    <t xml:space="preserve">34 cm</t>
  </si>
  <si>
    <t xml:space="preserve">0,5 ms (17 cm)</t>
  </si>
  <si>
    <t xml:space="preserve">4 kHz</t>
  </si>
  <si>
    <t xml:space="preserve">0,25 ms</t>
  </si>
  <si>
    <t xml:space="preserve">8,6 cm</t>
  </si>
  <si>
    <t xml:space="preserve">0,125 ms (4,3 cm)</t>
  </si>
  <si>
    <t xml:space="preserve">10 kHz</t>
  </si>
  <si>
    <t xml:space="preserve">0,1 ms</t>
  </si>
  <si>
    <t xml:space="preserve">3,4 cm</t>
  </si>
  <si>
    <t xml:space="preserve">0,05 ms (1,7 cm)</t>
  </si>
  <si>
    <t xml:space="preserve">Digital</t>
  </si>
  <si>
    <t xml:space="preserve">Item</t>
  </si>
  <si>
    <t xml:space="preserve">Valor usual</t>
  </si>
  <si>
    <t xml:space="preserve">O que significa</t>
  </si>
  <si>
    <t xml:space="preserve">Taxa de amostragem</t>
  </si>
  <si>
    <t xml:space="preserve">48 kHz</t>
  </si>
  <si>
    <t xml:space="preserve">registra até cerca de 24 kHz</t>
  </si>
  <si>
    <t xml:space="preserve">44,1 kHz também é comum. Equipamentos ligados em digital usam a mesma taxa.</t>
  </si>
  <si>
    <t xml:space="preserve">Profundidade</t>
  </si>
  <si>
    <t xml:space="preserve">24 bits</t>
  </si>
  <si>
    <t xml:space="preserve">cerca de 6 dB por bit</t>
  </si>
  <si>
    <t xml:space="preserve">16 bits: cerca de 96 dB. Com 24 bits, o limite é o conversor: 110 a 120 dB.</t>
  </si>
  <si>
    <t xml:space="preserve">Teto</t>
  </si>
  <si>
    <t xml:space="preserve">0 dBFS</t>
  </si>
  <si>
    <t xml:space="preserve">acima dele, clip</t>
  </si>
  <si>
    <t xml:space="preserve">O corte é seco. Trabalhe perto de −18 dBFS.</t>
  </si>
  <si>
    <t xml:space="preserve">Valores típicos, arredondados. Os níveis e os tempos de exposição são referência para planejar, e não limite legal.</t>
  </si>
  <si>
    <t xml:space="preserve">Checklist de som e nível na sala</t>
  </si>
  <si>
    <t xml:space="preserve">Confira na montagem e na passagem de som. Escolha a situação de cada item na lista suspensa.</t>
  </si>
  <si>
    <t xml:space="preserve">#</t>
  </si>
  <si>
    <t xml:space="preserve">Grupo</t>
  </si>
  <si>
    <t xml:space="preserve">Medição</t>
  </si>
  <si>
    <t xml:space="preserve">O medidor de nível sonoro está em ponderação A e resposta lenta, e os dois ajustes estão anotados.</t>
  </si>
  <si>
    <t xml:space="preserve">O ruído de fundo da sala foi medido com o sistema mudo e o ar-condicionado ligado.</t>
  </si>
  <si>
    <t xml:space="preserve">O nível foi medido na mesa e em pelo menos cinco outros pontos da plateia, com o mesmo sinal.</t>
  </si>
  <si>
    <t xml:space="preserve">A diferença entre a primeira fileira e a mesa de som é conhecida e está anotada.</t>
  </si>
  <si>
    <t xml:space="preserve">Nenhum ponto da plateia passa do limite de volume combinado para o evento.</t>
  </si>
  <si>
    <t xml:space="preserve">Sistema</t>
  </si>
  <si>
    <t xml:space="preserve">As caixas estão acima da cabeça do público e apontadas para ele, sem obstáculo na frente das cornetas.</t>
  </si>
  <si>
    <t xml:space="preserve">A polaridade das caixas foi conferida: com as duas tocando juntas, o grave cresce no meio da sala.</t>
  </si>
  <si>
    <t xml:space="preserve">As fontes captadas por dois sinais (dois microfones, ou microfone e direct box) foram ouvidas com e sem a inversão de polaridade.</t>
  </si>
  <si>
    <t xml:space="preserve">Operação</t>
  </si>
  <si>
    <t xml:space="preserve">O operador sabe a escala de cada medidor do sistema: dBFS ou VU na mesa, dB SPL no medidor da sala.</t>
  </si>
  <si>
    <t xml:space="preserve">O nível na mesa é conferido com o medidor nos trechos mais fortes do evento, e o valor é anotado.</t>
  </si>
  <si>
    <t xml:space="preserve">Audição</t>
  </si>
  <si>
    <t xml:space="preserve">Quem fica perto das caixas ou da bateria tem protetor auricular à mão.</t>
  </si>
  <si>
    <t xml:space="preserve">Ao final, a equipe conferiu se alguém ficou com zumbido ou com o ouvido abafado, e registrou.</t>
  </si>
  <si>
    <t xml:space="preserve">Itens respondidos</t>
  </si>
  <si>
    <t xml:space="preserve">Percentual atendido (Parcial vale metade)</t>
  </si>
  <si>
    <t xml:space="preserve">Exemplo preenchido, para consulta. Use a aba Medição da sala para o seu evento.</t>
  </si>
  <si>
    <t xml:space="preserve">Culto de domingo, medição antes do louvor</t>
  </si>
  <si>
    <t xml:space="preserve">Igreja de 200 lugares</t>
  </si>
  <si>
    <t xml:space="preserve">Operador de som da escala</t>
  </si>
  <si>
    <t xml:space="preserve">Medidor de nível sonoro portátil</t>
  </si>
  <si>
    <t xml:space="preserve">A</t>
  </si>
  <si>
    <t xml:space="preserve">Lenta</t>
  </si>
  <si>
    <t xml:space="preserve">Música gravada no nível do louvor, em repetição</t>
  </si>
  <si>
    <t xml:space="preserve">Leituras em dB(A), resposta lenta, com o mesmo sinal em todos os pontos. A coluna Depois é a nova leitura, com as caixas elevadas.</t>
  </si>
  <si>
    <t xml:space="preserve">Primeira fileira, em frente à caixa</t>
  </si>
  <si>
    <t xml:space="preserve">Meio da sala (fileira 4)</t>
  </si>
  <si>
    <t xml:space="preserve">Fileira 8</t>
  </si>
  <si>
    <t xml:space="preserve">Mesa de som (referência)</t>
  </si>
  <si>
    <t xml:space="preserve">Última fileira, no centro</t>
  </si>
  <si>
    <t xml:space="preserve">Última fileira, na lateral</t>
  </si>
  <si>
    <t xml:space="preserve">O que foi ajustado</t>
  </si>
  <si>
    <t xml:space="preserve">O que foi feito</t>
  </si>
  <si>
    <t xml:space="preserve">Caixas</t>
  </si>
  <si>
    <t xml:space="preserve">Elevadas em tripés, acima da cabeça do público, e apontadas para o terço final da sala.</t>
  </si>
  <si>
    <t xml:space="preserve">Master</t>
  </si>
  <si>
    <t xml:space="preserve">2 dB abaixo do que estava.</t>
  </si>
  <si>
    <t xml:space="preserve">A diferença entre o ponto mais forte e o mais fraco caiu de 15 para 8 dB. Nenhum ponto ficou acima de 90 dB(A).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</si>
</sst>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+0.0;\-0.0;0.0"/>
    <numFmt numFmtId="166" formatCode="General"/>
    <numFmt numFmtId="167" formatCode="0.00"/>
    <numFmt numFmtId="168" formatCode="#,##0"/>
    <numFmt numFmtId="169" formatCode="0.0"/>
    <numFmt numFmtId="170" formatCode="0.000"/>
    <numFmt numFmtId="171" formatCode="#,##0.0"/>
    <numFmt numFmtId="172" formatCode="dd/mm/yyyy"/>
    <numFmt numFmtId="173" formatCode="\+0;\-0;0"/>
    <numFmt numFmtId="174" formatCode="0&quot; min&quot;"/>
    <numFmt numFmtId="17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31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G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3"/>
    <col collapsed="false" customWidth="true" hidden="false" outlineLevel="0" max="7" min="7" style="0" width="46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56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57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58</v>
      </c>
      <c r="C4" s="9" t="n">
        <v>343</v>
      </c>
      <c r="D4" s="10" t="s">
        <v>59</v>
      </c>
      <c r="E4" s="11" t="s">
        <v>60</v>
      </c>
      <c r="F4" s="11"/>
      <c r="G4" s="11"/>
    </row>
    <row r="6" customFormat="false" ht="21.75" hidden="false" customHeight="true" outlineLevel="0" collapsed="false">
      <c r="B6" s="12" t="s">
        <v>61</v>
      </c>
      <c r="C6" s="12"/>
      <c r="D6" s="12"/>
      <c r="E6" s="12"/>
      <c r="F6" s="12"/>
      <c r="G6" s="12"/>
    </row>
    <row r="7" customFormat="false" ht="15" hidden="false" customHeight="false" outlineLevel="0" collapsed="false">
      <c r="B7" s="13" t="s">
        <v>62</v>
      </c>
      <c r="C7" s="13" t="s">
        <v>63</v>
      </c>
      <c r="D7" s="13" t="s">
        <v>64</v>
      </c>
      <c r="E7" s="14" t="s">
        <v>65</v>
      </c>
      <c r="F7" s="14" t="s">
        <v>63</v>
      </c>
      <c r="G7" s="14" t="s">
        <v>66</v>
      </c>
    </row>
    <row r="8" customFormat="false" ht="21.75" hidden="false" customHeight="true" outlineLevel="0" collapsed="false">
      <c r="B8" s="4" t="s">
        <v>67</v>
      </c>
      <c r="C8" s="9" t="n">
        <v>250</v>
      </c>
      <c r="D8" s="10" t="s">
        <v>68</v>
      </c>
      <c r="E8" s="4" t="s">
        <v>69</v>
      </c>
      <c r="F8" s="15" t="n">
        <f aca="false">IF(OR(C8="",C9=""),"",IF(OR(C8&lt;=0,C9&lt;=0),"",ROUND(IF(C10="Tensão ou pressão",20,10)*LOG10(C9/C8),1)))</f>
        <v>6</v>
      </c>
      <c r="G8" s="11" t="s">
        <v>70</v>
      </c>
    </row>
    <row r="9" customFormat="false" ht="21.75" hidden="false" customHeight="true" outlineLevel="0" collapsed="false">
      <c r="B9" s="4" t="s">
        <v>71</v>
      </c>
      <c r="C9" s="9" t="n">
        <v>1000</v>
      </c>
      <c r="D9" s="10" t="s">
        <v>68</v>
      </c>
      <c r="E9" s="4" t="s">
        <v>72</v>
      </c>
      <c r="F9" s="16" t="str">
        <f aca="false">IF(F8="","",IF(ABS(F8)&lt;1,"Quase imperceptível",IF(ABS(F8)&lt;3,"Pequena: nota-se com atenção",IF(ABS(F8)&lt;6,"Clara",IF(ABS(F8)&lt;10,"Grande","Perto do dobro (ou da metade) do volume, ou mais")))))</f>
        <v>Grande</v>
      </c>
      <c r="G9" s="16"/>
    </row>
    <row r="10" customFormat="false" ht="21.75" hidden="false" customHeight="true" outlineLevel="0" collapsed="false">
      <c r="B10" s="4" t="s">
        <v>73</v>
      </c>
      <c r="C10" s="9" t="s">
        <v>74</v>
      </c>
      <c r="D10" s="10" t="s">
        <v>75</v>
      </c>
      <c r="E10" s="17"/>
      <c r="F10" s="17"/>
      <c r="G10" s="17"/>
    </row>
    <row r="11" customFormat="false" ht="21.75" hidden="false" customHeight="true" outlineLevel="0" collapsed="false">
      <c r="B11" s="11" t="s">
        <v>76</v>
      </c>
      <c r="C11" s="11"/>
      <c r="D11" s="11"/>
      <c r="E11" s="11"/>
      <c r="F11" s="11"/>
      <c r="G11" s="11"/>
    </row>
    <row r="13" customFormat="false" ht="21.75" hidden="false" customHeight="true" outlineLevel="0" collapsed="false">
      <c r="B13" s="12" t="s">
        <v>77</v>
      </c>
      <c r="C13" s="12"/>
      <c r="D13" s="12"/>
      <c r="E13" s="12"/>
      <c r="F13" s="12"/>
      <c r="G13" s="12"/>
    </row>
    <row r="14" customFormat="false" ht="15" hidden="false" customHeight="false" outlineLevel="0" collapsed="false">
      <c r="B14" s="13" t="s">
        <v>62</v>
      </c>
      <c r="C14" s="13" t="s">
        <v>63</v>
      </c>
      <c r="D14" s="13" t="s">
        <v>64</v>
      </c>
      <c r="E14" s="14" t="s">
        <v>65</v>
      </c>
      <c r="F14" s="14" t="s">
        <v>63</v>
      </c>
      <c r="G14" s="14" t="s">
        <v>66</v>
      </c>
    </row>
    <row r="15" customFormat="false" ht="21.75" hidden="false" customHeight="true" outlineLevel="0" collapsed="false">
      <c r="B15" s="4" t="s">
        <v>78</v>
      </c>
      <c r="C15" s="9" t="n">
        <v>10</v>
      </c>
      <c r="D15" s="10" t="s">
        <v>70</v>
      </c>
      <c r="E15" s="4" t="s">
        <v>79</v>
      </c>
      <c r="F15" s="18" t="n">
        <f aca="false">IF(C15="","",ROUND(10^(C15/10),2))</f>
        <v>10</v>
      </c>
      <c r="G15" s="11" t="s">
        <v>80</v>
      </c>
    </row>
    <row r="16" customFormat="false" ht="21.75" hidden="false" customHeight="true" outlineLevel="0" collapsed="false">
      <c r="B16" s="4" t="s">
        <v>81</v>
      </c>
      <c r="C16" s="9" t="n">
        <v>300</v>
      </c>
      <c r="D16" s="10" t="s">
        <v>82</v>
      </c>
      <c r="E16" s="4" t="s">
        <v>83</v>
      </c>
      <c r="F16" s="18" t="n">
        <f aca="false">IF(C15="","",ROUND(10^(C15/20),2))</f>
        <v>3.16</v>
      </c>
      <c r="G16" s="11" t="s">
        <v>80</v>
      </c>
    </row>
    <row r="17" customFormat="false" ht="21.75" hidden="false" customHeight="true" outlineLevel="0" collapsed="false">
      <c r="B17" s="17"/>
      <c r="C17" s="17"/>
      <c r="D17" s="17"/>
      <c r="E17" s="4" t="s">
        <v>84</v>
      </c>
      <c r="F17" s="19" t="n">
        <f aca="false">IF(OR(C15="",C16=""),"",ROUND(C16*10^(C15/10),0))</f>
        <v>3000</v>
      </c>
      <c r="G17" s="11" t="s">
        <v>82</v>
      </c>
    </row>
    <row r="18" customFormat="false" ht="21.75" hidden="false" customHeight="true" outlineLevel="0" collapsed="false">
      <c r="B18" s="11" t="s">
        <v>85</v>
      </c>
      <c r="C18" s="11"/>
      <c r="D18" s="11"/>
      <c r="E18" s="11"/>
      <c r="F18" s="11"/>
      <c r="G18" s="11"/>
    </row>
    <row r="20" customFormat="false" ht="21.75" hidden="false" customHeight="true" outlineLevel="0" collapsed="false">
      <c r="B20" s="12" t="s">
        <v>86</v>
      </c>
      <c r="C20" s="12"/>
      <c r="D20" s="12"/>
      <c r="E20" s="12"/>
      <c r="F20" s="12"/>
      <c r="G20" s="12"/>
    </row>
    <row r="21" customFormat="false" ht="15" hidden="false" customHeight="false" outlineLevel="0" collapsed="false">
      <c r="B21" s="13" t="s">
        <v>62</v>
      </c>
      <c r="C21" s="13" t="s">
        <v>63</v>
      </c>
      <c r="D21" s="13" t="s">
        <v>64</v>
      </c>
      <c r="E21" s="14" t="s">
        <v>65</v>
      </c>
      <c r="F21" s="14" t="s">
        <v>63</v>
      </c>
      <c r="G21" s="14" t="s">
        <v>66</v>
      </c>
    </row>
    <row r="22" customFormat="false" ht="21.75" hidden="false" customHeight="true" outlineLevel="0" collapsed="false">
      <c r="B22" s="4" t="s">
        <v>87</v>
      </c>
      <c r="C22" s="9" t="n">
        <v>100</v>
      </c>
      <c r="D22" s="10" t="s">
        <v>88</v>
      </c>
      <c r="E22" s="4" t="s">
        <v>89</v>
      </c>
      <c r="F22" s="20" t="n">
        <f aca="false">IF(OR(C22="",C23="",C24=""),"",IF(OR(C23&lt;=0,C24&lt;=0),"",ROUND(C22-20*LOG10(C24/C23),1)))</f>
        <v>78.4</v>
      </c>
      <c r="G22" s="11" t="s">
        <v>88</v>
      </c>
    </row>
    <row r="23" customFormat="false" ht="21.75" hidden="false" customHeight="true" outlineLevel="0" collapsed="false">
      <c r="B23" s="4" t="s">
        <v>90</v>
      </c>
      <c r="C23" s="9" t="n">
        <v>1</v>
      </c>
      <c r="D23" s="10" t="s">
        <v>91</v>
      </c>
      <c r="E23" s="4" t="s">
        <v>92</v>
      </c>
      <c r="F23" s="15" t="n">
        <f aca="false">IF(F22="","",ROUND(F22-C22,1))</f>
        <v>-21.6</v>
      </c>
      <c r="G23" s="11" t="s">
        <v>70</v>
      </c>
    </row>
    <row r="24" customFormat="false" ht="21.75" hidden="false" customHeight="true" outlineLevel="0" collapsed="false">
      <c r="B24" s="4" t="s">
        <v>93</v>
      </c>
      <c r="C24" s="9" t="n">
        <v>12</v>
      </c>
      <c r="D24" s="10" t="s">
        <v>91</v>
      </c>
      <c r="E24" s="4" t="s">
        <v>94</v>
      </c>
      <c r="F24" s="20" t="n">
        <f aca="false">IF(OR(C22="",C23="",C25=""),"",IF(C23&lt;=0,"",ROUND(C23*10^((C22-C25)/20),1)))</f>
        <v>5.6</v>
      </c>
      <c r="G24" s="11" t="s">
        <v>91</v>
      </c>
    </row>
    <row r="25" customFormat="false" ht="21.75" hidden="false" customHeight="true" outlineLevel="0" collapsed="false">
      <c r="B25" s="4" t="s">
        <v>95</v>
      </c>
      <c r="C25" s="9" t="n">
        <v>85</v>
      </c>
      <c r="D25" s="10" t="s">
        <v>88</v>
      </c>
      <c r="E25" s="17"/>
      <c r="F25" s="17"/>
      <c r="G25" s="17"/>
    </row>
    <row r="26" customFormat="false" ht="21.75" hidden="false" customHeight="true" outlineLevel="0" collapsed="false">
      <c r="B26" s="11" t="s">
        <v>96</v>
      </c>
      <c r="C26" s="11"/>
      <c r="D26" s="11"/>
      <c r="E26" s="11"/>
      <c r="F26" s="11"/>
      <c r="G26" s="11"/>
    </row>
    <row r="28" customFormat="false" ht="21.75" hidden="false" customHeight="true" outlineLevel="0" collapsed="false">
      <c r="B28" s="12" t="s">
        <v>97</v>
      </c>
      <c r="C28" s="12"/>
      <c r="D28" s="12"/>
      <c r="E28" s="12"/>
      <c r="F28" s="12"/>
      <c r="G28" s="12"/>
    </row>
    <row r="29" customFormat="false" ht="15" hidden="false" customHeight="false" outlineLevel="0" collapsed="false">
      <c r="B29" s="13" t="s">
        <v>62</v>
      </c>
      <c r="C29" s="13" t="s">
        <v>63</v>
      </c>
      <c r="D29" s="13" t="s">
        <v>64</v>
      </c>
      <c r="E29" s="14" t="s">
        <v>65</v>
      </c>
      <c r="F29" s="14" t="s">
        <v>63</v>
      </c>
      <c r="G29" s="14" t="s">
        <v>66</v>
      </c>
    </row>
    <row r="30" customFormat="false" ht="21.75" hidden="false" customHeight="true" outlineLevel="0" collapsed="false">
      <c r="B30" s="4" t="s">
        <v>98</v>
      </c>
      <c r="C30" s="9" t="n">
        <v>90</v>
      </c>
      <c r="D30" s="10" t="s">
        <v>70</v>
      </c>
      <c r="E30" s="4" t="s">
        <v>99</v>
      </c>
      <c r="F30" s="20" t="n">
        <f aca="false">IF(COUNT(C30:C33)=0,"",ROUND(10*LOG10(IF(C30="",0,10^(C30/10))+IF(C31="",0,10^(C31/10))+IF(C32="",0,10^(C32/10))+IF(C33="",0,10^(C33/10))),1))</f>
        <v>93</v>
      </c>
      <c r="G30" s="11" t="s">
        <v>70</v>
      </c>
    </row>
    <row r="31" customFormat="false" ht="21.75" hidden="false" customHeight="true" outlineLevel="0" collapsed="false">
      <c r="B31" s="4" t="s">
        <v>100</v>
      </c>
      <c r="C31" s="9" t="n">
        <v>90</v>
      </c>
      <c r="D31" s="10" t="s">
        <v>70</v>
      </c>
      <c r="E31" s="4" t="s">
        <v>101</v>
      </c>
      <c r="F31" s="15" t="n">
        <f aca="false">IF(F30="","",ROUND(F30-MAX(C30:C33),1))</f>
        <v>3</v>
      </c>
      <c r="G31" s="11" t="s">
        <v>70</v>
      </c>
    </row>
    <row r="32" customFormat="false" ht="21.75" hidden="false" customHeight="true" outlineLevel="0" collapsed="false">
      <c r="B32" s="4" t="s">
        <v>102</v>
      </c>
      <c r="C32" s="9"/>
      <c r="D32" s="10" t="s">
        <v>70</v>
      </c>
      <c r="E32" s="17"/>
      <c r="F32" s="17"/>
      <c r="G32" s="17"/>
    </row>
    <row r="33" customFormat="false" ht="21.75" hidden="false" customHeight="true" outlineLevel="0" collapsed="false">
      <c r="B33" s="4" t="s">
        <v>103</v>
      </c>
      <c r="C33" s="9"/>
      <c r="D33" s="10" t="s">
        <v>70</v>
      </c>
      <c r="E33" s="17"/>
      <c r="F33" s="17"/>
      <c r="G33" s="17"/>
    </row>
    <row r="34" customFormat="false" ht="21.75" hidden="false" customHeight="true" outlineLevel="0" collapsed="false">
      <c r="B34" s="11" t="s">
        <v>104</v>
      </c>
      <c r="C34" s="11"/>
      <c r="D34" s="11"/>
      <c r="E34" s="11"/>
      <c r="F34" s="11"/>
      <c r="G34" s="11"/>
    </row>
    <row r="36" customFormat="false" ht="21.75" hidden="false" customHeight="true" outlineLevel="0" collapsed="false">
      <c r="B36" s="12" t="s">
        <v>105</v>
      </c>
      <c r="C36" s="12"/>
      <c r="D36" s="12"/>
      <c r="E36" s="12"/>
      <c r="F36" s="12"/>
      <c r="G36" s="12"/>
    </row>
    <row r="37" customFormat="false" ht="15" hidden="false" customHeight="false" outlineLevel="0" collapsed="false">
      <c r="B37" s="13" t="s">
        <v>62</v>
      </c>
      <c r="C37" s="13" t="s">
        <v>63</v>
      </c>
      <c r="D37" s="13" t="s">
        <v>64</v>
      </c>
      <c r="E37" s="14" t="s">
        <v>65</v>
      </c>
      <c r="F37" s="14" t="s">
        <v>63</v>
      </c>
      <c r="G37" s="14" t="s">
        <v>66</v>
      </c>
    </row>
    <row r="38" customFormat="false" ht="21.75" hidden="false" customHeight="true" outlineLevel="0" collapsed="false">
      <c r="B38" s="4" t="s">
        <v>106</v>
      </c>
      <c r="C38" s="9" t="n">
        <v>1.228</v>
      </c>
      <c r="D38" s="10" t="s">
        <v>107</v>
      </c>
      <c r="E38" s="4" t="s">
        <v>108</v>
      </c>
      <c r="F38" s="15" t="n">
        <f aca="false">IF(C38="","",IF(C38&lt;=0,"",ROUND(20*LOG10(C38/0.775),1)))</f>
        <v>4</v>
      </c>
      <c r="G38" s="11" t="s">
        <v>109</v>
      </c>
    </row>
    <row r="39" customFormat="false" ht="21.75" hidden="false" customHeight="true" outlineLevel="0" collapsed="false">
      <c r="B39" s="4" t="s">
        <v>110</v>
      </c>
      <c r="C39" s="9" t="n">
        <v>-10</v>
      </c>
      <c r="D39" s="10" t="s">
        <v>109</v>
      </c>
      <c r="E39" s="4" t="s">
        <v>111</v>
      </c>
      <c r="F39" s="15" t="n">
        <f aca="false">IF(C38="","",IF(C38&lt;=0,"",ROUND(20*LOG10(C38),1)))</f>
        <v>1.8</v>
      </c>
      <c r="G39" s="11" t="s">
        <v>112</v>
      </c>
    </row>
    <row r="40" customFormat="false" ht="21.75" hidden="false" customHeight="true" outlineLevel="0" collapsed="false">
      <c r="B40" s="17"/>
      <c r="C40" s="17"/>
      <c r="D40" s="17"/>
      <c r="E40" s="4" t="s">
        <v>113</v>
      </c>
      <c r="F40" s="21" t="n">
        <f aca="false">IF(C39="","",ROUND(0.775*10^(C39/20),3))</f>
        <v>0.245</v>
      </c>
      <c r="G40" s="11" t="s">
        <v>107</v>
      </c>
    </row>
    <row r="41" customFormat="false" ht="21.75" hidden="false" customHeight="true" outlineLevel="0" collapsed="false">
      <c r="B41" s="11" t="s">
        <v>114</v>
      </c>
      <c r="C41" s="11"/>
      <c r="D41" s="11"/>
      <c r="E41" s="11"/>
      <c r="F41" s="11"/>
      <c r="G41" s="11"/>
    </row>
    <row r="43" customFormat="false" ht="21.75" hidden="false" customHeight="true" outlineLevel="0" collapsed="false">
      <c r="B43" s="12" t="s">
        <v>115</v>
      </c>
      <c r="C43" s="12"/>
      <c r="D43" s="12"/>
      <c r="E43" s="12"/>
      <c r="F43" s="12"/>
      <c r="G43" s="12"/>
    </row>
    <row r="44" customFormat="false" ht="15" hidden="false" customHeight="false" outlineLevel="0" collapsed="false">
      <c r="B44" s="13" t="s">
        <v>62</v>
      </c>
      <c r="C44" s="13" t="s">
        <v>63</v>
      </c>
      <c r="D44" s="13" t="s">
        <v>64</v>
      </c>
      <c r="E44" s="14" t="s">
        <v>65</v>
      </c>
      <c r="F44" s="14" t="s">
        <v>63</v>
      </c>
      <c r="G44" s="14" t="s">
        <v>66</v>
      </c>
    </row>
    <row r="45" customFormat="false" ht="21.75" hidden="false" customHeight="true" outlineLevel="0" collapsed="false">
      <c r="B45" s="4" t="s">
        <v>116</v>
      </c>
      <c r="C45" s="9" t="n">
        <v>100</v>
      </c>
      <c r="D45" s="10" t="s">
        <v>117</v>
      </c>
      <c r="E45" s="4" t="s">
        <v>118</v>
      </c>
      <c r="F45" s="21" t="n">
        <f aca="false">IF(C45="","",IF(C45&lt;=0,"",ROUND(1000/C45,3)))</f>
        <v>10</v>
      </c>
      <c r="G45" s="11" t="s">
        <v>119</v>
      </c>
    </row>
    <row r="46" customFormat="false" ht="21.75" hidden="false" customHeight="true" outlineLevel="0" collapsed="false">
      <c r="B46" s="17"/>
      <c r="C46" s="17"/>
      <c r="D46" s="17"/>
      <c r="E46" s="4" t="s">
        <v>120</v>
      </c>
      <c r="F46" s="21" t="n">
        <f aca="false">IF(OR(C45="",$C$4=""),"",IF(C45&lt;=0,"",ROUND($C$4/C45,3)))</f>
        <v>3.43</v>
      </c>
      <c r="G46" s="11" t="s">
        <v>91</v>
      </c>
    </row>
    <row r="47" customFormat="false" ht="21.75" hidden="false" customHeight="true" outlineLevel="0" collapsed="false">
      <c r="B47" s="17"/>
      <c r="C47" s="17"/>
      <c r="D47" s="17"/>
      <c r="E47" s="4" t="s">
        <v>121</v>
      </c>
      <c r="F47" s="22" t="n">
        <f aca="false">IF(C45="","",ROUND(C45*2,1))</f>
        <v>200</v>
      </c>
      <c r="G47" s="11" t="s">
        <v>117</v>
      </c>
    </row>
    <row r="48" customFormat="false" ht="21.75" hidden="false" customHeight="true" outlineLevel="0" collapsed="false">
      <c r="B48" s="17"/>
      <c r="C48" s="17"/>
      <c r="D48" s="17"/>
      <c r="E48" s="4" t="s">
        <v>122</v>
      </c>
      <c r="F48" s="22" t="n">
        <f aca="false">IF(C45="","",ROUND(C45/2,1))</f>
        <v>50</v>
      </c>
      <c r="G48" s="11" t="s">
        <v>117</v>
      </c>
    </row>
    <row r="49" customFormat="false" ht="21.75" hidden="false" customHeight="true" outlineLevel="0" collapsed="false">
      <c r="B49" s="17"/>
      <c r="C49" s="17"/>
      <c r="D49" s="17"/>
      <c r="E49" s="4" t="s">
        <v>123</v>
      </c>
      <c r="F49" s="16" t="str">
        <f aca="false">IF(C45="","",IF(C45&lt;20,"Abaixo de 20 Hz",IF(C45&lt;60,"Subgrave",IF(C45&lt;250,"Grave",IF(C45&lt;500,"Médio-grave",IF(C45&lt;2000,"Médio",IF(C45&lt;6000,"Médio-agudo",IF(C45&lt;=20000,"Agudo","Acima de 20 kHz"))))))))</f>
        <v>Grave</v>
      </c>
      <c r="G49" s="16"/>
    </row>
    <row r="51" customFormat="false" ht="21.75" hidden="false" customHeight="true" outlineLevel="0" collapsed="false">
      <c r="B51" s="12" t="s">
        <v>124</v>
      </c>
      <c r="C51" s="12"/>
      <c r="D51" s="12"/>
      <c r="E51" s="12"/>
      <c r="F51" s="12"/>
      <c r="G51" s="12"/>
    </row>
    <row r="52" customFormat="false" ht="15" hidden="false" customHeight="false" outlineLevel="0" collapsed="false">
      <c r="B52" s="13" t="s">
        <v>62</v>
      </c>
      <c r="C52" s="13" t="s">
        <v>63</v>
      </c>
      <c r="D52" s="13" t="s">
        <v>64</v>
      </c>
      <c r="E52" s="14" t="s">
        <v>65</v>
      </c>
      <c r="F52" s="14" t="s">
        <v>63</v>
      </c>
      <c r="G52" s="14" t="s">
        <v>66</v>
      </c>
    </row>
    <row r="53" customFormat="false" ht="21.75" hidden="false" customHeight="true" outlineLevel="0" collapsed="false">
      <c r="B53" s="4" t="s">
        <v>125</v>
      </c>
      <c r="C53" s="9" t="n">
        <v>0.34</v>
      </c>
      <c r="D53" s="10" t="s">
        <v>91</v>
      </c>
      <c r="E53" s="4" t="s">
        <v>126</v>
      </c>
      <c r="F53" s="18" t="n">
        <f aca="false">IF(OR(C53="",$C$4=""),"",ROUND(C53/$C$4*1000,2))</f>
        <v>0.99</v>
      </c>
      <c r="G53" s="11" t="s">
        <v>119</v>
      </c>
    </row>
    <row r="54" customFormat="false" ht="21.75" hidden="false" customHeight="true" outlineLevel="0" collapsed="false">
      <c r="B54" s="17"/>
      <c r="C54" s="17"/>
      <c r="D54" s="17"/>
      <c r="E54" s="4" t="s">
        <v>127</v>
      </c>
      <c r="F54" s="19" t="n">
        <f aca="false">IF(OR(C53="",$C$4=""),"",IF(C53&lt;=0,"",ROUND($C$4/(2*C53),0)))</f>
        <v>504</v>
      </c>
      <c r="G54" s="11" t="s">
        <v>117</v>
      </c>
    </row>
    <row r="55" customFormat="false" ht="21.75" hidden="false" customHeight="true" outlineLevel="0" collapsed="false">
      <c r="B55" s="17"/>
      <c r="C55" s="17"/>
      <c r="D55" s="17"/>
      <c r="E55" s="4" t="s">
        <v>128</v>
      </c>
      <c r="F55" s="19" t="n">
        <f aca="false">IF(F54="","",F54*3)</f>
        <v>1512</v>
      </c>
      <c r="G55" s="11" t="s">
        <v>117</v>
      </c>
    </row>
    <row r="56" customFormat="false" ht="21.75" hidden="false" customHeight="true" outlineLevel="0" collapsed="false">
      <c r="B56" s="17"/>
      <c r="C56" s="17"/>
      <c r="D56" s="17"/>
      <c r="E56" s="4" t="s">
        <v>129</v>
      </c>
      <c r="F56" s="19" t="n">
        <f aca="false">IF(F54="","",F54*2)</f>
        <v>1008</v>
      </c>
      <c r="G56" s="11" t="s">
        <v>117</v>
      </c>
    </row>
    <row r="57" customFormat="false" ht="21.75" hidden="false" customHeight="true" outlineLevel="0" collapsed="false">
      <c r="B57" s="11" t="s">
        <v>130</v>
      </c>
      <c r="C57" s="11"/>
      <c r="D57" s="11"/>
      <c r="E57" s="11"/>
      <c r="F57" s="11"/>
      <c r="G57" s="11"/>
    </row>
  </sheetData>
  <mergeCells count="18">
    <mergeCell ref="B1:G1"/>
    <mergeCell ref="B2:G2"/>
    <mergeCell ref="E4:G4"/>
    <mergeCell ref="B6:G6"/>
    <mergeCell ref="F9:G9"/>
    <mergeCell ref="B11:G11"/>
    <mergeCell ref="B13:G13"/>
    <mergeCell ref="B18:G18"/>
    <mergeCell ref="B20:G20"/>
    <mergeCell ref="B26:G26"/>
    <mergeCell ref="B28:G28"/>
    <mergeCell ref="B34:G34"/>
    <mergeCell ref="B36:G36"/>
    <mergeCell ref="B41:G41"/>
    <mergeCell ref="B43:G43"/>
    <mergeCell ref="F49:G49"/>
    <mergeCell ref="B51:G51"/>
    <mergeCell ref="B57:G57"/>
  </mergeCells>
  <dataValidations count="9">
    <dataValidation allowBlank="true" error="Digite apenas o número, sem texto nem unidade." errorStyle="stop" errorTitle="Valor inválido" operator="between" showDropDown="false" showErrorMessage="true" showInputMessage="false" sqref="C4" type="decimal">
      <formula1>-1000000000</formula1>
      <formula2>1000000000</formula2>
    </dataValidation>
    <dataValidation allowBlank="true" error="Escolha uma das opções da lista." errorStyle="stop" errorTitle="Valor inválido" operator="between" prompt="Potência (watts) ou tensão e pressão (volts, pascals)." promptTitle="Opções" showDropDown="false" showErrorMessage="true" showInputMessage="true" sqref="C10" type="list">
      <formula1>"Potência,Tensão ou pressão"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C8:C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5:C1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22:C2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0:C3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8:C3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4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5" min="4" style="0" width="11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46"/>
    <col collapsed="false" customWidth="true" hidden="false" outlineLevel="0" max="13" min="12" style="0" width="11"/>
    <col collapsed="false" customWidth="true" hidden="false" outlineLevel="0" max="14" min="14" style="0" width="30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133</v>
      </c>
      <c r="C4" s="4"/>
      <c r="D4" s="5"/>
      <c r="E4" s="5"/>
      <c r="F4" s="5"/>
      <c r="G4" s="5"/>
      <c r="H4" s="5"/>
      <c r="I4" s="4" t="s">
        <v>134</v>
      </c>
      <c r="J4" s="4"/>
      <c r="K4" s="4"/>
      <c r="L4" s="9" t="n">
        <v>90</v>
      </c>
      <c r="M4" s="11" t="s">
        <v>135</v>
      </c>
      <c r="N4" s="11"/>
    </row>
    <row r="5" customFormat="false" ht="21.75" hidden="false" customHeight="true" outlineLevel="0" collapsed="false">
      <c r="B5" s="4" t="s">
        <v>136</v>
      </c>
      <c r="C5" s="4"/>
      <c r="D5" s="5"/>
      <c r="E5" s="5"/>
      <c r="F5" s="5"/>
      <c r="G5" s="5"/>
      <c r="H5" s="5"/>
      <c r="I5" s="4" t="s">
        <v>137</v>
      </c>
      <c r="J5" s="4"/>
      <c r="K5" s="4"/>
      <c r="L5" s="9" t="n">
        <v>6</v>
      </c>
      <c r="M5" s="11" t="s">
        <v>138</v>
      </c>
      <c r="N5" s="11"/>
    </row>
    <row r="6" customFormat="false" ht="21.75" hidden="false" customHeight="true" outlineLevel="0" collapsed="false">
      <c r="B6" s="4" t="s">
        <v>139</v>
      </c>
      <c r="C6" s="4"/>
      <c r="D6" s="23"/>
      <c r="E6" s="23"/>
      <c r="F6" s="23"/>
      <c r="G6" s="23"/>
      <c r="H6" s="23"/>
      <c r="I6" s="4" t="s">
        <v>140</v>
      </c>
      <c r="J6" s="4"/>
      <c r="K6" s="4"/>
      <c r="L6" s="9"/>
      <c r="M6" s="11" t="s">
        <v>141</v>
      </c>
      <c r="N6" s="11"/>
    </row>
    <row r="7" customFormat="false" ht="21.75" hidden="false" customHeight="true" outlineLevel="0" collapsed="false">
      <c r="B7" s="4" t="s">
        <v>142</v>
      </c>
      <c r="C7" s="4"/>
      <c r="D7" s="5"/>
      <c r="E7" s="5"/>
      <c r="F7" s="5"/>
      <c r="G7" s="5"/>
      <c r="H7" s="5"/>
      <c r="I7" s="4" t="s">
        <v>143</v>
      </c>
      <c r="J7" s="4"/>
      <c r="K7" s="4"/>
      <c r="L7" s="9"/>
      <c r="M7" s="11" t="s">
        <v>144</v>
      </c>
      <c r="N7" s="11"/>
    </row>
    <row r="8" customFormat="false" ht="21.75" hidden="false" customHeight="true" outlineLevel="0" collapsed="false">
      <c r="B8" s="4" t="s">
        <v>145</v>
      </c>
      <c r="C8" s="4"/>
      <c r="D8" s="5"/>
      <c r="E8" s="5"/>
      <c r="F8" s="5"/>
      <c r="G8" s="5"/>
      <c r="H8" s="5"/>
      <c r="I8" s="4" t="s">
        <v>146</v>
      </c>
      <c r="J8" s="4"/>
      <c r="K8" s="4"/>
      <c r="L8" s="8" t="str">
        <f aca="false">IF($L$7="","",IFERROR(IF(INDEX($E$17:$E$32,MATCH($L$7,$B$17:$B$32,0))="","",INDEX($E$17:$E$32,MATCH($L$7,$B$17:$B$32,0))),""))</f>
        <v/>
      </c>
      <c r="M8" s="11" t="s">
        <v>147</v>
      </c>
      <c r="N8" s="11"/>
    </row>
    <row r="9" customFormat="false" ht="21.75" hidden="false" customHeight="true" outlineLevel="0" collapsed="false">
      <c r="B9" s="4" t="s">
        <v>148</v>
      </c>
      <c r="C9" s="4"/>
      <c r="D9" s="5"/>
      <c r="E9" s="5"/>
      <c r="F9" s="5"/>
      <c r="G9" s="5"/>
      <c r="H9" s="5"/>
      <c r="I9" s="4" t="s">
        <v>149</v>
      </c>
      <c r="J9" s="4"/>
      <c r="K9" s="4"/>
      <c r="L9" s="8" t="str">
        <f aca="false">IF($L$7="","",IFERROR(IF(INDEX($D$17:$D$32,MATCH($L$7,$B$17:$B$32,0))="","",INDEX($D$17:$D$32,MATCH($L$7,$B$17:$B$32,0))),""))</f>
        <v/>
      </c>
      <c r="M9" s="11" t="s">
        <v>147</v>
      </c>
      <c r="N9" s="11"/>
    </row>
    <row r="10" customFormat="false" ht="21.75" hidden="false" customHeight="true" outlineLevel="0" collapsed="false">
      <c r="B10" s="4" t="s">
        <v>150</v>
      </c>
      <c r="C10" s="4"/>
      <c r="D10" s="5"/>
      <c r="E10" s="5"/>
      <c r="F10" s="5"/>
      <c r="G10" s="5"/>
      <c r="H10" s="5"/>
      <c r="I10" s="11" t="s">
        <v>151</v>
      </c>
      <c r="J10" s="11"/>
      <c r="K10" s="11"/>
      <c r="L10" s="11"/>
      <c r="M10" s="11"/>
      <c r="N10" s="11"/>
    </row>
    <row r="11" customFormat="false" ht="21.75" hidden="false" customHeight="true" outlineLevel="0" collapsed="false">
      <c r="B11" s="4" t="s">
        <v>152</v>
      </c>
      <c r="C11" s="4"/>
      <c r="D11" s="5"/>
      <c r="E11" s="5"/>
      <c r="F11" s="5"/>
      <c r="G11" s="5"/>
      <c r="H11" s="5"/>
      <c r="I11" s="11"/>
      <c r="J11" s="11"/>
      <c r="K11" s="11"/>
      <c r="L11" s="11"/>
      <c r="M11" s="11"/>
      <c r="N11" s="11"/>
    </row>
    <row r="13" customFormat="false" ht="21.75" hidden="false" customHeight="true" outlineLevel="0" collapsed="false">
      <c r="B13" s="12" t="s">
        <v>153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30" hidden="false" customHeight="true" outlineLevel="0" collapsed="false">
      <c r="B14" s="24" t="s">
        <v>154</v>
      </c>
      <c r="C14" s="24" t="s">
        <v>155</v>
      </c>
      <c r="D14" s="13" t="s">
        <v>156</v>
      </c>
      <c r="E14" s="13" t="s">
        <v>157</v>
      </c>
      <c r="F14" s="14" t="s">
        <v>158</v>
      </c>
      <c r="G14" s="14" t="s">
        <v>46</v>
      </c>
      <c r="H14" s="14" t="s">
        <v>159</v>
      </c>
      <c r="I14" s="14" t="s">
        <v>50</v>
      </c>
      <c r="J14" s="14" t="s">
        <v>160</v>
      </c>
      <c r="K14" s="14" t="s">
        <v>161</v>
      </c>
      <c r="L14" s="13" t="s">
        <v>162</v>
      </c>
      <c r="M14" s="14" t="s">
        <v>92</v>
      </c>
      <c r="N14" s="24" t="s">
        <v>163</v>
      </c>
    </row>
    <row r="15" customFormat="false" ht="27" hidden="false" customHeight="true" outlineLevel="0" collapsed="false">
      <c r="B15" s="25"/>
      <c r="C15" s="25" t="s">
        <v>164</v>
      </c>
      <c r="D15" s="25" t="s">
        <v>165</v>
      </c>
      <c r="E15" s="25" t="s">
        <v>70</v>
      </c>
      <c r="F15" s="25" t="s">
        <v>70</v>
      </c>
      <c r="G15" s="25" t="s">
        <v>70</v>
      </c>
      <c r="H15" s="25" t="s">
        <v>70</v>
      </c>
      <c r="I15" s="25" t="s">
        <v>166</v>
      </c>
      <c r="J15" s="25"/>
      <c r="K15" s="25"/>
      <c r="L15" s="25" t="s">
        <v>167</v>
      </c>
      <c r="M15" s="25" t="s">
        <v>70</v>
      </c>
      <c r="N15" s="25"/>
    </row>
    <row r="16" customFormat="false" ht="24" hidden="false" customHeight="true" outlineLevel="0" collapsed="false">
      <c r="B16" s="25" t="s">
        <v>168</v>
      </c>
      <c r="C16" s="11" t="s">
        <v>169</v>
      </c>
      <c r="D16" s="25" t="n">
        <v>3</v>
      </c>
      <c r="E16" s="25" t="n">
        <v>96</v>
      </c>
      <c r="F16" s="25" t="n">
        <v>10</v>
      </c>
      <c r="G16" s="25" t="n">
        <v>98</v>
      </c>
      <c r="H16" s="25" t="n">
        <v>-2</v>
      </c>
      <c r="I16" s="25" t="n">
        <v>38</v>
      </c>
      <c r="J16" s="25" t="s">
        <v>170</v>
      </c>
      <c r="K16" s="11" t="s">
        <v>171</v>
      </c>
      <c r="L16" s="25" t="n">
        <v>89</v>
      </c>
      <c r="M16" s="25" t="n">
        <v>-7</v>
      </c>
      <c r="N16" s="11"/>
    </row>
    <row r="17" customFormat="false" ht="21.75" hidden="false" customHeight="true" outlineLevel="0" collapsed="false">
      <c r="B17" s="26" t="n">
        <v>1</v>
      </c>
      <c r="C17" s="5"/>
      <c r="D17" s="9"/>
      <c r="E17" s="9"/>
      <c r="F17" s="27" t="str">
        <f aca="false">IF(OR(E17="",$L$8=""),"",E17-$L$8)</f>
        <v/>
      </c>
      <c r="G17" s="28" t="str">
        <f aca="false">IF(OR(D17="",$L$8="",$L$9=""),"",IF(OR(D17&lt;=0,$L$9&lt;=0),"",ROUND($L$8-20*LOG10(D17/$L$9),1)))</f>
        <v/>
      </c>
      <c r="H17" s="29" t="str">
        <f aca="false">IF(OR(E17="",G17=""),"",ROUND(E17-G17,1))</f>
        <v/>
      </c>
      <c r="I17" s="30" t="str">
        <f aca="false">IF(E17="","",IF(E17&lt;85,"mais de 8 h",ROUND(480/2^((E17-85)/3),0)))</f>
        <v/>
      </c>
      <c r="J17" s="31" t="str">
        <f aca="false">IF(E17="","",IF(AND($L$6&lt;&gt;"",E17-$L$6&lt;10),"Ruído",IF(AND($L$4&lt;&gt;"",E17&gt;$L$4),"Acima do limite",IF(F17="","OK",IF(F17&gt;$L$5,"Forte",IF(F17&lt;-$L$5,"Fraco","OK"))))))</f>
        <v/>
      </c>
      <c r="K17" s="32" t="str">
        <f aca="false">IF(J17="","",IF(J17="Ruído","Sinal de teste fraco: suba o sinal ou meça com menos ruído",IF(J17="Acima do limite",IF(AND(F17&lt;&gt;"",F17&gt;0),"Eleve ou redirecione a caixa; se não bastar, baixe o master","Sala toda alta: baixe o master"),IF(J17="Forte","Eleve ou redirecione a caixa; afaste o público da frente dela",IF(J17="Fraco","Redirecione a caixa, confira obstáculos ou use caixa de reforço","Manter")))))</f>
        <v/>
      </c>
      <c r="L17" s="9"/>
      <c r="M17" s="27" t="str">
        <f aca="false">IF(OR(E17="",L17=""),"",L17-E17)</f>
        <v/>
      </c>
      <c r="N17" s="5"/>
    </row>
    <row r="18" customFormat="false" ht="21.75" hidden="false" customHeight="true" outlineLevel="0" collapsed="false">
      <c r="B18" s="26" t="n">
        <v>2</v>
      </c>
      <c r="C18" s="5"/>
      <c r="D18" s="9"/>
      <c r="E18" s="9"/>
      <c r="F18" s="27" t="str">
        <f aca="false">IF(OR(E18="",$L$8=""),"",E18-$L$8)</f>
        <v/>
      </c>
      <c r="G18" s="28" t="str">
        <f aca="false">IF(OR(D18="",$L$8="",$L$9=""),"",IF(OR(D18&lt;=0,$L$9&lt;=0),"",ROUND($L$8-20*LOG10(D18/$L$9),1)))</f>
        <v/>
      </c>
      <c r="H18" s="29" t="str">
        <f aca="false">IF(OR(E18="",G18=""),"",ROUND(E18-G18,1))</f>
        <v/>
      </c>
      <c r="I18" s="30" t="str">
        <f aca="false">IF(E18="","",IF(E18&lt;85,"mais de 8 h",ROUND(480/2^((E18-85)/3),0)))</f>
        <v/>
      </c>
      <c r="J18" s="31" t="str">
        <f aca="false">IF(E18="","",IF(AND($L$6&lt;&gt;"",E18-$L$6&lt;10),"Ruído",IF(AND($L$4&lt;&gt;"",E18&gt;$L$4),"Acima do limite",IF(F18="","OK",IF(F18&gt;$L$5,"Forte",IF(F18&lt;-$L$5,"Fraco","OK"))))))</f>
        <v/>
      </c>
      <c r="K18" s="32" t="str">
        <f aca="false">IF(J18="","",IF(J18="Ruído","Sinal de teste fraco: suba o sinal ou meça com menos ruído",IF(J18="Acima do limite",IF(AND(F18&lt;&gt;"",F18&gt;0),"Eleve ou redirecione a caixa; se não bastar, baixe o master","Sala toda alta: baixe o master"),IF(J18="Forte","Eleve ou redirecione a caixa; afaste o público da frente dela",IF(J18="Fraco","Redirecione a caixa, confira obstáculos ou use caixa de reforço","Manter")))))</f>
        <v/>
      </c>
      <c r="L18" s="9"/>
      <c r="M18" s="27" t="str">
        <f aca="false">IF(OR(E18="",L18=""),"",L18-E18)</f>
        <v/>
      </c>
      <c r="N18" s="5"/>
    </row>
    <row r="19" customFormat="false" ht="21.75" hidden="false" customHeight="true" outlineLevel="0" collapsed="false">
      <c r="B19" s="26" t="n">
        <v>3</v>
      </c>
      <c r="C19" s="5"/>
      <c r="D19" s="9"/>
      <c r="E19" s="9"/>
      <c r="F19" s="27" t="str">
        <f aca="false">IF(OR(E19="",$L$8=""),"",E19-$L$8)</f>
        <v/>
      </c>
      <c r="G19" s="28" t="str">
        <f aca="false">IF(OR(D19="",$L$8="",$L$9=""),"",IF(OR(D19&lt;=0,$L$9&lt;=0),"",ROUND($L$8-20*LOG10(D19/$L$9),1)))</f>
        <v/>
      </c>
      <c r="H19" s="29" t="str">
        <f aca="false">IF(OR(E19="",G19=""),"",ROUND(E19-G19,1))</f>
        <v/>
      </c>
      <c r="I19" s="30" t="str">
        <f aca="false">IF(E19="","",IF(E19&lt;85,"mais de 8 h",ROUND(480/2^((E19-85)/3),0)))</f>
        <v/>
      </c>
      <c r="J19" s="31" t="str">
        <f aca="false">IF(E19="","",IF(AND($L$6&lt;&gt;"",E19-$L$6&lt;10),"Ruído",IF(AND($L$4&lt;&gt;"",E19&gt;$L$4),"Acima do limite",IF(F19="","OK",IF(F19&gt;$L$5,"Forte",IF(F19&lt;-$L$5,"Fraco","OK"))))))</f>
        <v/>
      </c>
      <c r="K19" s="32" t="str">
        <f aca="false">IF(J19="","",IF(J19="Ruído","Sinal de teste fraco: suba o sinal ou meça com menos ruído",IF(J19="Acima do limite",IF(AND(F19&lt;&gt;"",F19&gt;0),"Eleve ou redirecione a caixa; se não bastar, baixe o master","Sala toda alta: baixe o master"),IF(J19="Forte","Eleve ou redirecione a caixa; afaste o público da frente dela",IF(J19="Fraco","Redirecione a caixa, confira obstáculos ou use caixa de reforço","Manter")))))</f>
        <v/>
      </c>
      <c r="L19" s="9"/>
      <c r="M19" s="27" t="str">
        <f aca="false">IF(OR(E19="",L19=""),"",L19-E19)</f>
        <v/>
      </c>
      <c r="N19" s="5"/>
    </row>
    <row r="20" customFormat="false" ht="21.75" hidden="false" customHeight="true" outlineLevel="0" collapsed="false">
      <c r="B20" s="26" t="n">
        <v>4</v>
      </c>
      <c r="C20" s="5"/>
      <c r="D20" s="9"/>
      <c r="E20" s="9"/>
      <c r="F20" s="27" t="str">
        <f aca="false">IF(OR(E20="",$L$8=""),"",E20-$L$8)</f>
        <v/>
      </c>
      <c r="G20" s="28" t="str">
        <f aca="false">IF(OR(D20="",$L$8="",$L$9=""),"",IF(OR(D20&lt;=0,$L$9&lt;=0),"",ROUND($L$8-20*LOG10(D20/$L$9),1)))</f>
        <v/>
      </c>
      <c r="H20" s="29" t="str">
        <f aca="false">IF(OR(E20="",G20=""),"",ROUND(E20-G20,1))</f>
        <v/>
      </c>
      <c r="I20" s="30" t="str">
        <f aca="false">IF(E20="","",IF(E20&lt;85,"mais de 8 h",ROUND(480/2^((E20-85)/3),0)))</f>
        <v/>
      </c>
      <c r="J20" s="31" t="str">
        <f aca="false">IF(E20="","",IF(AND($L$6&lt;&gt;"",E20-$L$6&lt;10),"Ruído",IF(AND($L$4&lt;&gt;"",E20&gt;$L$4),"Acima do limite",IF(F20="","OK",IF(F20&gt;$L$5,"Forte",IF(F20&lt;-$L$5,"Fraco","OK"))))))</f>
        <v/>
      </c>
      <c r="K20" s="32" t="str">
        <f aca="false">IF(J20="","",IF(J20="Ruído","Sinal de teste fraco: suba o sinal ou meça com menos ruído",IF(J20="Acima do limite",IF(AND(F20&lt;&gt;"",F20&gt;0),"Eleve ou redirecione a caixa; se não bastar, baixe o master","Sala toda alta: baixe o master"),IF(J20="Forte","Eleve ou redirecione a caixa; afaste o público da frente dela",IF(J20="Fraco","Redirecione a caixa, confira obstáculos ou use caixa de reforço","Manter")))))</f>
        <v/>
      </c>
      <c r="L20" s="9"/>
      <c r="M20" s="27" t="str">
        <f aca="false">IF(OR(E20="",L20=""),"",L20-E20)</f>
        <v/>
      </c>
      <c r="N20" s="5"/>
    </row>
    <row r="21" customFormat="false" ht="21.75" hidden="false" customHeight="true" outlineLevel="0" collapsed="false">
      <c r="B21" s="26" t="n">
        <v>5</v>
      </c>
      <c r="C21" s="5"/>
      <c r="D21" s="9"/>
      <c r="E21" s="9"/>
      <c r="F21" s="27" t="str">
        <f aca="false">IF(OR(E21="",$L$8=""),"",E21-$L$8)</f>
        <v/>
      </c>
      <c r="G21" s="28" t="str">
        <f aca="false">IF(OR(D21="",$L$8="",$L$9=""),"",IF(OR(D21&lt;=0,$L$9&lt;=0),"",ROUND($L$8-20*LOG10(D21/$L$9),1)))</f>
        <v/>
      </c>
      <c r="H21" s="29" t="str">
        <f aca="false">IF(OR(E21="",G21=""),"",ROUND(E21-G21,1))</f>
        <v/>
      </c>
      <c r="I21" s="30" t="str">
        <f aca="false">IF(E21="","",IF(E21&lt;85,"mais de 8 h",ROUND(480/2^((E21-85)/3),0)))</f>
        <v/>
      </c>
      <c r="J21" s="31" t="str">
        <f aca="false">IF(E21="","",IF(AND($L$6&lt;&gt;"",E21-$L$6&lt;10),"Ruído",IF(AND($L$4&lt;&gt;"",E21&gt;$L$4),"Acima do limite",IF(F21="","OK",IF(F21&gt;$L$5,"Forte",IF(F21&lt;-$L$5,"Fraco","OK"))))))</f>
        <v/>
      </c>
      <c r="K21" s="32" t="str">
        <f aca="false">IF(J21="","",IF(J21="Ruído","Sinal de teste fraco: suba o sinal ou meça com menos ruído",IF(J21="Acima do limite",IF(AND(F21&lt;&gt;"",F21&gt;0),"Eleve ou redirecione a caixa; se não bastar, baixe o master","Sala toda alta: baixe o master"),IF(J21="Forte","Eleve ou redirecione a caixa; afaste o público da frente dela",IF(J21="Fraco","Redirecione a caixa, confira obstáculos ou use caixa de reforço","Manter")))))</f>
        <v/>
      </c>
      <c r="L21" s="9"/>
      <c r="M21" s="27" t="str">
        <f aca="false">IF(OR(E21="",L21=""),"",L21-E21)</f>
        <v/>
      </c>
      <c r="N21" s="5"/>
    </row>
    <row r="22" customFormat="false" ht="21.75" hidden="false" customHeight="true" outlineLevel="0" collapsed="false">
      <c r="B22" s="26" t="n">
        <v>6</v>
      </c>
      <c r="C22" s="5"/>
      <c r="D22" s="9"/>
      <c r="E22" s="9"/>
      <c r="F22" s="27" t="str">
        <f aca="false">IF(OR(E22="",$L$8=""),"",E22-$L$8)</f>
        <v/>
      </c>
      <c r="G22" s="28" t="str">
        <f aca="false">IF(OR(D22="",$L$8="",$L$9=""),"",IF(OR(D22&lt;=0,$L$9&lt;=0),"",ROUND($L$8-20*LOG10(D22/$L$9),1)))</f>
        <v/>
      </c>
      <c r="H22" s="29" t="str">
        <f aca="false">IF(OR(E22="",G22=""),"",ROUND(E22-G22,1))</f>
        <v/>
      </c>
      <c r="I22" s="30" t="str">
        <f aca="false">IF(E22="","",IF(E22&lt;85,"mais de 8 h",ROUND(480/2^((E22-85)/3),0)))</f>
        <v/>
      </c>
      <c r="J22" s="31" t="str">
        <f aca="false">IF(E22="","",IF(AND($L$6&lt;&gt;"",E22-$L$6&lt;10),"Ruído",IF(AND($L$4&lt;&gt;"",E22&gt;$L$4),"Acima do limite",IF(F22="","OK",IF(F22&gt;$L$5,"Forte",IF(F22&lt;-$L$5,"Fraco","OK"))))))</f>
        <v/>
      </c>
      <c r="K22" s="32" t="str">
        <f aca="false">IF(J22="","",IF(J22="Ruído","Sinal de teste fraco: suba o sinal ou meça com menos ruído",IF(J22="Acima do limite",IF(AND(F22&lt;&gt;"",F22&gt;0),"Eleve ou redirecione a caixa; se não bastar, baixe o master","Sala toda alta: baixe o master"),IF(J22="Forte","Eleve ou redirecione a caixa; afaste o público da frente dela",IF(J22="Fraco","Redirecione a caixa, confira obstáculos ou use caixa de reforço","Manter")))))</f>
        <v/>
      </c>
      <c r="L22" s="9"/>
      <c r="M22" s="27" t="str">
        <f aca="false">IF(OR(E22="",L22=""),"",L22-E22)</f>
        <v/>
      </c>
      <c r="N22" s="5"/>
    </row>
    <row r="23" customFormat="false" ht="21.75" hidden="false" customHeight="true" outlineLevel="0" collapsed="false">
      <c r="B23" s="26" t="n">
        <v>7</v>
      </c>
      <c r="C23" s="5"/>
      <c r="D23" s="9"/>
      <c r="E23" s="9"/>
      <c r="F23" s="27" t="str">
        <f aca="false">IF(OR(E23="",$L$8=""),"",E23-$L$8)</f>
        <v/>
      </c>
      <c r="G23" s="28" t="str">
        <f aca="false">IF(OR(D23="",$L$8="",$L$9=""),"",IF(OR(D23&lt;=0,$L$9&lt;=0),"",ROUND($L$8-20*LOG10(D23/$L$9),1)))</f>
        <v/>
      </c>
      <c r="H23" s="29" t="str">
        <f aca="false">IF(OR(E23="",G23=""),"",ROUND(E23-G23,1))</f>
        <v/>
      </c>
      <c r="I23" s="30" t="str">
        <f aca="false">IF(E23="","",IF(E23&lt;85,"mais de 8 h",ROUND(480/2^((E23-85)/3),0)))</f>
        <v/>
      </c>
      <c r="J23" s="31" t="str">
        <f aca="false">IF(E23="","",IF(AND($L$6&lt;&gt;"",E23-$L$6&lt;10),"Ruído",IF(AND($L$4&lt;&gt;"",E23&gt;$L$4),"Acima do limite",IF(F23="","OK",IF(F23&gt;$L$5,"Forte",IF(F23&lt;-$L$5,"Fraco","OK"))))))</f>
        <v/>
      </c>
      <c r="K23" s="32" t="str">
        <f aca="false">IF(J23="","",IF(J23="Ruído","Sinal de teste fraco: suba o sinal ou meça com menos ruído",IF(J23="Acima do limite",IF(AND(F23&lt;&gt;"",F23&gt;0),"Eleve ou redirecione a caixa; se não bastar, baixe o master","Sala toda alta: baixe o master"),IF(J23="Forte","Eleve ou redirecione a caixa; afaste o público da frente dela",IF(J23="Fraco","Redirecione a caixa, confira obstáculos ou use caixa de reforço","Manter")))))</f>
        <v/>
      </c>
      <c r="L23" s="9"/>
      <c r="M23" s="27" t="str">
        <f aca="false">IF(OR(E23="",L23=""),"",L23-E23)</f>
        <v/>
      </c>
      <c r="N23" s="5"/>
    </row>
    <row r="24" customFormat="false" ht="21.75" hidden="false" customHeight="true" outlineLevel="0" collapsed="false">
      <c r="B24" s="26" t="n">
        <v>8</v>
      </c>
      <c r="C24" s="5"/>
      <c r="D24" s="9"/>
      <c r="E24" s="9"/>
      <c r="F24" s="27" t="str">
        <f aca="false">IF(OR(E24="",$L$8=""),"",E24-$L$8)</f>
        <v/>
      </c>
      <c r="G24" s="28" t="str">
        <f aca="false">IF(OR(D24="",$L$8="",$L$9=""),"",IF(OR(D24&lt;=0,$L$9&lt;=0),"",ROUND($L$8-20*LOG10(D24/$L$9),1)))</f>
        <v/>
      </c>
      <c r="H24" s="29" t="str">
        <f aca="false">IF(OR(E24="",G24=""),"",ROUND(E24-G24,1))</f>
        <v/>
      </c>
      <c r="I24" s="30" t="str">
        <f aca="false">IF(E24="","",IF(E24&lt;85,"mais de 8 h",ROUND(480/2^((E24-85)/3),0)))</f>
        <v/>
      </c>
      <c r="J24" s="31" t="str">
        <f aca="false">IF(E24="","",IF(AND($L$6&lt;&gt;"",E24-$L$6&lt;10),"Ruído",IF(AND($L$4&lt;&gt;"",E24&gt;$L$4),"Acima do limite",IF(F24="","OK",IF(F24&gt;$L$5,"Forte",IF(F24&lt;-$L$5,"Fraco","OK"))))))</f>
        <v/>
      </c>
      <c r="K24" s="32" t="str">
        <f aca="false">IF(J24="","",IF(J24="Ruído","Sinal de teste fraco: suba o sinal ou meça com menos ruído",IF(J24="Acima do limite",IF(AND(F24&lt;&gt;"",F24&gt;0),"Eleve ou redirecione a caixa; se não bastar, baixe o master","Sala toda alta: baixe o master"),IF(J24="Forte","Eleve ou redirecione a caixa; afaste o público da frente dela",IF(J24="Fraco","Redirecione a caixa, confira obstáculos ou use caixa de reforço","Manter")))))</f>
        <v/>
      </c>
      <c r="L24" s="9"/>
      <c r="M24" s="27" t="str">
        <f aca="false">IF(OR(E24="",L24=""),"",L24-E24)</f>
        <v/>
      </c>
      <c r="N24" s="5"/>
    </row>
    <row r="25" customFormat="false" ht="21.75" hidden="false" customHeight="true" outlineLevel="0" collapsed="false">
      <c r="B25" s="26" t="n">
        <v>9</v>
      </c>
      <c r="C25" s="5"/>
      <c r="D25" s="9"/>
      <c r="E25" s="9"/>
      <c r="F25" s="27" t="str">
        <f aca="false">IF(OR(E25="",$L$8=""),"",E25-$L$8)</f>
        <v/>
      </c>
      <c r="G25" s="28" t="str">
        <f aca="false">IF(OR(D25="",$L$8="",$L$9=""),"",IF(OR(D25&lt;=0,$L$9&lt;=0),"",ROUND($L$8-20*LOG10(D25/$L$9),1)))</f>
        <v/>
      </c>
      <c r="H25" s="29" t="str">
        <f aca="false">IF(OR(E25="",G25=""),"",ROUND(E25-G25,1))</f>
        <v/>
      </c>
      <c r="I25" s="30" t="str">
        <f aca="false">IF(E25="","",IF(E25&lt;85,"mais de 8 h",ROUND(480/2^((E25-85)/3),0)))</f>
        <v/>
      </c>
      <c r="J25" s="31" t="str">
        <f aca="false">IF(E25="","",IF(AND($L$6&lt;&gt;"",E25-$L$6&lt;10),"Ruído",IF(AND($L$4&lt;&gt;"",E25&gt;$L$4),"Acima do limite",IF(F25="","OK",IF(F25&gt;$L$5,"Forte",IF(F25&lt;-$L$5,"Fraco","OK"))))))</f>
        <v/>
      </c>
      <c r="K25" s="32" t="str">
        <f aca="false">IF(J25="","",IF(J25="Ruído","Sinal de teste fraco: suba o sinal ou meça com menos ruído",IF(J25="Acima do limite",IF(AND(F25&lt;&gt;"",F25&gt;0),"Eleve ou redirecione a caixa; se não bastar, baixe o master","Sala toda alta: baixe o master"),IF(J25="Forte","Eleve ou redirecione a caixa; afaste o público da frente dela",IF(J25="Fraco","Redirecione a caixa, confira obstáculos ou use caixa de reforço","Manter")))))</f>
        <v/>
      </c>
      <c r="L25" s="9"/>
      <c r="M25" s="27" t="str">
        <f aca="false">IF(OR(E25="",L25=""),"",L25-E25)</f>
        <v/>
      </c>
      <c r="N25" s="5"/>
    </row>
    <row r="26" customFormat="false" ht="21.75" hidden="false" customHeight="true" outlineLevel="0" collapsed="false">
      <c r="B26" s="26" t="n">
        <v>10</v>
      </c>
      <c r="C26" s="5"/>
      <c r="D26" s="9"/>
      <c r="E26" s="9"/>
      <c r="F26" s="27" t="str">
        <f aca="false">IF(OR(E26="",$L$8=""),"",E26-$L$8)</f>
        <v/>
      </c>
      <c r="G26" s="28" t="str">
        <f aca="false">IF(OR(D26="",$L$8="",$L$9=""),"",IF(OR(D26&lt;=0,$L$9&lt;=0),"",ROUND($L$8-20*LOG10(D26/$L$9),1)))</f>
        <v/>
      </c>
      <c r="H26" s="29" t="str">
        <f aca="false">IF(OR(E26="",G26=""),"",ROUND(E26-G26,1))</f>
        <v/>
      </c>
      <c r="I26" s="30" t="str">
        <f aca="false">IF(E26="","",IF(E26&lt;85,"mais de 8 h",ROUND(480/2^((E26-85)/3),0)))</f>
        <v/>
      </c>
      <c r="J26" s="31" t="str">
        <f aca="false">IF(E26="","",IF(AND($L$6&lt;&gt;"",E26-$L$6&lt;10),"Ruído",IF(AND($L$4&lt;&gt;"",E26&gt;$L$4),"Acima do limite",IF(F26="","OK",IF(F26&gt;$L$5,"Forte",IF(F26&lt;-$L$5,"Fraco","OK"))))))</f>
        <v/>
      </c>
      <c r="K26" s="32" t="str">
        <f aca="false">IF(J26="","",IF(J26="Ruído","Sinal de teste fraco: suba o sinal ou meça com menos ruído",IF(J26="Acima do limite",IF(AND(F26&lt;&gt;"",F26&gt;0),"Eleve ou redirecione a caixa; se não bastar, baixe o master","Sala toda alta: baixe o master"),IF(J26="Forte","Eleve ou redirecione a caixa; afaste o público da frente dela",IF(J26="Fraco","Redirecione a caixa, confira obstáculos ou use caixa de reforço","Manter")))))</f>
        <v/>
      </c>
      <c r="L26" s="9"/>
      <c r="M26" s="27" t="str">
        <f aca="false">IF(OR(E26="",L26=""),"",L26-E26)</f>
        <v/>
      </c>
      <c r="N26" s="5"/>
    </row>
    <row r="27" customFormat="false" ht="21.75" hidden="false" customHeight="true" outlineLevel="0" collapsed="false">
      <c r="B27" s="26" t="n">
        <v>11</v>
      </c>
      <c r="C27" s="5"/>
      <c r="D27" s="9"/>
      <c r="E27" s="9"/>
      <c r="F27" s="27" t="str">
        <f aca="false">IF(OR(E27="",$L$8=""),"",E27-$L$8)</f>
        <v/>
      </c>
      <c r="G27" s="28" t="str">
        <f aca="false">IF(OR(D27="",$L$8="",$L$9=""),"",IF(OR(D27&lt;=0,$L$9&lt;=0),"",ROUND($L$8-20*LOG10(D27/$L$9),1)))</f>
        <v/>
      </c>
      <c r="H27" s="29" t="str">
        <f aca="false">IF(OR(E27="",G27=""),"",ROUND(E27-G27,1))</f>
        <v/>
      </c>
      <c r="I27" s="30" t="str">
        <f aca="false">IF(E27="","",IF(E27&lt;85,"mais de 8 h",ROUND(480/2^((E27-85)/3),0)))</f>
        <v/>
      </c>
      <c r="J27" s="31" t="str">
        <f aca="false">IF(E27="","",IF(AND($L$6&lt;&gt;"",E27-$L$6&lt;10),"Ruído",IF(AND($L$4&lt;&gt;"",E27&gt;$L$4),"Acima do limite",IF(F27="","OK",IF(F27&gt;$L$5,"Forte",IF(F27&lt;-$L$5,"Fraco","OK"))))))</f>
        <v/>
      </c>
      <c r="K27" s="32" t="str">
        <f aca="false">IF(J27="","",IF(J27="Ruído","Sinal de teste fraco: suba o sinal ou meça com menos ruído",IF(J27="Acima do limite",IF(AND(F27&lt;&gt;"",F27&gt;0),"Eleve ou redirecione a caixa; se não bastar, baixe o master","Sala toda alta: baixe o master"),IF(J27="Forte","Eleve ou redirecione a caixa; afaste o público da frente dela",IF(J27="Fraco","Redirecione a caixa, confira obstáculos ou use caixa de reforço","Manter")))))</f>
        <v/>
      </c>
      <c r="L27" s="9"/>
      <c r="M27" s="27" t="str">
        <f aca="false">IF(OR(E27="",L27=""),"",L27-E27)</f>
        <v/>
      </c>
      <c r="N27" s="5"/>
    </row>
    <row r="28" customFormat="false" ht="21.75" hidden="false" customHeight="true" outlineLevel="0" collapsed="false">
      <c r="B28" s="26" t="n">
        <v>12</v>
      </c>
      <c r="C28" s="5"/>
      <c r="D28" s="9"/>
      <c r="E28" s="9"/>
      <c r="F28" s="27" t="str">
        <f aca="false">IF(OR(E28="",$L$8=""),"",E28-$L$8)</f>
        <v/>
      </c>
      <c r="G28" s="28" t="str">
        <f aca="false">IF(OR(D28="",$L$8="",$L$9=""),"",IF(OR(D28&lt;=0,$L$9&lt;=0),"",ROUND($L$8-20*LOG10(D28/$L$9),1)))</f>
        <v/>
      </c>
      <c r="H28" s="29" t="str">
        <f aca="false">IF(OR(E28="",G28=""),"",ROUND(E28-G28,1))</f>
        <v/>
      </c>
      <c r="I28" s="30" t="str">
        <f aca="false">IF(E28="","",IF(E28&lt;85,"mais de 8 h",ROUND(480/2^((E28-85)/3),0)))</f>
        <v/>
      </c>
      <c r="J28" s="31" t="str">
        <f aca="false">IF(E28="","",IF(AND($L$6&lt;&gt;"",E28-$L$6&lt;10),"Ruído",IF(AND($L$4&lt;&gt;"",E28&gt;$L$4),"Acima do limite",IF(F28="","OK",IF(F28&gt;$L$5,"Forte",IF(F28&lt;-$L$5,"Fraco","OK"))))))</f>
        <v/>
      </c>
      <c r="K28" s="32" t="str">
        <f aca="false">IF(J28="","",IF(J28="Ruído","Sinal de teste fraco: suba o sinal ou meça com menos ruído",IF(J28="Acima do limite",IF(AND(F28&lt;&gt;"",F28&gt;0),"Eleve ou redirecione a caixa; se não bastar, baixe o master","Sala toda alta: baixe o master"),IF(J28="Forte","Eleve ou redirecione a caixa; afaste o público da frente dela",IF(J28="Fraco","Redirecione a caixa, confira obstáculos ou use caixa de reforço","Manter")))))</f>
        <v/>
      </c>
      <c r="L28" s="9"/>
      <c r="M28" s="27" t="str">
        <f aca="false">IF(OR(E28="",L28=""),"",L28-E28)</f>
        <v/>
      </c>
      <c r="N28" s="5"/>
    </row>
    <row r="29" customFormat="false" ht="21.75" hidden="false" customHeight="true" outlineLevel="0" collapsed="false">
      <c r="B29" s="26" t="n">
        <v>13</v>
      </c>
      <c r="C29" s="5"/>
      <c r="D29" s="9"/>
      <c r="E29" s="9"/>
      <c r="F29" s="27" t="str">
        <f aca="false">IF(OR(E29="",$L$8=""),"",E29-$L$8)</f>
        <v/>
      </c>
      <c r="G29" s="28" t="str">
        <f aca="false">IF(OR(D29="",$L$8="",$L$9=""),"",IF(OR(D29&lt;=0,$L$9&lt;=0),"",ROUND($L$8-20*LOG10(D29/$L$9),1)))</f>
        <v/>
      </c>
      <c r="H29" s="29" t="str">
        <f aca="false">IF(OR(E29="",G29=""),"",ROUND(E29-G29,1))</f>
        <v/>
      </c>
      <c r="I29" s="30" t="str">
        <f aca="false">IF(E29="","",IF(E29&lt;85,"mais de 8 h",ROUND(480/2^((E29-85)/3),0)))</f>
        <v/>
      </c>
      <c r="J29" s="31" t="str">
        <f aca="false">IF(E29="","",IF(AND($L$6&lt;&gt;"",E29-$L$6&lt;10),"Ruído",IF(AND($L$4&lt;&gt;"",E29&gt;$L$4),"Acima do limite",IF(F29="","OK",IF(F29&gt;$L$5,"Forte",IF(F29&lt;-$L$5,"Fraco","OK"))))))</f>
        <v/>
      </c>
      <c r="K29" s="32" t="str">
        <f aca="false">IF(J29="","",IF(J29="Ruído","Sinal de teste fraco: suba o sinal ou meça com menos ruído",IF(J29="Acima do limite",IF(AND(F29&lt;&gt;"",F29&gt;0),"Eleve ou redirecione a caixa; se não bastar, baixe o master","Sala toda alta: baixe o master"),IF(J29="Forte","Eleve ou redirecione a caixa; afaste o público da frente dela",IF(J29="Fraco","Redirecione a caixa, confira obstáculos ou use caixa de reforço","Manter")))))</f>
        <v/>
      </c>
      <c r="L29" s="9"/>
      <c r="M29" s="27" t="str">
        <f aca="false">IF(OR(E29="",L29=""),"",L29-E29)</f>
        <v/>
      </c>
      <c r="N29" s="5"/>
    </row>
    <row r="30" customFormat="false" ht="21.75" hidden="false" customHeight="true" outlineLevel="0" collapsed="false">
      <c r="B30" s="26" t="n">
        <v>14</v>
      </c>
      <c r="C30" s="5"/>
      <c r="D30" s="9"/>
      <c r="E30" s="9"/>
      <c r="F30" s="27" t="str">
        <f aca="false">IF(OR(E30="",$L$8=""),"",E30-$L$8)</f>
        <v/>
      </c>
      <c r="G30" s="28" t="str">
        <f aca="false">IF(OR(D30="",$L$8="",$L$9=""),"",IF(OR(D30&lt;=0,$L$9&lt;=0),"",ROUND($L$8-20*LOG10(D30/$L$9),1)))</f>
        <v/>
      </c>
      <c r="H30" s="29" t="str">
        <f aca="false">IF(OR(E30="",G30=""),"",ROUND(E30-G30,1))</f>
        <v/>
      </c>
      <c r="I30" s="30" t="str">
        <f aca="false">IF(E30="","",IF(E30&lt;85,"mais de 8 h",ROUND(480/2^((E30-85)/3),0)))</f>
        <v/>
      </c>
      <c r="J30" s="31" t="str">
        <f aca="false">IF(E30="","",IF(AND($L$6&lt;&gt;"",E30-$L$6&lt;10),"Ruído",IF(AND($L$4&lt;&gt;"",E30&gt;$L$4),"Acima do limite",IF(F30="","OK",IF(F30&gt;$L$5,"Forte",IF(F30&lt;-$L$5,"Fraco","OK"))))))</f>
        <v/>
      </c>
      <c r="K30" s="32" t="str">
        <f aca="false">IF(J30="","",IF(J30="Ruído","Sinal de teste fraco: suba o sinal ou meça com menos ruído",IF(J30="Acima do limite",IF(AND(F30&lt;&gt;"",F30&gt;0),"Eleve ou redirecione a caixa; se não bastar, baixe o master","Sala toda alta: baixe o master"),IF(J30="Forte","Eleve ou redirecione a caixa; afaste o público da frente dela",IF(J30="Fraco","Redirecione a caixa, confira obstáculos ou use caixa de reforço","Manter")))))</f>
        <v/>
      </c>
      <c r="L30" s="9"/>
      <c r="M30" s="27" t="str">
        <f aca="false">IF(OR(E30="",L30=""),"",L30-E30)</f>
        <v/>
      </c>
      <c r="N30" s="5"/>
    </row>
    <row r="31" customFormat="false" ht="21.75" hidden="false" customHeight="true" outlineLevel="0" collapsed="false">
      <c r="B31" s="26" t="n">
        <v>15</v>
      </c>
      <c r="C31" s="5"/>
      <c r="D31" s="9"/>
      <c r="E31" s="9"/>
      <c r="F31" s="27" t="str">
        <f aca="false">IF(OR(E31="",$L$8=""),"",E31-$L$8)</f>
        <v/>
      </c>
      <c r="G31" s="28" t="str">
        <f aca="false">IF(OR(D31="",$L$8="",$L$9=""),"",IF(OR(D31&lt;=0,$L$9&lt;=0),"",ROUND($L$8-20*LOG10(D31/$L$9),1)))</f>
        <v/>
      </c>
      <c r="H31" s="29" t="str">
        <f aca="false">IF(OR(E31="",G31=""),"",ROUND(E31-G31,1))</f>
        <v/>
      </c>
      <c r="I31" s="30" t="str">
        <f aca="false">IF(E31="","",IF(E31&lt;85,"mais de 8 h",ROUND(480/2^((E31-85)/3),0)))</f>
        <v/>
      </c>
      <c r="J31" s="31" t="str">
        <f aca="false">IF(E31="","",IF(AND($L$6&lt;&gt;"",E31-$L$6&lt;10),"Ruído",IF(AND($L$4&lt;&gt;"",E31&gt;$L$4),"Acima do limite",IF(F31="","OK",IF(F31&gt;$L$5,"Forte",IF(F31&lt;-$L$5,"Fraco","OK"))))))</f>
        <v/>
      </c>
      <c r="K31" s="32" t="str">
        <f aca="false">IF(J31="","",IF(J31="Ruído","Sinal de teste fraco: suba o sinal ou meça com menos ruído",IF(J31="Acima do limite",IF(AND(F31&lt;&gt;"",F31&gt;0),"Eleve ou redirecione a caixa; se não bastar, baixe o master","Sala toda alta: baixe o master"),IF(J31="Forte","Eleve ou redirecione a caixa; afaste o público da frente dela",IF(J31="Fraco","Redirecione a caixa, confira obstáculos ou use caixa de reforço","Manter")))))</f>
        <v/>
      </c>
      <c r="L31" s="9"/>
      <c r="M31" s="27" t="str">
        <f aca="false">IF(OR(E31="",L31=""),"",L31-E31)</f>
        <v/>
      </c>
      <c r="N31" s="5"/>
    </row>
    <row r="32" customFormat="false" ht="21.75" hidden="false" customHeight="true" outlineLevel="0" collapsed="false">
      <c r="B32" s="26" t="n">
        <v>16</v>
      </c>
      <c r="C32" s="5"/>
      <c r="D32" s="9"/>
      <c r="E32" s="9"/>
      <c r="F32" s="27" t="str">
        <f aca="false">IF(OR(E32="",$L$8=""),"",E32-$L$8)</f>
        <v/>
      </c>
      <c r="G32" s="28" t="str">
        <f aca="false">IF(OR(D32="",$L$8="",$L$9=""),"",IF(OR(D32&lt;=0,$L$9&lt;=0),"",ROUND($L$8-20*LOG10(D32/$L$9),1)))</f>
        <v/>
      </c>
      <c r="H32" s="29" t="str">
        <f aca="false">IF(OR(E32="",G32=""),"",ROUND(E32-G32,1))</f>
        <v/>
      </c>
      <c r="I32" s="30" t="str">
        <f aca="false">IF(E32="","",IF(E32&lt;85,"mais de 8 h",ROUND(480/2^((E32-85)/3),0)))</f>
        <v/>
      </c>
      <c r="J32" s="31" t="str">
        <f aca="false">IF(E32="","",IF(AND($L$6&lt;&gt;"",E32-$L$6&lt;10),"Ruído",IF(AND($L$4&lt;&gt;"",E32&gt;$L$4),"Acima do limite",IF(F32="","OK",IF(F32&gt;$L$5,"Forte",IF(F32&lt;-$L$5,"Fraco","OK"))))))</f>
        <v/>
      </c>
      <c r="K32" s="32" t="str">
        <f aca="false">IF(J32="","",IF(J32="Ruído","Sinal de teste fraco: suba o sinal ou meça com menos ruído",IF(J32="Acima do limite",IF(AND(F32&lt;&gt;"",F32&gt;0),"Eleve ou redirecione a caixa; se não bastar, baixe o master","Sala toda alta: baixe o master"),IF(J32="Forte","Eleve ou redirecione a caixa; afaste o público da frente dela",IF(J32="Fraco","Redirecione a caixa, confira obstáculos ou use caixa de reforço","Manter")))))</f>
        <v/>
      </c>
      <c r="L32" s="9"/>
      <c r="M32" s="27" t="str">
        <f aca="false">IF(OR(E32="",L32=""),"",L32-E32)</f>
        <v/>
      </c>
      <c r="N32" s="5"/>
    </row>
    <row r="34" customFormat="false" ht="21.75" hidden="false" customHeight="true" outlineLevel="0" collapsed="false">
      <c r="B34" s="12" t="s">
        <v>172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customFormat="false" ht="19.5" hidden="false" customHeight="true" outlineLevel="0" collapsed="false">
      <c r="B35" s="33" t="s">
        <v>173</v>
      </c>
      <c r="C35" s="33"/>
      <c r="D35" s="33"/>
      <c r="E35" s="33"/>
      <c r="F35" s="33"/>
      <c r="G35" s="33"/>
      <c r="H35" s="33"/>
      <c r="I35" s="8" t="n">
        <f aca="false">COUNT(E17:E32)</f>
        <v>0</v>
      </c>
    </row>
    <row r="36" customFormat="false" ht="19.5" hidden="false" customHeight="true" outlineLevel="0" collapsed="false">
      <c r="B36" s="33" t="s">
        <v>174</v>
      </c>
      <c r="C36" s="33"/>
      <c r="D36" s="33"/>
      <c r="E36" s="33"/>
      <c r="F36" s="33"/>
      <c r="G36" s="33"/>
      <c r="H36" s="33"/>
      <c r="I36" s="8" t="str">
        <f aca="false">IF(COUNT(E17:E32)=0,"",MAX(E17:E32))</f>
        <v/>
      </c>
    </row>
    <row r="37" customFormat="false" ht="19.5" hidden="false" customHeight="true" outlineLevel="0" collapsed="false">
      <c r="B37" s="33" t="s">
        <v>175</v>
      </c>
      <c r="C37" s="33"/>
      <c r="D37" s="33"/>
      <c r="E37" s="33"/>
      <c r="F37" s="33"/>
      <c r="G37" s="33"/>
      <c r="H37" s="33"/>
      <c r="I37" s="8" t="str">
        <f aca="false">IF(COUNT(E17:E32)=0,"",MIN(E17:E32))</f>
        <v/>
      </c>
    </row>
    <row r="38" customFormat="false" ht="19.5" hidden="false" customHeight="true" outlineLevel="0" collapsed="false">
      <c r="B38" s="33" t="s">
        <v>176</v>
      </c>
      <c r="C38" s="33"/>
      <c r="D38" s="33"/>
      <c r="E38" s="33"/>
      <c r="F38" s="33"/>
      <c r="G38" s="33"/>
      <c r="H38" s="33"/>
      <c r="I38" s="8" t="str">
        <f aca="false">IF(COUNT(E17:E32)=0,"",MAX(E17:E32)-MIN(E17:E32))</f>
        <v/>
      </c>
    </row>
    <row r="39" customFormat="false" ht="19.5" hidden="false" customHeight="true" outlineLevel="0" collapsed="false">
      <c r="B39" s="33" t="s">
        <v>177</v>
      </c>
      <c r="C39" s="33"/>
      <c r="D39" s="33"/>
      <c r="E39" s="33"/>
      <c r="F39" s="33"/>
      <c r="G39" s="33"/>
      <c r="H39" s="33"/>
      <c r="I39" s="8" t="n">
        <f aca="false">COUNTIF(J17:J32,"Acima do limite")</f>
        <v>0</v>
      </c>
    </row>
    <row r="40" customFormat="false" ht="19.5" hidden="false" customHeight="true" outlineLevel="0" collapsed="false">
      <c r="B40" s="33" t="s">
        <v>178</v>
      </c>
      <c r="C40" s="33"/>
      <c r="D40" s="33"/>
      <c r="E40" s="33"/>
      <c r="F40" s="33"/>
      <c r="G40" s="33"/>
      <c r="H40" s="33"/>
      <c r="I40" s="8" t="n">
        <f aca="false">COUNTIF(J17:J32,"Forte")+COUNTIF(J17:J32,"Fraco")</f>
        <v>0</v>
      </c>
    </row>
    <row r="41" customFormat="false" ht="19.5" hidden="false" customHeight="true" outlineLevel="0" collapsed="false">
      <c r="B41" s="33" t="s">
        <v>179</v>
      </c>
      <c r="C41" s="33"/>
      <c r="D41" s="33"/>
      <c r="E41" s="33"/>
      <c r="F41" s="33"/>
      <c r="G41" s="33"/>
      <c r="H41" s="33"/>
      <c r="I41" s="8" t="n">
        <f aca="false">COUNTIF(J17:J32,"Ruído")</f>
        <v>0</v>
      </c>
    </row>
    <row r="42" customFormat="false" ht="19.5" hidden="false" customHeight="true" outlineLevel="0" collapsed="false">
      <c r="B42" s="33" t="s">
        <v>180</v>
      </c>
      <c r="C42" s="33"/>
      <c r="D42" s="33"/>
      <c r="E42" s="33"/>
      <c r="F42" s="33"/>
      <c r="G42" s="33"/>
      <c r="H42" s="33"/>
      <c r="I42" s="8" t="str">
        <f aca="false">IF(OR($L$4="",$L$8="",COUNT(E17:E32)=0),"",$L$4-(MAX(E17:E32)-$L$8))</f>
        <v/>
      </c>
    </row>
    <row r="43" customFormat="false" ht="19.5" hidden="false" customHeight="true" outlineLevel="0" collapsed="false">
      <c r="B43" s="33" t="s">
        <v>181</v>
      </c>
      <c r="C43" s="33"/>
      <c r="D43" s="33"/>
      <c r="E43" s="33"/>
      <c r="F43" s="33"/>
      <c r="G43" s="33"/>
      <c r="H43" s="33"/>
      <c r="I43" s="8" t="str">
        <f aca="false">IF(COUNT(L17:L32)=0,"",MAX(L17:L32))</f>
        <v/>
      </c>
    </row>
    <row r="44" customFormat="false" ht="19.5" hidden="false" customHeight="true" outlineLevel="0" collapsed="false">
      <c r="B44" s="33" t="s">
        <v>182</v>
      </c>
      <c r="C44" s="33"/>
      <c r="D44" s="33"/>
      <c r="E44" s="33"/>
      <c r="F44" s="33"/>
      <c r="G44" s="33"/>
      <c r="H44" s="33"/>
      <c r="I44" s="8" t="str">
        <f aca="false">IF(COUNT(L17:L32)=0,"",MIN(L17:L32))</f>
        <v/>
      </c>
    </row>
    <row r="45" customFormat="false" ht="19.5" hidden="false" customHeight="true" outlineLevel="0" collapsed="false">
      <c r="B45" s="33" t="s">
        <v>183</v>
      </c>
      <c r="C45" s="33"/>
      <c r="D45" s="33"/>
      <c r="E45" s="33"/>
      <c r="F45" s="33"/>
      <c r="G45" s="33"/>
      <c r="H45" s="33"/>
      <c r="I45" s="8" t="str">
        <f aca="false">IF(COUNT(L17:L32)=0,"",MAX(L17:L32)-MIN(L17:L32))</f>
        <v/>
      </c>
    </row>
    <row r="46" customFormat="false" ht="21.75" hidden="false" customHeight="true" outlineLevel="0" collapsed="false">
      <c r="B46" s="33" t="s">
        <v>184</v>
      </c>
      <c r="C46" s="33"/>
      <c r="D46" s="33"/>
      <c r="E46" s="33"/>
      <c r="F46" s="33"/>
      <c r="G46" s="33"/>
      <c r="H46" s="33"/>
      <c r="I46" s="16" t="str">
        <f aca="false">IF(I35=0,"Meça os pontos",IF(I41&gt;0,"Há ponto com sinal de teste fraco demais: meça de novo",IF(I39&gt;0,"Há ponto acima do limite: corrija a posição das caixas antes de baixar o volume",IF(I40&gt;0,"Há pontos fora da tolerância: reveja a cobertura das caixas","OK"))))</f>
        <v>Meça os pontos</v>
      </c>
      <c r="J46" s="16"/>
      <c r="K46" s="16"/>
      <c r="L46" s="16"/>
      <c r="M46" s="16"/>
      <c r="N46" s="16"/>
    </row>
    <row r="47" customFormat="false" ht="31.5" hidden="false" customHeight="true" outlineLevel="0" collapsed="false">
      <c r="B47" s="11" t="s">
        <v>185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</sheetData>
  <mergeCells count="47">
    <mergeCell ref="B1:N1"/>
    <mergeCell ref="B2:N2"/>
    <mergeCell ref="B4:C4"/>
    <mergeCell ref="D4:H4"/>
    <mergeCell ref="I4:K4"/>
    <mergeCell ref="M4:N4"/>
    <mergeCell ref="B5:C5"/>
    <mergeCell ref="D5:H5"/>
    <mergeCell ref="I5:K5"/>
    <mergeCell ref="M5:N5"/>
    <mergeCell ref="B6:C6"/>
    <mergeCell ref="D6:H6"/>
    <mergeCell ref="I6:K6"/>
    <mergeCell ref="M6:N6"/>
    <mergeCell ref="B7:C7"/>
    <mergeCell ref="D7:H7"/>
    <mergeCell ref="I7:K7"/>
    <mergeCell ref="M7:N7"/>
    <mergeCell ref="B8:C8"/>
    <mergeCell ref="D8:H8"/>
    <mergeCell ref="I8:K8"/>
    <mergeCell ref="M8:N8"/>
    <mergeCell ref="B9:C9"/>
    <mergeCell ref="D9:H9"/>
    <mergeCell ref="I9:K9"/>
    <mergeCell ref="M9:N9"/>
    <mergeCell ref="B10:C10"/>
    <mergeCell ref="D10:H10"/>
    <mergeCell ref="I10:N11"/>
    <mergeCell ref="B11:C11"/>
    <mergeCell ref="D11:H11"/>
    <mergeCell ref="B13:N13"/>
    <mergeCell ref="B34:N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I46:N46"/>
    <mergeCell ref="B47:N47"/>
  </mergeCells>
  <conditionalFormatting sqref="J17:J3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"Forte"</formula>
    </cfRule>
    <cfRule type="cellIs" priority="4" operator="equal" aboveAverage="0" equalAverage="0" bottom="0" percent="0" rank="0" text="" dxfId="1">
      <formula>"Fraco"</formula>
    </cfRule>
    <cfRule type="cellIs" priority="5" operator="equal" aboveAverage="0" equalAverage="0" bottom="0" percent="0" rank="0" text="" dxfId="1">
      <formula>"Ruído"</formula>
    </cfRule>
    <cfRule type="cellIs" priority="6" operator="equal" aboveAverage="0" equalAverage="0" bottom="0" percent="0" rank="0" text="" dxfId="2">
      <formula>"Acima do limite"</formula>
    </cfRule>
  </conditionalFormatting>
  <conditionalFormatting sqref="I46:N46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A para os limites de exposição; C para ver os graves." promptTitle="Opções" showDropDown="false" showErrorMessage="true" showInputMessage="true" sqref="D9" type="list">
      <formula1>"A,C,Z"</formula1>
      <formula2>0</formula2>
    </dataValidation>
    <dataValidation allowBlank="true" error="Escolha uma das opções da lista." errorStyle="stop" errorTitle="Valor inválido" operator="between" prompt="Lenta (slow), rápida (fast) ou média do período (Leq)." promptTitle="Opções" showDropDown="false" showErrorMessage="true" showInputMessage="true" sqref="D10" type="list">
      <formula1>"Lenta,Rápida,Leq"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7:E32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L17:L3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7" min="6" style="0" width="17"/>
    <col collapsed="false" customWidth="true" hidden="false" outlineLevel="0" max="8" min="8" style="0" width="13"/>
    <col collapsed="false" customWidth="true" hidden="false" outlineLevel="0" max="9" min="9" style="0" width="52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186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187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2" t="s">
        <v>188</v>
      </c>
      <c r="C4" s="12"/>
      <c r="D4" s="12"/>
      <c r="E4" s="12"/>
      <c r="F4" s="12"/>
      <c r="G4" s="12"/>
      <c r="H4" s="12"/>
      <c r="I4" s="12"/>
    </row>
    <row r="5" customFormat="false" ht="21.75" hidden="false" customHeight="true" outlineLevel="0" collapsed="false">
      <c r="B5" s="24" t="s">
        <v>123</v>
      </c>
      <c r="C5" s="24" t="s">
        <v>189</v>
      </c>
      <c r="D5" s="24" t="s">
        <v>190</v>
      </c>
      <c r="E5" s="24" t="s">
        <v>191</v>
      </c>
      <c r="F5" s="24"/>
      <c r="G5" s="24"/>
      <c r="H5" s="24" t="s">
        <v>192</v>
      </c>
      <c r="I5" s="24"/>
    </row>
    <row r="6" customFormat="false" ht="31.5" hidden="false" customHeight="true" outlineLevel="0" collapsed="false">
      <c r="B6" s="4" t="s">
        <v>193</v>
      </c>
      <c r="C6" s="34" t="n">
        <v>20</v>
      </c>
      <c r="D6" s="34" t="n">
        <v>60</v>
      </c>
      <c r="E6" s="7" t="s">
        <v>194</v>
      </c>
      <c r="F6" s="7"/>
      <c r="G6" s="7"/>
      <c r="H6" s="7" t="s">
        <v>195</v>
      </c>
      <c r="I6" s="7"/>
    </row>
    <row r="7" customFormat="false" ht="31.5" hidden="false" customHeight="true" outlineLevel="0" collapsed="false">
      <c r="B7" s="4" t="s">
        <v>196</v>
      </c>
      <c r="C7" s="34" t="n">
        <v>60</v>
      </c>
      <c r="D7" s="34" t="n">
        <v>250</v>
      </c>
      <c r="E7" s="7" t="s">
        <v>197</v>
      </c>
      <c r="F7" s="7"/>
      <c r="G7" s="7"/>
      <c r="H7" s="7" t="s">
        <v>198</v>
      </c>
      <c r="I7" s="7"/>
    </row>
    <row r="8" customFormat="false" ht="31.5" hidden="false" customHeight="true" outlineLevel="0" collapsed="false">
      <c r="B8" s="4" t="s">
        <v>199</v>
      </c>
      <c r="C8" s="34" t="n">
        <v>250</v>
      </c>
      <c r="D8" s="34" t="n">
        <v>500</v>
      </c>
      <c r="E8" s="7" t="s">
        <v>200</v>
      </c>
      <c r="F8" s="7"/>
      <c r="G8" s="7"/>
      <c r="H8" s="7" t="s">
        <v>201</v>
      </c>
      <c r="I8" s="7"/>
    </row>
    <row r="9" customFormat="false" ht="31.5" hidden="false" customHeight="true" outlineLevel="0" collapsed="false">
      <c r="B9" s="4" t="s">
        <v>202</v>
      </c>
      <c r="C9" s="34" t="n">
        <v>500</v>
      </c>
      <c r="D9" s="34" t="n">
        <v>2000</v>
      </c>
      <c r="E9" s="7" t="s">
        <v>203</v>
      </c>
      <c r="F9" s="7"/>
      <c r="G9" s="7"/>
      <c r="H9" s="7" t="s">
        <v>204</v>
      </c>
      <c r="I9" s="7"/>
    </row>
    <row r="10" customFormat="false" ht="31.5" hidden="false" customHeight="true" outlineLevel="0" collapsed="false">
      <c r="B10" s="4" t="s">
        <v>205</v>
      </c>
      <c r="C10" s="34" t="n">
        <v>2000</v>
      </c>
      <c r="D10" s="34" t="n">
        <v>6000</v>
      </c>
      <c r="E10" s="7" t="s">
        <v>206</v>
      </c>
      <c r="F10" s="7"/>
      <c r="G10" s="7"/>
      <c r="H10" s="7" t="s">
        <v>207</v>
      </c>
      <c r="I10" s="7"/>
    </row>
    <row r="11" customFormat="false" ht="31.5" hidden="false" customHeight="true" outlineLevel="0" collapsed="false">
      <c r="B11" s="4" t="s">
        <v>208</v>
      </c>
      <c r="C11" s="34" t="n">
        <v>6000</v>
      </c>
      <c r="D11" s="34" t="n">
        <v>20000</v>
      </c>
      <c r="E11" s="7" t="s">
        <v>209</v>
      </c>
      <c r="F11" s="7"/>
      <c r="G11" s="7"/>
      <c r="H11" s="7" t="s">
        <v>210</v>
      </c>
      <c r="I11" s="7"/>
    </row>
    <row r="13" customFormat="false" ht="21.75" hidden="false" customHeight="true" outlineLevel="0" collapsed="false">
      <c r="B13" s="12" t="s">
        <v>211</v>
      </c>
      <c r="C13" s="12"/>
      <c r="D13" s="12"/>
      <c r="E13" s="12"/>
      <c r="F13" s="12"/>
      <c r="G13" s="12"/>
      <c r="H13" s="12"/>
      <c r="I13" s="12"/>
    </row>
    <row r="14" customFormat="false" ht="30" hidden="false" customHeight="true" outlineLevel="0" collapsed="false">
      <c r="B14" s="24" t="s">
        <v>212</v>
      </c>
      <c r="C14" s="13" t="s">
        <v>213</v>
      </c>
      <c r="D14" s="13" t="s">
        <v>214</v>
      </c>
      <c r="E14" s="13" t="s">
        <v>215</v>
      </c>
      <c r="F14" s="14" t="s">
        <v>216</v>
      </c>
      <c r="G14" s="14" t="s">
        <v>217</v>
      </c>
      <c r="H14" s="14" t="s">
        <v>218</v>
      </c>
      <c r="I14" s="24" t="s">
        <v>163</v>
      </c>
    </row>
    <row r="15" customFormat="false" ht="21.75" hidden="false" customHeight="true" outlineLevel="0" collapsed="false">
      <c r="B15" s="5" t="s">
        <v>219</v>
      </c>
      <c r="C15" s="35" t="n">
        <v>85</v>
      </c>
      <c r="D15" s="35" t="n">
        <v>180</v>
      </c>
      <c r="E15" s="35" t="n">
        <v>8000</v>
      </c>
      <c r="F15" s="10" t="str">
        <f aca="false">IF(C15="","",IF(C15&lt;20,"Abaixo de 20 Hz",IF(C15&lt;60,"Subgrave",IF(C15&lt;250,"Grave",IF(C15&lt;500,"Médio-grave",IF(C15&lt;2000,"Médio",IF(C15&lt;6000,"Médio-agudo",IF(C15&lt;=20000,"Agudo","Acima de 20 kHz"))))))))</f>
        <v>Grave</v>
      </c>
      <c r="G15" s="10" t="str">
        <f aca="false">IF(E15="","",IF(E15&lt;20,"Abaixo de 20 Hz",IF(E15&lt;60,"Subgrave",IF(E15&lt;250,"Grave",IF(E15&lt;500,"Médio-grave",IF(E15&lt;2000,"Médio",IF(E15&lt;6000,"Médio-agudo",IF(E15&lt;=20000,"Agudo","Acima de 20 kHz"))))))))</f>
        <v>Agudo</v>
      </c>
      <c r="H15" s="28" t="n">
        <f aca="false">IF(OR(C15="",D15=""),"",IF(OR(C15&lt;=0,D15&lt;C15),"",ROUND(LOG10(D15/C15)/LOG10(2),1)))</f>
        <v>1.1</v>
      </c>
      <c r="I15" s="5" t="s">
        <v>220</v>
      </c>
    </row>
    <row r="16" customFormat="false" ht="21.75" hidden="false" customHeight="true" outlineLevel="0" collapsed="false">
      <c r="B16" s="5" t="s">
        <v>221</v>
      </c>
      <c r="C16" s="35" t="n">
        <v>165</v>
      </c>
      <c r="D16" s="35" t="n">
        <v>255</v>
      </c>
      <c r="E16" s="35" t="n">
        <v>8000</v>
      </c>
      <c r="F16" s="10" t="str">
        <f aca="false">IF(C16="","",IF(C16&lt;20,"Abaixo de 20 Hz",IF(C16&lt;60,"Subgrave",IF(C16&lt;250,"Grave",IF(C16&lt;500,"Médio-grave",IF(C16&lt;2000,"Médio",IF(C16&lt;6000,"Médio-agudo",IF(C16&lt;=20000,"Agudo","Acima de 20 kHz"))))))))</f>
        <v>Grave</v>
      </c>
      <c r="G16" s="10" t="str">
        <f aca="false">IF(E16="","",IF(E16&lt;20,"Abaixo de 20 Hz",IF(E16&lt;60,"Subgrave",IF(E16&lt;250,"Grave",IF(E16&lt;500,"Médio-grave",IF(E16&lt;2000,"Médio",IF(E16&lt;6000,"Médio-agudo",IF(E16&lt;=20000,"Agudo","Acima de 20 kHz"))))))))</f>
        <v>Agudo</v>
      </c>
      <c r="H16" s="28" t="n">
        <f aca="false">IF(OR(C16="",D16=""),"",IF(OR(C16&lt;=0,D16&lt;C16),"",ROUND(LOG10(D16/C16)/LOG10(2),1)))</f>
        <v>0.6</v>
      </c>
      <c r="I16" s="5" t="s">
        <v>220</v>
      </c>
    </row>
    <row r="17" customFormat="false" ht="21.75" hidden="false" customHeight="true" outlineLevel="0" collapsed="false">
      <c r="B17" s="5" t="s">
        <v>222</v>
      </c>
      <c r="C17" s="35" t="n">
        <v>80</v>
      </c>
      <c r="D17" s="35" t="n">
        <v>1050</v>
      </c>
      <c r="E17" s="35" t="n">
        <v>10000</v>
      </c>
      <c r="F17" s="10" t="str">
        <f aca="false">IF(C17="","",IF(C17&lt;20,"Abaixo de 20 Hz",IF(C17&lt;60,"Subgrave",IF(C17&lt;250,"Grave",IF(C17&lt;500,"Médio-grave",IF(C17&lt;2000,"Médio",IF(C17&lt;6000,"Médio-agudo",IF(C17&lt;=20000,"Agudo","Acima de 20 kHz"))))))))</f>
        <v>Grave</v>
      </c>
      <c r="G17" s="10" t="str">
        <f aca="false">IF(E17="","",IF(E17&lt;20,"Abaixo de 20 Hz",IF(E17&lt;60,"Subgrave",IF(E17&lt;250,"Grave",IF(E17&lt;500,"Médio-grave",IF(E17&lt;2000,"Médio",IF(E17&lt;6000,"Médio-agudo",IF(E17&lt;=20000,"Agudo","Acima de 20 kHz"))))))))</f>
        <v>Agudo</v>
      </c>
      <c r="H17" s="28" t="n">
        <f aca="false">IF(OR(C17="",D17=""),"",IF(OR(C17&lt;=0,D17&lt;C17),"",ROUND(LOG10(D17/C17)/LOG10(2),1)))</f>
        <v>3.7</v>
      </c>
      <c r="I17" s="5" t="s">
        <v>223</v>
      </c>
    </row>
    <row r="18" customFormat="false" ht="21.75" hidden="false" customHeight="true" outlineLevel="0" collapsed="false">
      <c r="B18" s="5" t="s">
        <v>224</v>
      </c>
      <c r="C18" s="35" t="n">
        <v>82</v>
      </c>
      <c r="D18" s="35" t="n">
        <v>1000</v>
      </c>
      <c r="E18" s="35" t="n">
        <v>10000</v>
      </c>
      <c r="F18" s="10" t="str">
        <f aca="false">IF(C18="","",IF(C18&lt;20,"Abaixo de 20 Hz",IF(C18&lt;60,"Subgrave",IF(C18&lt;250,"Grave",IF(C18&lt;500,"Médio-grave",IF(C18&lt;2000,"Médio",IF(C18&lt;6000,"Médio-agudo",IF(C18&lt;=20000,"Agudo","Acima de 20 kHz"))))))))</f>
        <v>Grave</v>
      </c>
      <c r="G18" s="10" t="str">
        <f aca="false">IF(E18="","",IF(E18&lt;20,"Abaixo de 20 Hz",IF(E18&lt;60,"Subgrave",IF(E18&lt;250,"Grave",IF(E18&lt;500,"Médio-grave",IF(E18&lt;2000,"Médio",IF(E18&lt;6000,"Médio-agudo",IF(E18&lt;=20000,"Agudo","Acima de 20 kHz"))))))))</f>
        <v>Agudo</v>
      </c>
      <c r="H18" s="28" t="n">
        <f aca="false">IF(OR(C18="",D18=""),"",IF(OR(C18&lt;=0,D18&lt;C18),"",ROUND(LOG10(D18/C18)/LOG10(2),1)))</f>
        <v>3.6</v>
      </c>
      <c r="I18" s="5" t="s">
        <v>225</v>
      </c>
    </row>
    <row r="19" customFormat="false" ht="21.75" hidden="false" customHeight="true" outlineLevel="0" collapsed="false">
      <c r="B19" s="5" t="s">
        <v>226</v>
      </c>
      <c r="C19" s="35" t="n">
        <v>82</v>
      </c>
      <c r="D19" s="35" t="n">
        <v>1200</v>
      </c>
      <c r="E19" s="35" t="n">
        <v>6000</v>
      </c>
      <c r="F19" s="10" t="str">
        <f aca="false">IF(C19="","",IF(C19&lt;20,"Abaixo de 20 Hz",IF(C19&lt;60,"Subgrave",IF(C19&lt;250,"Grave",IF(C19&lt;500,"Médio-grave",IF(C19&lt;2000,"Médio",IF(C19&lt;6000,"Médio-agudo",IF(C19&lt;=20000,"Agudo","Acima de 20 kHz"))))))))</f>
        <v>Grave</v>
      </c>
      <c r="G19" s="10" t="str">
        <f aca="false">IF(E19="","",IF(E19&lt;20,"Abaixo de 20 Hz",IF(E19&lt;60,"Subgrave",IF(E19&lt;250,"Grave",IF(E19&lt;500,"Médio-grave",IF(E19&lt;2000,"Médio",IF(E19&lt;6000,"Médio-agudo",IF(E19&lt;=20000,"Agudo","Acima de 20 kHz"))))))))</f>
        <v>Agudo</v>
      </c>
      <c r="H19" s="28" t="n">
        <f aca="false">IF(OR(C19="",D19=""),"",IF(OR(C19&lt;=0,D19&lt;C19),"",ROUND(LOG10(D19/C19)/LOG10(2),1)))</f>
        <v>3.9</v>
      </c>
      <c r="I19" s="5" t="s">
        <v>227</v>
      </c>
    </row>
    <row r="20" customFormat="false" ht="21.75" hidden="false" customHeight="true" outlineLevel="0" collapsed="false">
      <c r="B20" s="5" t="s">
        <v>228</v>
      </c>
      <c r="C20" s="35" t="n">
        <v>41</v>
      </c>
      <c r="D20" s="35" t="n">
        <v>400</v>
      </c>
      <c r="E20" s="35" t="n">
        <v>5000</v>
      </c>
      <c r="F20" s="10" t="str">
        <f aca="false">IF(C20="","",IF(C20&lt;20,"Abaixo de 20 Hz",IF(C20&lt;60,"Subgrave",IF(C20&lt;250,"Grave",IF(C20&lt;500,"Médio-grave",IF(C20&lt;2000,"Médio",IF(C20&lt;6000,"Médio-agudo",IF(C20&lt;=20000,"Agudo","Acima de 20 kHz"))))))))</f>
        <v>Subgrave</v>
      </c>
      <c r="G20" s="10" t="str">
        <f aca="false">IF(E20="","",IF(E20&lt;20,"Abaixo de 20 Hz",IF(E20&lt;60,"Subgrave",IF(E20&lt;250,"Grave",IF(E20&lt;500,"Médio-grave",IF(E20&lt;2000,"Médio",IF(E20&lt;6000,"Médio-agudo",IF(E20&lt;=20000,"Agudo","Acima de 20 kHz"))))))))</f>
        <v>Médio-agudo</v>
      </c>
      <c r="H20" s="28" t="n">
        <f aca="false">IF(OR(C20="",D20=""),"",IF(OR(C20&lt;=0,D20&lt;C20),"",ROUND(LOG10(D20/C20)/LOG10(2),1)))</f>
        <v>3.3</v>
      </c>
      <c r="I20" s="5" t="s">
        <v>229</v>
      </c>
    </row>
    <row r="21" customFormat="false" ht="21.75" hidden="false" customHeight="true" outlineLevel="0" collapsed="false">
      <c r="B21" s="5" t="s">
        <v>230</v>
      </c>
      <c r="C21" s="35" t="n">
        <v>31</v>
      </c>
      <c r="D21" s="35" t="n">
        <v>400</v>
      </c>
      <c r="E21" s="35" t="n">
        <v>5000</v>
      </c>
      <c r="F21" s="10" t="str">
        <f aca="false">IF(C21="","",IF(C21&lt;20,"Abaixo de 20 Hz",IF(C21&lt;60,"Subgrave",IF(C21&lt;250,"Grave",IF(C21&lt;500,"Médio-grave",IF(C21&lt;2000,"Médio",IF(C21&lt;6000,"Médio-agudo",IF(C21&lt;=20000,"Agudo","Acima de 20 kHz"))))))))</f>
        <v>Subgrave</v>
      </c>
      <c r="G21" s="10" t="str">
        <f aca="false">IF(E21="","",IF(E21&lt;20,"Abaixo de 20 Hz",IF(E21&lt;60,"Subgrave",IF(E21&lt;250,"Grave",IF(E21&lt;500,"Médio-grave",IF(E21&lt;2000,"Médio",IF(E21&lt;6000,"Médio-agudo",IF(E21&lt;=20000,"Agudo","Acima de 20 kHz"))))))))</f>
        <v>Médio-agudo</v>
      </c>
      <c r="H21" s="28" t="n">
        <f aca="false">IF(OR(C21="",D21=""),"",IF(OR(C21&lt;=0,D21&lt;C21),"",ROUND(LOG10(D21/C21)/LOG10(2),1)))</f>
        <v>3.7</v>
      </c>
      <c r="I21" s="5" t="s">
        <v>231</v>
      </c>
    </row>
    <row r="22" customFormat="false" ht="21.75" hidden="false" customHeight="true" outlineLevel="0" collapsed="false">
      <c r="B22" s="5" t="s">
        <v>232</v>
      </c>
      <c r="C22" s="35" t="n">
        <v>27</v>
      </c>
      <c r="D22" s="35" t="n">
        <v>4200</v>
      </c>
      <c r="E22" s="35" t="n">
        <v>10000</v>
      </c>
      <c r="F22" s="10" t="str">
        <f aca="false">IF(C22="","",IF(C22&lt;20,"Abaixo de 20 Hz",IF(C22&lt;60,"Subgrave",IF(C22&lt;250,"Grave",IF(C22&lt;500,"Médio-grave",IF(C22&lt;2000,"Médio",IF(C22&lt;6000,"Médio-agudo",IF(C22&lt;=20000,"Agudo","Acima de 20 kHz"))))))))</f>
        <v>Subgrave</v>
      </c>
      <c r="G22" s="10" t="str">
        <f aca="false">IF(E22="","",IF(E22&lt;20,"Abaixo de 20 Hz",IF(E22&lt;60,"Subgrave",IF(E22&lt;250,"Grave",IF(E22&lt;500,"Médio-grave",IF(E22&lt;2000,"Médio",IF(E22&lt;6000,"Médio-agudo",IF(E22&lt;=20000,"Agudo","Acima de 20 kHz"))))))))</f>
        <v>Agudo</v>
      </c>
      <c r="H22" s="28" t="n">
        <f aca="false">IF(OR(C22="",D22=""),"",IF(OR(C22&lt;=0,D22&lt;C22),"",ROUND(LOG10(D22/C22)/LOG10(2),1)))</f>
        <v>7.3</v>
      </c>
      <c r="I22" s="5" t="s">
        <v>233</v>
      </c>
    </row>
    <row r="23" customFormat="false" ht="21.75" hidden="false" customHeight="true" outlineLevel="0" collapsed="false">
      <c r="B23" s="5" t="s">
        <v>234</v>
      </c>
      <c r="C23" s="35" t="n">
        <v>50</v>
      </c>
      <c r="D23" s="35" t="n">
        <v>100</v>
      </c>
      <c r="E23" s="35" t="n">
        <v>5000</v>
      </c>
      <c r="F23" s="10" t="str">
        <f aca="false">IF(C23="","",IF(C23&lt;20,"Abaixo de 20 Hz",IF(C23&lt;60,"Subgrave",IF(C23&lt;250,"Grave",IF(C23&lt;500,"Médio-grave",IF(C23&lt;2000,"Médio",IF(C23&lt;6000,"Médio-agudo",IF(C23&lt;=20000,"Agudo","Acima de 20 kHz"))))))))</f>
        <v>Subgrave</v>
      </c>
      <c r="G23" s="10" t="str">
        <f aca="false">IF(E23="","",IF(E23&lt;20,"Abaixo de 20 Hz",IF(E23&lt;60,"Subgrave",IF(E23&lt;250,"Grave",IF(E23&lt;500,"Médio-grave",IF(E23&lt;2000,"Médio",IF(E23&lt;6000,"Médio-agudo",IF(E23&lt;=20000,"Agudo","Acima de 20 kHz"))))))))</f>
        <v>Médio-agudo</v>
      </c>
      <c r="H23" s="28" t="n">
        <f aca="false">IF(OR(C23="",D23=""),"",IF(OR(C23&lt;=0,D23&lt;C23),"",ROUND(LOG10(D23/C23)/LOG10(2),1)))</f>
        <v>1</v>
      </c>
      <c r="I23" s="5" t="s">
        <v>235</v>
      </c>
    </row>
    <row r="24" customFormat="false" ht="21.75" hidden="false" customHeight="true" outlineLevel="0" collapsed="false">
      <c r="B24" s="5" t="s">
        <v>236</v>
      </c>
      <c r="C24" s="35" t="n">
        <v>150</v>
      </c>
      <c r="D24" s="35" t="n">
        <v>250</v>
      </c>
      <c r="E24" s="35" t="n">
        <v>10000</v>
      </c>
      <c r="F24" s="10" t="str">
        <f aca="false">IF(C24="","",IF(C24&lt;20,"Abaixo de 20 Hz",IF(C24&lt;60,"Subgrave",IF(C24&lt;250,"Grave",IF(C24&lt;500,"Médio-grave",IF(C24&lt;2000,"Médio",IF(C24&lt;6000,"Médio-agudo",IF(C24&lt;=20000,"Agudo","Acima de 20 kHz"))))))))</f>
        <v>Grave</v>
      </c>
      <c r="G24" s="10" t="str">
        <f aca="false">IF(E24="","",IF(E24&lt;20,"Abaixo de 20 Hz",IF(E24&lt;60,"Subgrave",IF(E24&lt;250,"Grave",IF(E24&lt;500,"Médio-grave",IF(E24&lt;2000,"Médio",IF(E24&lt;6000,"Médio-agudo",IF(E24&lt;=20000,"Agudo","Acima de 20 kHz"))))))))</f>
        <v>Agudo</v>
      </c>
      <c r="H24" s="28" t="n">
        <f aca="false">IF(OR(C24="",D24=""),"",IF(OR(C24&lt;=0,D24&lt;C24),"",ROUND(LOG10(D24/C24)/LOG10(2),1)))</f>
        <v>0.7</v>
      </c>
      <c r="I24" s="5" t="s">
        <v>237</v>
      </c>
    </row>
    <row r="25" customFormat="false" ht="21.75" hidden="false" customHeight="true" outlineLevel="0" collapsed="false">
      <c r="B25" s="5" t="s">
        <v>238</v>
      </c>
      <c r="C25" s="35"/>
      <c r="D25" s="35"/>
      <c r="E25" s="35" t="n">
        <v>16000</v>
      </c>
      <c r="F25" s="10" t="str">
        <f aca="false">IF(C25="","",IF(C25&lt;20,"Abaixo de 20 Hz",IF(C25&lt;60,"Subgrave",IF(C25&lt;250,"Grave",IF(C25&lt;500,"Médio-grave",IF(C25&lt;2000,"Médio",IF(C25&lt;6000,"Médio-agudo",IF(C25&lt;=20000,"Agudo","Acima de 20 kHz"))))))))</f>
        <v/>
      </c>
      <c r="G25" s="10" t="str">
        <f aca="false">IF(E25="","",IF(E25&lt;20,"Abaixo de 20 Hz",IF(E25&lt;60,"Subgrave",IF(E25&lt;250,"Grave",IF(E25&lt;500,"Médio-grave",IF(E25&lt;2000,"Médio",IF(E25&lt;6000,"Médio-agudo",IF(E25&lt;=20000,"Agudo","Acima de 20 kHz"))))))))</f>
        <v>Agudo</v>
      </c>
      <c r="H25" s="28" t="str">
        <f aca="false">IF(OR(C25="",D25=""),"",IF(OR(C25&lt;=0,D25&lt;C25),"",ROUND(LOG10(D25/C25)/LOG10(2),1)))</f>
        <v/>
      </c>
      <c r="I25" s="5" t="s">
        <v>239</v>
      </c>
    </row>
    <row r="26" customFormat="false" ht="21.75" hidden="false" customHeight="true" outlineLevel="0" collapsed="false">
      <c r="B26" s="5"/>
      <c r="C26" s="35"/>
      <c r="D26" s="35"/>
      <c r="E26" s="35"/>
      <c r="F26" s="10" t="str">
        <f aca="false">IF(C26="","",IF(C26&lt;20,"Abaixo de 20 Hz",IF(C26&lt;60,"Subgrave",IF(C26&lt;250,"Grave",IF(C26&lt;500,"Médio-grave",IF(C26&lt;2000,"Médio",IF(C26&lt;6000,"Médio-agudo",IF(C26&lt;=20000,"Agudo","Acima de 20 kHz"))))))))</f>
        <v/>
      </c>
      <c r="G26" s="10" t="str">
        <f aca="false">IF(E26="","",IF(E26&lt;20,"Abaixo de 20 Hz",IF(E26&lt;60,"Subgrave",IF(E26&lt;250,"Grave",IF(E26&lt;500,"Médio-grave",IF(E26&lt;2000,"Médio",IF(E26&lt;6000,"Médio-agudo",IF(E26&lt;=20000,"Agudo","Acima de 20 kHz"))))))))</f>
        <v/>
      </c>
      <c r="H26" s="28" t="str">
        <f aca="false">IF(OR(C26="",D26=""),"",IF(OR(C26&lt;=0,D26&lt;C26),"",ROUND(LOG10(D26/C26)/LOG10(2),1)))</f>
        <v/>
      </c>
      <c r="I26" s="5"/>
    </row>
    <row r="27" customFormat="false" ht="21.75" hidden="false" customHeight="true" outlineLevel="0" collapsed="false">
      <c r="B27" s="5"/>
      <c r="C27" s="35"/>
      <c r="D27" s="35"/>
      <c r="E27" s="35"/>
      <c r="F27" s="10" t="str">
        <f aca="false">IF(C27="","",IF(C27&lt;20,"Abaixo de 20 Hz",IF(C27&lt;60,"Subgrave",IF(C27&lt;250,"Grave",IF(C27&lt;500,"Médio-grave",IF(C27&lt;2000,"Médio",IF(C27&lt;6000,"Médio-agudo",IF(C27&lt;=20000,"Agudo","Acima de 20 kHz"))))))))</f>
        <v/>
      </c>
      <c r="G27" s="10" t="str">
        <f aca="false">IF(E27="","",IF(E27&lt;20,"Abaixo de 20 Hz",IF(E27&lt;60,"Subgrave",IF(E27&lt;250,"Grave",IF(E27&lt;500,"Médio-grave",IF(E27&lt;2000,"Médio",IF(E27&lt;6000,"Médio-agudo",IF(E27&lt;=20000,"Agudo","Acima de 20 kHz"))))))))</f>
        <v/>
      </c>
      <c r="H27" s="28" t="str">
        <f aca="false">IF(OR(C27="",D27=""),"",IF(OR(C27&lt;=0,D27&lt;C27),"",ROUND(LOG10(D27/C27)/LOG10(2),1)))</f>
        <v/>
      </c>
      <c r="I27" s="5"/>
    </row>
    <row r="28" customFormat="false" ht="21.75" hidden="false" customHeight="true" outlineLevel="0" collapsed="false">
      <c r="B28" s="5"/>
      <c r="C28" s="35"/>
      <c r="D28" s="35"/>
      <c r="E28" s="35"/>
      <c r="F28" s="10" t="str">
        <f aca="false">IF(C28="","",IF(C28&lt;20,"Abaixo de 20 Hz",IF(C28&lt;60,"Subgrave",IF(C28&lt;250,"Grave",IF(C28&lt;500,"Médio-grave",IF(C28&lt;2000,"Médio",IF(C28&lt;6000,"Médio-agudo",IF(C28&lt;=20000,"Agudo","Acima de 20 kHz"))))))))</f>
        <v/>
      </c>
      <c r="G28" s="10" t="str">
        <f aca="false">IF(E28="","",IF(E28&lt;20,"Abaixo de 20 Hz",IF(E28&lt;60,"Subgrave",IF(E28&lt;250,"Grave",IF(E28&lt;500,"Médio-grave",IF(E28&lt;2000,"Médio",IF(E28&lt;6000,"Médio-agudo",IF(E28&lt;=20000,"Agudo","Acima de 20 kHz"))))))))</f>
        <v/>
      </c>
      <c r="H28" s="28" t="str">
        <f aca="false">IF(OR(C28="",D28=""),"",IF(OR(C28&lt;=0,D28&lt;C28),"",ROUND(LOG10(D28/C28)/LOG10(2),1)))</f>
        <v/>
      </c>
      <c r="I28" s="5"/>
    </row>
    <row r="29" customFormat="false" ht="21.75" hidden="false" customHeight="true" outlineLevel="0" collapsed="false">
      <c r="B29" s="5"/>
      <c r="C29" s="35"/>
      <c r="D29" s="35"/>
      <c r="E29" s="35"/>
      <c r="F29" s="10" t="str">
        <f aca="false">IF(C29="","",IF(C29&lt;20,"Abaixo de 20 Hz",IF(C29&lt;60,"Subgrave",IF(C29&lt;250,"Grave",IF(C29&lt;500,"Médio-grave",IF(C29&lt;2000,"Médio",IF(C29&lt;6000,"Médio-agudo",IF(C29&lt;=20000,"Agudo","Acima de 20 kHz"))))))))</f>
        <v/>
      </c>
      <c r="G29" s="10" t="str">
        <f aca="false">IF(E29="","",IF(E29&lt;20,"Abaixo de 20 Hz",IF(E29&lt;60,"Subgrave",IF(E29&lt;250,"Grave",IF(E29&lt;500,"Médio-grave",IF(E29&lt;2000,"Médio",IF(E29&lt;6000,"Médio-agudo",IF(E29&lt;=20000,"Agudo","Acima de 20 kHz"))))))))</f>
        <v/>
      </c>
      <c r="H29" s="28" t="str">
        <f aca="false">IF(OR(C29="",D29=""),"",IF(OR(C29&lt;=0,D29&lt;C29),"",ROUND(LOG10(D29/C29)/LOG10(2),1)))</f>
        <v/>
      </c>
      <c r="I29" s="5"/>
    </row>
    <row r="30" customFormat="false" ht="21.75" hidden="false" customHeight="true" outlineLevel="0" collapsed="false">
      <c r="B30" s="5"/>
      <c r="C30" s="35"/>
      <c r="D30" s="35"/>
      <c r="E30" s="35"/>
      <c r="F30" s="10" t="str">
        <f aca="false">IF(C30="","",IF(C30&lt;20,"Abaixo de 20 Hz",IF(C30&lt;60,"Subgrave",IF(C30&lt;250,"Grave",IF(C30&lt;500,"Médio-grave",IF(C30&lt;2000,"Médio",IF(C30&lt;6000,"Médio-agudo",IF(C30&lt;=20000,"Agudo","Acima de 20 kHz"))))))))</f>
        <v/>
      </c>
      <c r="G30" s="10" t="str">
        <f aca="false">IF(E30="","",IF(E30&lt;20,"Abaixo de 20 Hz",IF(E30&lt;60,"Subgrave",IF(E30&lt;250,"Grave",IF(E30&lt;500,"Médio-grave",IF(E30&lt;2000,"Médio",IF(E30&lt;6000,"Médio-agudo",IF(E30&lt;=20000,"Agudo","Acima de 20 kHz"))))))))</f>
        <v/>
      </c>
      <c r="H30" s="28" t="str">
        <f aca="false">IF(OR(C30="",D30=""),"",IF(OR(C30&lt;=0,D30&lt;C30),"",ROUND(LOG10(D30/C30)/LOG10(2),1)))</f>
        <v/>
      </c>
      <c r="I30" s="5"/>
    </row>
    <row r="31" customFormat="false" ht="21.75" hidden="false" customHeight="true" outlineLevel="0" collapsed="false">
      <c r="B31" s="5"/>
      <c r="C31" s="35"/>
      <c r="D31" s="35"/>
      <c r="E31" s="35"/>
      <c r="F31" s="10" t="str">
        <f aca="false">IF(C31="","",IF(C31&lt;20,"Abaixo de 20 Hz",IF(C31&lt;60,"Subgrave",IF(C31&lt;250,"Grave",IF(C31&lt;500,"Médio-grave",IF(C31&lt;2000,"Médio",IF(C31&lt;6000,"Médio-agudo",IF(C31&lt;=20000,"Agudo","Acima de 20 kHz"))))))))</f>
        <v/>
      </c>
      <c r="G31" s="10" t="str">
        <f aca="false">IF(E31="","",IF(E31&lt;20,"Abaixo de 20 Hz",IF(E31&lt;60,"Subgrave",IF(E31&lt;250,"Grave",IF(E31&lt;500,"Médio-grave",IF(E31&lt;2000,"Médio",IF(E31&lt;6000,"Médio-agudo",IF(E31&lt;=20000,"Agudo","Acima de 20 kHz"))))))))</f>
        <v/>
      </c>
      <c r="H31" s="28" t="str">
        <f aca="false">IF(OR(C31="",D31=""),"",IF(OR(C31&lt;=0,D31&lt;C31),"",ROUND(LOG10(D31/C31)/LOG10(2),1)))</f>
        <v/>
      </c>
      <c r="I31" s="5"/>
    </row>
    <row r="32" customFormat="false" ht="21.75" hidden="false" customHeight="true" outlineLevel="0" collapsed="false">
      <c r="B32" s="11" t="s">
        <v>240</v>
      </c>
      <c r="C32" s="11"/>
      <c r="D32" s="11"/>
      <c r="E32" s="11"/>
      <c r="F32" s="11"/>
      <c r="G32" s="11"/>
      <c r="H32" s="11"/>
      <c r="I32" s="11"/>
    </row>
  </sheetData>
  <mergeCells count="19">
    <mergeCell ref="B1:I1"/>
    <mergeCell ref="B2:I2"/>
    <mergeCell ref="B4:I4"/>
    <mergeCell ref="E5:G5"/>
    <mergeCell ref="H5:I5"/>
    <mergeCell ref="E6:G6"/>
    <mergeCell ref="H6:I6"/>
    <mergeCell ref="E7:G7"/>
    <mergeCell ref="H7:I7"/>
    <mergeCell ref="E8:G8"/>
    <mergeCell ref="H8:I8"/>
    <mergeCell ref="E9:G9"/>
    <mergeCell ref="H9:I9"/>
    <mergeCell ref="E10:G10"/>
    <mergeCell ref="H10:I10"/>
    <mergeCell ref="E11:G11"/>
    <mergeCell ref="H11:I11"/>
    <mergeCell ref="B13:I13"/>
    <mergeCell ref="B32:I32"/>
  </mergeCells>
  <dataValidations count="1">
    <dataValidation allowBlank="true" error="Digite apenas o número, sem texto nem unidade." errorStyle="stop" errorTitle="Valor inválido" operator="between" showDropDown="false" showErrorMessage="true" showInputMessage="false" sqref="C15:E31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6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241</v>
      </c>
      <c r="C1" s="1"/>
      <c r="D1" s="1"/>
      <c r="E1" s="1"/>
    </row>
    <row r="2" customFormat="false" ht="19.5" hidden="false" customHeight="true" outlineLevel="0" collapsed="false">
      <c r="B2" s="2" t="s">
        <v>242</v>
      </c>
      <c r="C2" s="2"/>
      <c r="D2" s="2"/>
      <c r="E2" s="2"/>
    </row>
    <row r="4" customFormat="false" ht="21.75" hidden="false" customHeight="true" outlineLevel="0" collapsed="false">
      <c r="B4" s="12" t="s">
        <v>243</v>
      </c>
      <c r="C4" s="12"/>
      <c r="D4" s="12"/>
      <c r="E4" s="12"/>
    </row>
    <row r="5" customFormat="false" ht="21.75" hidden="false" customHeight="true" outlineLevel="0" collapsed="false">
      <c r="B5" s="8" t="s">
        <v>244</v>
      </c>
      <c r="C5" s="8" t="s">
        <v>245</v>
      </c>
      <c r="D5" s="8" t="s">
        <v>246</v>
      </c>
      <c r="E5" s="8" t="s">
        <v>247</v>
      </c>
    </row>
    <row r="6" customFormat="false" ht="31.5" hidden="false" customHeight="true" outlineLevel="0" collapsed="false">
      <c r="B6" s="36" t="s">
        <v>248</v>
      </c>
      <c r="C6" s="37" t="s">
        <v>249</v>
      </c>
      <c r="D6" s="37" t="s">
        <v>250</v>
      </c>
      <c r="E6" s="7" t="s">
        <v>251</v>
      </c>
    </row>
    <row r="7" customFormat="false" ht="21.75" hidden="false" customHeight="true" outlineLevel="0" collapsed="false">
      <c r="B7" s="36" t="s">
        <v>252</v>
      </c>
      <c r="C7" s="37" t="s">
        <v>253</v>
      </c>
      <c r="D7" s="37" t="s">
        <v>254</v>
      </c>
      <c r="E7" s="7" t="s">
        <v>255</v>
      </c>
    </row>
    <row r="8" customFormat="false" ht="21.75" hidden="false" customHeight="true" outlineLevel="0" collapsed="false">
      <c r="B8" s="36" t="s">
        <v>256</v>
      </c>
      <c r="C8" s="37" t="s">
        <v>257</v>
      </c>
      <c r="D8" s="37" t="s">
        <v>253</v>
      </c>
      <c r="E8" s="7" t="s">
        <v>258</v>
      </c>
    </row>
    <row r="9" customFormat="false" ht="21.75" hidden="false" customHeight="true" outlineLevel="0" collapsed="false">
      <c r="B9" s="36" t="s">
        <v>259</v>
      </c>
      <c r="C9" s="37" t="s">
        <v>260</v>
      </c>
      <c r="D9" s="37" t="s">
        <v>261</v>
      </c>
      <c r="E9" s="7" t="s">
        <v>262</v>
      </c>
    </row>
    <row r="10" customFormat="false" ht="21.75" hidden="false" customHeight="true" outlineLevel="0" collapsed="false">
      <c r="B10" s="36" t="s">
        <v>263</v>
      </c>
      <c r="C10" s="37" t="s">
        <v>264</v>
      </c>
      <c r="D10" s="37" t="s">
        <v>260</v>
      </c>
      <c r="E10" s="7" t="s">
        <v>265</v>
      </c>
    </row>
    <row r="12" customFormat="false" ht="21.75" hidden="false" customHeight="true" outlineLevel="0" collapsed="false">
      <c r="B12" s="12" t="s">
        <v>266</v>
      </c>
      <c r="C12" s="12"/>
      <c r="D12" s="12"/>
      <c r="E12" s="12"/>
    </row>
    <row r="13" customFormat="false" ht="21.75" hidden="false" customHeight="true" outlineLevel="0" collapsed="false">
      <c r="B13" s="8" t="s">
        <v>267</v>
      </c>
      <c r="C13" s="8" t="s">
        <v>268</v>
      </c>
      <c r="D13" s="8" t="s">
        <v>269</v>
      </c>
      <c r="E13" s="8" t="s">
        <v>270</v>
      </c>
    </row>
    <row r="14" customFormat="false" ht="21.75" hidden="false" customHeight="true" outlineLevel="0" collapsed="false">
      <c r="B14" s="36" t="s">
        <v>88</v>
      </c>
      <c r="C14" s="37" t="s">
        <v>271</v>
      </c>
      <c r="D14" s="37" t="s">
        <v>272</v>
      </c>
      <c r="E14" s="7" t="s">
        <v>273</v>
      </c>
    </row>
    <row r="15" customFormat="false" ht="21.75" hidden="false" customHeight="true" outlineLevel="0" collapsed="false">
      <c r="B15" s="36" t="s">
        <v>109</v>
      </c>
      <c r="C15" s="37" t="s">
        <v>274</v>
      </c>
      <c r="D15" s="37" t="s">
        <v>275</v>
      </c>
      <c r="E15" s="7" t="s">
        <v>276</v>
      </c>
    </row>
    <row r="16" customFormat="false" ht="21.75" hidden="false" customHeight="true" outlineLevel="0" collapsed="false">
      <c r="B16" s="36" t="s">
        <v>112</v>
      </c>
      <c r="C16" s="37" t="s">
        <v>274</v>
      </c>
      <c r="D16" s="37" t="s">
        <v>277</v>
      </c>
      <c r="E16" s="7" t="s">
        <v>278</v>
      </c>
    </row>
    <row r="17" customFormat="false" ht="21.75" hidden="false" customHeight="true" outlineLevel="0" collapsed="false">
      <c r="B17" s="36" t="s">
        <v>279</v>
      </c>
      <c r="C17" s="37" t="s">
        <v>280</v>
      </c>
      <c r="D17" s="37" t="s">
        <v>281</v>
      </c>
      <c r="E17" s="7" t="s">
        <v>282</v>
      </c>
    </row>
    <row r="18" customFormat="false" ht="21.75" hidden="false" customHeight="true" outlineLevel="0" collapsed="false">
      <c r="B18" s="36" t="s">
        <v>283</v>
      </c>
      <c r="C18" s="37" t="s">
        <v>284</v>
      </c>
      <c r="D18" s="37" t="s">
        <v>285</v>
      </c>
      <c r="E18" s="7" t="s">
        <v>286</v>
      </c>
    </row>
    <row r="20" customFormat="false" ht="21.75" hidden="false" customHeight="true" outlineLevel="0" collapsed="false">
      <c r="B20" s="12" t="s">
        <v>287</v>
      </c>
      <c r="C20" s="12"/>
      <c r="D20" s="12"/>
      <c r="E20" s="12"/>
    </row>
    <row r="21" customFormat="false" ht="21.75" hidden="false" customHeight="true" outlineLevel="0" collapsed="false">
      <c r="B21" s="8" t="s">
        <v>160</v>
      </c>
      <c r="C21" s="8" t="s">
        <v>288</v>
      </c>
      <c r="D21" s="8" t="s">
        <v>50</v>
      </c>
      <c r="E21" s="8" t="s">
        <v>163</v>
      </c>
    </row>
    <row r="22" customFormat="false" ht="21.75" hidden="false" customHeight="true" outlineLevel="0" collapsed="false">
      <c r="B22" s="36" t="s">
        <v>289</v>
      </c>
      <c r="C22" s="37" t="s">
        <v>290</v>
      </c>
      <c r="D22" s="37" t="s">
        <v>291</v>
      </c>
      <c r="E22" s="7" t="s">
        <v>292</v>
      </c>
    </row>
    <row r="23" customFormat="false" ht="21.75" hidden="false" customHeight="true" outlineLevel="0" collapsed="false">
      <c r="B23" s="36" t="s">
        <v>293</v>
      </c>
      <c r="C23" s="37" t="s">
        <v>294</v>
      </c>
      <c r="D23" s="37" t="s">
        <v>291</v>
      </c>
      <c r="E23" s="7" t="s">
        <v>295</v>
      </c>
    </row>
    <row r="24" customFormat="false" ht="21.75" hidden="false" customHeight="true" outlineLevel="0" collapsed="false">
      <c r="B24" s="36" t="s">
        <v>296</v>
      </c>
      <c r="C24" s="37" t="s">
        <v>297</v>
      </c>
      <c r="D24" s="37" t="s">
        <v>291</v>
      </c>
      <c r="E24" s="7" t="s">
        <v>298</v>
      </c>
    </row>
    <row r="25" customFormat="false" ht="21.75" hidden="false" customHeight="true" outlineLevel="0" collapsed="false">
      <c r="B25" s="36" t="s">
        <v>299</v>
      </c>
      <c r="C25" s="37" t="s">
        <v>300</v>
      </c>
      <c r="D25" s="37" t="s">
        <v>291</v>
      </c>
      <c r="E25" s="7" t="s">
        <v>301</v>
      </c>
    </row>
    <row r="26" customFormat="false" ht="21.75" hidden="false" customHeight="true" outlineLevel="0" collapsed="false">
      <c r="B26" s="36" t="s">
        <v>302</v>
      </c>
      <c r="C26" s="37" t="s">
        <v>303</v>
      </c>
      <c r="D26" s="37" t="s">
        <v>304</v>
      </c>
      <c r="E26" s="7" t="s">
        <v>305</v>
      </c>
    </row>
    <row r="27" customFormat="false" ht="21.75" hidden="false" customHeight="true" outlineLevel="0" collapsed="false">
      <c r="B27" s="36" t="s">
        <v>306</v>
      </c>
      <c r="C27" s="37" t="s">
        <v>307</v>
      </c>
      <c r="D27" s="37" t="s">
        <v>308</v>
      </c>
      <c r="E27" s="7" t="s">
        <v>309</v>
      </c>
    </row>
    <row r="28" customFormat="false" ht="21.75" hidden="false" customHeight="true" outlineLevel="0" collapsed="false">
      <c r="B28" s="36" t="s">
        <v>310</v>
      </c>
      <c r="C28" s="37" t="s">
        <v>311</v>
      </c>
      <c r="D28" s="37" t="s">
        <v>291</v>
      </c>
      <c r="E28" s="7" t="s">
        <v>312</v>
      </c>
    </row>
    <row r="30" customFormat="false" ht="21.75" hidden="false" customHeight="true" outlineLevel="0" collapsed="false">
      <c r="B30" s="12" t="s">
        <v>313</v>
      </c>
      <c r="C30" s="12"/>
      <c r="D30" s="12"/>
      <c r="E30" s="12"/>
    </row>
    <row r="31" customFormat="false" ht="21.75" hidden="false" customHeight="true" outlineLevel="0" collapsed="false">
      <c r="B31" s="8" t="s">
        <v>314</v>
      </c>
      <c r="C31" s="8" t="s">
        <v>315</v>
      </c>
      <c r="D31" s="8" t="s">
        <v>316</v>
      </c>
      <c r="E31" s="8" t="s">
        <v>163</v>
      </c>
    </row>
    <row r="32" customFormat="false" ht="21.75" hidden="false" customHeight="true" outlineLevel="0" collapsed="false">
      <c r="B32" s="36" t="s">
        <v>317</v>
      </c>
      <c r="C32" s="37" t="s">
        <v>318</v>
      </c>
      <c r="D32" s="37" t="s">
        <v>319</v>
      </c>
      <c r="E32" s="7" t="s">
        <v>320</v>
      </c>
    </row>
    <row r="33" customFormat="false" ht="21.75" hidden="false" customHeight="true" outlineLevel="0" collapsed="false">
      <c r="B33" s="36" t="s">
        <v>321</v>
      </c>
      <c r="C33" s="37" t="s">
        <v>322</v>
      </c>
      <c r="D33" s="37" t="s">
        <v>323</v>
      </c>
      <c r="E33" s="7"/>
    </row>
    <row r="34" customFormat="false" ht="21.75" hidden="false" customHeight="true" outlineLevel="0" collapsed="false">
      <c r="B34" s="36" t="s">
        <v>324</v>
      </c>
      <c r="C34" s="37" t="s">
        <v>325</v>
      </c>
      <c r="D34" s="37" t="s">
        <v>326</v>
      </c>
      <c r="E34" s="7" t="s">
        <v>327</v>
      </c>
    </row>
    <row r="35" customFormat="false" ht="21.75" hidden="false" customHeight="true" outlineLevel="0" collapsed="false">
      <c r="B35" s="36" t="s">
        <v>328</v>
      </c>
      <c r="C35" s="37" t="s">
        <v>329</v>
      </c>
      <c r="D35" s="37" t="s">
        <v>330</v>
      </c>
      <c r="E35" s="7"/>
    </row>
    <row r="36" customFormat="false" ht="21.75" hidden="false" customHeight="true" outlineLevel="0" collapsed="false">
      <c r="B36" s="36" t="s">
        <v>331</v>
      </c>
      <c r="C36" s="37" t="s">
        <v>332</v>
      </c>
      <c r="D36" s="37" t="s">
        <v>333</v>
      </c>
      <c r="E36" s="7"/>
    </row>
    <row r="37" customFormat="false" ht="21.75" hidden="false" customHeight="true" outlineLevel="0" collapsed="false">
      <c r="B37" s="36" t="s">
        <v>334</v>
      </c>
      <c r="C37" s="37" t="s">
        <v>335</v>
      </c>
      <c r="D37" s="37" t="s">
        <v>336</v>
      </c>
      <c r="E37" s="7" t="s">
        <v>337</v>
      </c>
    </row>
    <row r="38" customFormat="false" ht="31.5" hidden="false" customHeight="true" outlineLevel="0" collapsed="false">
      <c r="B38" s="36" t="s">
        <v>338</v>
      </c>
      <c r="C38" s="37" t="s">
        <v>339</v>
      </c>
      <c r="D38" s="37" t="s">
        <v>340</v>
      </c>
      <c r="E38" s="7" t="s">
        <v>341</v>
      </c>
    </row>
    <row r="40" customFormat="false" ht="21.75" hidden="false" customHeight="true" outlineLevel="0" collapsed="false">
      <c r="B40" s="12" t="s">
        <v>342</v>
      </c>
      <c r="C40" s="12"/>
      <c r="D40" s="12"/>
      <c r="E40" s="12"/>
    </row>
    <row r="41" customFormat="false" ht="21.75" hidden="false" customHeight="true" outlineLevel="0" collapsed="false">
      <c r="B41" s="8" t="s">
        <v>343</v>
      </c>
      <c r="C41" s="8" t="s">
        <v>344</v>
      </c>
      <c r="D41" s="8" t="s">
        <v>345</v>
      </c>
      <c r="E41" s="8" t="s">
        <v>163</v>
      </c>
    </row>
    <row r="42" customFormat="false" ht="21.75" hidden="false" customHeight="true" outlineLevel="0" collapsed="false">
      <c r="B42" s="36" t="s">
        <v>346</v>
      </c>
      <c r="C42" s="37" t="s">
        <v>347</v>
      </c>
      <c r="D42" s="37" t="s">
        <v>348</v>
      </c>
      <c r="E42" s="7" t="s">
        <v>349</v>
      </c>
    </row>
    <row r="43" customFormat="false" ht="21.75" hidden="false" customHeight="true" outlineLevel="0" collapsed="false">
      <c r="B43" s="36" t="s">
        <v>248</v>
      </c>
      <c r="C43" s="37" t="s">
        <v>350</v>
      </c>
      <c r="D43" s="37" t="s">
        <v>351</v>
      </c>
      <c r="E43" s="7"/>
    </row>
    <row r="44" customFormat="false" ht="21.75" hidden="false" customHeight="true" outlineLevel="0" collapsed="false">
      <c r="B44" s="36" t="s">
        <v>252</v>
      </c>
      <c r="C44" s="37" t="s">
        <v>352</v>
      </c>
      <c r="D44" s="37" t="s">
        <v>353</v>
      </c>
      <c r="E44" s="7"/>
    </row>
    <row r="45" customFormat="false" ht="21.75" hidden="false" customHeight="true" outlineLevel="0" collapsed="false">
      <c r="B45" s="36" t="s">
        <v>256</v>
      </c>
      <c r="C45" s="37" t="s">
        <v>354</v>
      </c>
      <c r="D45" s="37" t="s">
        <v>355</v>
      </c>
      <c r="E45" s="7"/>
    </row>
    <row r="46" customFormat="false" ht="21.75" hidden="false" customHeight="true" outlineLevel="0" collapsed="false">
      <c r="B46" s="36" t="s">
        <v>356</v>
      </c>
      <c r="C46" s="37" t="s">
        <v>357</v>
      </c>
      <c r="D46" s="37" t="s">
        <v>358</v>
      </c>
      <c r="E46" s="7" t="s">
        <v>359</v>
      </c>
    </row>
    <row r="48" customFormat="false" ht="21.75" hidden="false" customHeight="true" outlineLevel="0" collapsed="false">
      <c r="B48" s="12" t="s">
        <v>360</v>
      </c>
      <c r="C48" s="12"/>
      <c r="D48" s="12"/>
      <c r="E48" s="12"/>
    </row>
    <row r="49" customFormat="false" ht="21.75" hidden="false" customHeight="true" outlineLevel="0" collapsed="false">
      <c r="B49" s="8" t="s">
        <v>361</v>
      </c>
      <c r="C49" s="8" t="s">
        <v>362</v>
      </c>
      <c r="D49" s="8" t="s">
        <v>363</v>
      </c>
      <c r="E49" s="8" t="s">
        <v>364</v>
      </c>
    </row>
    <row r="50" customFormat="false" ht="21.75" hidden="false" customHeight="true" outlineLevel="0" collapsed="false">
      <c r="B50" s="36" t="s">
        <v>365</v>
      </c>
      <c r="C50" s="37" t="s">
        <v>366</v>
      </c>
      <c r="D50" s="37" t="s">
        <v>367</v>
      </c>
      <c r="E50" s="7" t="s">
        <v>368</v>
      </c>
    </row>
    <row r="51" customFormat="false" ht="21.75" hidden="false" customHeight="true" outlineLevel="0" collapsed="false">
      <c r="B51" s="36" t="s">
        <v>369</v>
      </c>
      <c r="C51" s="37" t="s">
        <v>370</v>
      </c>
      <c r="D51" s="37" t="s">
        <v>371</v>
      </c>
      <c r="E51" s="7" t="s">
        <v>372</v>
      </c>
    </row>
    <row r="52" customFormat="false" ht="21.75" hidden="false" customHeight="true" outlineLevel="0" collapsed="false">
      <c r="B52" s="36" t="s">
        <v>373</v>
      </c>
      <c r="C52" s="37" t="s">
        <v>374</v>
      </c>
      <c r="D52" s="37" t="s">
        <v>375</v>
      </c>
      <c r="E52" s="7" t="s">
        <v>376</v>
      </c>
    </row>
    <row r="53" customFormat="false" ht="21.75" hidden="false" customHeight="true" outlineLevel="0" collapsed="false">
      <c r="B53" s="36" t="s">
        <v>377</v>
      </c>
      <c r="C53" s="37" t="s">
        <v>378</v>
      </c>
      <c r="D53" s="37" t="s">
        <v>379</v>
      </c>
      <c r="E53" s="7" t="s">
        <v>380</v>
      </c>
    </row>
    <row r="54" customFormat="false" ht="21.75" hidden="false" customHeight="true" outlineLevel="0" collapsed="false">
      <c r="B54" s="36" t="s">
        <v>381</v>
      </c>
      <c r="C54" s="37" t="s">
        <v>382</v>
      </c>
      <c r="D54" s="37" t="s">
        <v>383</v>
      </c>
      <c r="E54" s="7" t="s">
        <v>384</v>
      </c>
    </row>
    <row r="56" customFormat="false" ht="21.75" hidden="false" customHeight="true" outlineLevel="0" collapsed="false">
      <c r="B56" s="12" t="s">
        <v>385</v>
      </c>
      <c r="C56" s="12"/>
      <c r="D56" s="12"/>
      <c r="E56" s="12"/>
    </row>
    <row r="57" customFormat="false" ht="21.75" hidden="false" customHeight="true" outlineLevel="0" collapsed="false">
      <c r="B57" s="8" t="s">
        <v>116</v>
      </c>
      <c r="C57" s="8" t="s">
        <v>386</v>
      </c>
      <c r="D57" s="8" t="s">
        <v>120</v>
      </c>
      <c r="E57" s="8" t="s">
        <v>387</v>
      </c>
    </row>
    <row r="58" customFormat="false" ht="21.75" hidden="false" customHeight="true" outlineLevel="0" collapsed="false">
      <c r="B58" s="36" t="s">
        <v>388</v>
      </c>
      <c r="C58" s="37" t="s">
        <v>389</v>
      </c>
      <c r="D58" s="37" t="s">
        <v>390</v>
      </c>
      <c r="E58" s="7" t="s">
        <v>391</v>
      </c>
    </row>
    <row r="59" customFormat="false" ht="21.75" hidden="false" customHeight="true" outlineLevel="0" collapsed="false">
      <c r="B59" s="36" t="s">
        <v>392</v>
      </c>
      <c r="C59" s="37" t="s">
        <v>393</v>
      </c>
      <c r="D59" s="37" t="s">
        <v>394</v>
      </c>
      <c r="E59" s="7" t="s">
        <v>395</v>
      </c>
    </row>
    <row r="60" customFormat="false" ht="21.75" hidden="false" customHeight="true" outlineLevel="0" collapsed="false">
      <c r="B60" s="36" t="s">
        <v>396</v>
      </c>
      <c r="C60" s="37" t="s">
        <v>397</v>
      </c>
      <c r="D60" s="37" t="s">
        <v>398</v>
      </c>
      <c r="E60" s="7" t="s">
        <v>399</v>
      </c>
    </row>
    <row r="61" customFormat="false" ht="21.75" hidden="false" customHeight="true" outlineLevel="0" collapsed="false">
      <c r="B61" s="36" t="s">
        <v>400</v>
      </c>
      <c r="C61" s="37" t="s">
        <v>401</v>
      </c>
      <c r="D61" s="37" t="s">
        <v>402</v>
      </c>
      <c r="E61" s="7" t="s">
        <v>403</v>
      </c>
    </row>
    <row r="62" customFormat="false" ht="21.75" hidden="false" customHeight="true" outlineLevel="0" collapsed="false">
      <c r="B62" s="36" t="s">
        <v>404</v>
      </c>
      <c r="C62" s="37" t="s">
        <v>405</v>
      </c>
      <c r="D62" s="37" t="s">
        <v>406</v>
      </c>
      <c r="E62" s="7" t="s">
        <v>407</v>
      </c>
    </row>
    <row r="63" customFormat="false" ht="21.75" hidden="false" customHeight="true" outlineLevel="0" collapsed="false">
      <c r="B63" s="36" t="s">
        <v>408</v>
      </c>
      <c r="C63" s="37" t="s">
        <v>409</v>
      </c>
      <c r="D63" s="37" t="s">
        <v>410</v>
      </c>
      <c r="E63" s="7" t="s">
        <v>411</v>
      </c>
    </row>
    <row r="64" customFormat="false" ht="21.75" hidden="false" customHeight="true" outlineLevel="0" collapsed="false">
      <c r="B64" s="36" t="s">
        <v>412</v>
      </c>
      <c r="C64" s="37" t="s">
        <v>413</v>
      </c>
      <c r="D64" s="37" t="s">
        <v>414</v>
      </c>
      <c r="E64" s="7" t="s">
        <v>415</v>
      </c>
    </row>
    <row r="66" customFormat="false" ht="21.75" hidden="false" customHeight="true" outlineLevel="0" collapsed="false">
      <c r="B66" s="12" t="s">
        <v>416</v>
      </c>
      <c r="C66" s="12"/>
      <c r="D66" s="12"/>
      <c r="E66" s="12"/>
    </row>
    <row r="67" customFormat="false" ht="21.75" hidden="false" customHeight="true" outlineLevel="0" collapsed="false">
      <c r="B67" s="8" t="s">
        <v>417</v>
      </c>
      <c r="C67" s="8" t="s">
        <v>418</v>
      </c>
      <c r="D67" s="8" t="s">
        <v>419</v>
      </c>
      <c r="E67" s="8" t="s">
        <v>163</v>
      </c>
    </row>
    <row r="68" customFormat="false" ht="31.5" hidden="false" customHeight="true" outlineLevel="0" collapsed="false">
      <c r="B68" s="36" t="s">
        <v>420</v>
      </c>
      <c r="C68" s="37" t="s">
        <v>421</v>
      </c>
      <c r="D68" s="37" t="s">
        <v>422</v>
      </c>
      <c r="E68" s="7" t="s">
        <v>423</v>
      </c>
    </row>
    <row r="69" customFormat="false" ht="31.5" hidden="false" customHeight="true" outlineLevel="0" collapsed="false">
      <c r="B69" s="36" t="s">
        <v>424</v>
      </c>
      <c r="C69" s="37" t="s">
        <v>425</v>
      </c>
      <c r="D69" s="37" t="s">
        <v>426</v>
      </c>
      <c r="E69" s="7" t="s">
        <v>427</v>
      </c>
    </row>
    <row r="70" customFormat="false" ht="21.75" hidden="false" customHeight="true" outlineLevel="0" collapsed="false">
      <c r="B70" s="36" t="s">
        <v>428</v>
      </c>
      <c r="C70" s="37" t="s">
        <v>429</v>
      </c>
      <c r="D70" s="37" t="s">
        <v>430</v>
      </c>
      <c r="E70" s="7" t="s">
        <v>431</v>
      </c>
    </row>
    <row r="71" customFormat="false" ht="15" hidden="false" customHeight="true" outlineLevel="0" collapsed="false">
      <c r="B71" s="11" t="s">
        <v>432</v>
      </c>
      <c r="C71" s="11"/>
      <c r="D71" s="11"/>
      <c r="E71" s="11"/>
    </row>
  </sheetData>
  <mergeCells count="11">
    <mergeCell ref="B1:E1"/>
    <mergeCell ref="B2:E2"/>
    <mergeCell ref="B4:E4"/>
    <mergeCell ref="B12:E12"/>
    <mergeCell ref="B20:E20"/>
    <mergeCell ref="B30:E30"/>
    <mergeCell ref="B40:E40"/>
    <mergeCell ref="B48:E48"/>
    <mergeCell ref="B56:E56"/>
    <mergeCell ref="B66:E66"/>
    <mergeCell ref="B71:E7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433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434</v>
      </c>
      <c r="C2" s="2"/>
      <c r="D2" s="2"/>
      <c r="E2" s="2"/>
      <c r="F2" s="2"/>
    </row>
    <row r="4" customFormat="false" ht="21.75" hidden="false" customHeight="true" outlineLevel="0" collapsed="false">
      <c r="B4" s="24" t="s">
        <v>435</v>
      </c>
      <c r="C4" s="24" t="s">
        <v>436</v>
      </c>
      <c r="D4" s="24" t="s">
        <v>417</v>
      </c>
      <c r="E4" s="24" t="s">
        <v>160</v>
      </c>
      <c r="F4" s="24" t="s">
        <v>163</v>
      </c>
    </row>
    <row r="5" customFormat="false" ht="31.5" hidden="false" customHeight="true" outlineLevel="0" collapsed="false">
      <c r="B5" s="26" t="n">
        <v>1</v>
      </c>
      <c r="C5" s="6" t="s">
        <v>437</v>
      </c>
      <c r="D5" s="7" t="s">
        <v>438</v>
      </c>
      <c r="E5" s="9"/>
      <c r="F5" s="5"/>
    </row>
    <row r="6" customFormat="false" ht="31.5" hidden="false" customHeight="true" outlineLevel="0" collapsed="false">
      <c r="B6" s="26" t="n">
        <v>2</v>
      </c>
      <c r="C6" s="6" t="s">
        <v>437</v>
      </c>
      <c r="D6" s="7" t="s">
        <v>439</v>
      </c>
      <c r="E6" s="9"/>
      <c r="F6" s="5"/>
    </row>
    <row r="7" customFormat="false" ht="31.5" hidden="false" customHeight="true" outlineLevel="0" collapsed="false">
      <c r="B7" s="26" t="n">
        <v>3</v>
      </c>
      <c r="C7" s="6" t="s">
        <v>437</v>
      </c>
      <c r="D7" s="7" t="s">
        <v>440</v>
      </c>
      <c r="E7" s="9"/>
      <c r="F7" s="5"/>
    </row>
    <row r="8" customFormat="false" ht="31.5" hidden="false" customHeight="true" outlineLevel="0" collapsed="false">
      <c r="B8" s="26" t="n">
        <v>4</v>
      </c>
      <c r="C8" s="6" t="s">
        <v>437</v>
      </c>
      <c r="D8" s="7" t="s">
        <v>441</v>
      </c>
      <c r="E8" s="9"/>
      <c r="F8" s="5"/>
    </row>
    <row r="9" customFormat="false" ht="19.5" hidden="false" customHeight="true" outlineLevel="0" collapsed="false">
      <c r="B9" s="26" t="n">
        <v>5</v>
      </c>
      <c r="C9" s="6" t="s">
        <v>437</v>
      </c>
      <c r="D9" s="7" t="s">
        <v>442</v>
      </c>
      <c r="E9" s="9"/>
      <c r="F9" s="5"/>
    </row>
    <row r="10" customFormat="false" ht="31.5" hidden="false" customHeight="true" outlineLevel="0" collapsed="false">
      <c r="B10" s="26" t="n">
        <v>6</v>
      </c>
      <c r="C10" s="6" t="s">
        <v>443</v>
      </c>
      <c r="D10" s="7" t="s">
        <v>444</v>
      </c>
      <c r="E10" s="9"/>
      <c r="F10" s="5"/>
    </row>
    <row r="11" customFormat="false" ht="31.5" hidden="false" customHeight="true" outlineLevel="0" collapsed="false">
      <c r="B11" s="26" t="n">
        <v>7</v>
      </c>
      <c r="C11" s="6" t="s">
        <v>443</v>
      </c>
      <c r="D11" s="7" t="s">
        <v>445</v>
      </c>
      <c r="E11" s="9"/>
      <c r="F11" s="5"/>
    </row>
    <row r="12" customFormat="false" ht="31.5" hidden="false" customHeight="true" outlineLevel="0" collapsed="false">
      <c r="B12" s="26" t="n">
        <v>8</v>
      </c>
      <c r="C12" s="6" t="s">
        <v>443</v>
      </c>
      <c r="D12" s="7" t="s">
        <v>446</v>
      </c>
      <c r="E12" s="9"/>
      <c r="F12" s="5"/>
    </row>
    <row r="13" customFormat="false" ht="31.5" hidden="false" customHeight="true" outlineLevel="0" collapsed="false">
      <c r="B13" s="26" t="n">
        <v>9</v>
      </c>
      <c r="C13" s="6" t="s">
        <v>447</v>
      </c>
      <c r="D13" s="7" t="s">
        <v>448</v>
      </c>
      <c r="E13" s="9"/>
      <c r="F13" s="5"/>
    </row>
    <row r="14" customFormat="false" ht="31.5" hidden="false" customHeight="true" outlineLevel="0" collapsed="false">
      <c r="B14" s="26" t="n">
        <v>10</v>
      </c>
      <c r="C14" s="6" t="s">
        <v>447</v>
      </c>
      <c r="D14" s="7" t="s">
        <v>449</v>
      </c>
      <c r="E14" s="9"/>
      <c r="F14" s="5"/>
    </row>
    <row r="15" customFormat="false" ht="19.5" hidden="false" customHeight="true" outlineLevel="0" collapsed="false">
      <c r="B15" s="26" t="n">
        <v>11</v>
      </c>
      <c r="C15" s="6" t="s">
        <v>450</v>
      </c>
      <c r="D15" s="7" t="s">
        <v>451</v>
      </c>
      <c r="E15" s="9"/>
      <c r="F15" s="5"/>
    </row>
    <row r="16" customFormat="false" ht="31.5" hidden="false" customHeight="true" outlineLevel="0" collapsed="false">
      <c r="B16" s="26" t="n">
        <v>12</v>
      </c>
      <c r="C16" s="6" t="s">
        <v>450</v>
      </c>
      <c r="D16" s="7" t="s">
        <v>452</v>
      </c>
      <c r="E16" s="9"/>
      <c r="F16" s="5"/>
    </row>
    <row r="18" customFormat="false" ht="19.5" hidden="false" customHeight="true" outlineLevel="0" collapsed="false">
      <c r="B18" s="33" t="s">
        <v>453</v>
      </c>
      <c r="C18" s="33"/>
      <c r="D18" s="33"/>
      <c r="E18" s="8" t="n">
        <f aca="false">COUNTA(E5:E16)</f>
        <v>0</v>
      </c>
    </row>
    <row r="19" customFormat="false" ht="19.5" hidden="false" customHeight="true" outlineLevel="0" collapsed="false">
      <c r="B19" s="33" t="s">
        <v>454</v>
      </c>
      <c r="C19" s="33"/>
      <c r="D19" s="33"/>
      <c r="E19" s="38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33" t="s">
        <v>160</v>
      </c>
      <c r="C20" s="33"/>
      <c r="D20" s="33"/>
      <c r="E20" s="31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5" min="4" style="0" width="11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46"/>
    <col collapsed="false" customWidth="true" hidden="false" outlineLevel="0" max="13" min="12" style="0" width="11"/>
    <col collapsed="false" customWidth="true" hidden="false" outlineLevel="0" max="14" min="14" style="0" width="30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455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133</v>
      </c>
      <c r="C4" s="4"/>
      <c r="D4" s="39" t="s">
        <v>456</v>
      </c>
      <c r="E4" s="39"/>
      <c r="F4" s="39"/>
      <c r="G4" s="39"/>
      <c r="H4" s="39"/>
      <c r="I4" s="4" t="s">
        <v>134</v>
      </c>
      <c r="J4" s="4"/>
      <c r="K4" s="4"/>
      <c r="L4" s="40" t="n">
        <v>90</v>
      </c>
      <c r="M4" s="11" t="s">
        <v>135</v>
      </c>
      <c r="N4" s="11"/>
    </row>
    <row r="5" customFormat="false" ht="21.75" hidden="false" customHeight="true" outlineLevel="0" collapsed="false">
      <c r="B5" s="4" t="s">
        <v>136</v>
      </c>
      <c r="C5" s="4"/>
      <c r="D5" s="39" t="s">
        <v>457</v>
      </c>
      <c r="E5" s="39"/>
      <c r="F5" s="39"/>
      <c r="G5" s="39"/>
      <c r="H5" s="39"/>
      <c r="I5" s="4" t="s">
        <v>137</v>
      </c>
      <c r="J5" s="4"/>
      <c r="K5" s="4"/>
      <c r="L5" s="40" t="n">
        <v>6</v>
      </c>
      <c r="M5" s="11" t="s">
        <v>138</v>
      </c>
      <c r="N5" s="11"/>
    </row>
    <row r="6" customFormat="false" ht="21.75" hidden="false" customHeight="true" outlineLevel="0" collapsed="false">
      <c r="B6" s="4" t="s">
        <v>139</v>
      </c>
      <c r="C6" s="4"/>
      <c r="D6" s="41" t="n">
        <v>46299</v>
      </c>
      <c r="E6" s="41"/>
      <c r="F6" s="41"/>
      <c r="G6" s="41"/>
      <c r="H6" s="41"/>
      <c r="I6" s="4" t="s">
        <v>140</v>
      </c>
      <c r="J6" s="4"/>
      <c r="K6" s="4"/>
      <c r="L6" s="40" t="n">
        <v>48</v>
      </c>
      <c r="M6" s="11" t="s">
        <v>141</v>
      </c>
      <c r="N6" s="11"/>
    </row>
    <row r="7" customFormat="false" ht="21.75" hidden="false" customHeight="true" outlineLevel="0" collapsed="false">
      <c r="B7" s="4" t="s">
        <v>142</v>
      </c>
      <c r="C7" s="4"/>
      <c r="D7" s="39" t="s">
        <v>458</v>
      </c>
      <c r="E7" s="39"/>
      <c r="F7" s="39"/>
      <c r="G7" s="39"/>
      <c r="H7" s="39"/>
      <c r="I7" s="4" t="s">
        <v>143</v>
      </c>
      <c r="J7" s="4"/>
      <c r="K7" s="4"/>
      <c r="L7" s="40" t="n">
        <v>5</v>
      </c>
      <c r="M7" s="11" t="s">
        <v>144</v>
      </c>
      <c r="N7" s="11"/>
    </row>
    <row r="8" customFormat="false" ht="21.75" hidden="false" customHeight="true" outlineLevel="0" collapsed="false">
      <c r="B8" s="4" t="s">
        <v>145</v>
      </c>
      <c r="C8" s="4"/>
      <c r="D8" s="39" t="s">
        <v>459</v>
      </c>
      <c r="E8" s="39"/>
      <c r="F8" s="39"/>
      <c r="G8" s="39"/>
      <c r="H8" s="39"/>
      <c r="I8" s="4" t="s">
        <v>146</v>
      </c>
      <c r="J8" s="4"/>
      <c r="K8" s="4"/>
      <c r="L8" s="8" t="n">
        <f aca="false">IF($L$7="","",IFERROR(IF(INDEX($E$17:$E$32,MATCH($L$7,$B$17:$B$32,0))="","",INDEX($E$17:$E$32,MATCH($L$7,$B$17:$B$32,0))),""))</f>
        <v>86</v>
      </c>
      <c r="M8" s="11" t="s">
        <v>147</v>
      </c>
      <c r="N8" s="11"/>
    </row>
    <row r="9" customFormat="false" ht="21.75" hidden="false" customHeight="true" outlineLevel="0" collapsed="false">
      <c r="B9" s="4" t="s">
        <v>148</v>
      </c>
      <c r="C9" s="4"/>
      <c r="D9" s="39" t="s">
        <v>460</v>
      </c>
      <c r="E9" s="39"/>
      <c r="F9" s="39"/>
      <c r="G9" s="39"/>
      <c r="H9" s="39"/>
      <c r="I9" s="4" t="s">
        <v>149</v>
      </c>
      <c r="J9" s="4"/>
      <c r="K9" s="4"/>
      <c r="L9" s="8" t="n">
        <f aca="false">IF($L$7="","",IFERROR(IF(INDEX($D$17:$D$32,MATCH($L$7,$B$17:$B$32,0))="","",INDEX($D$17:$D$32,MATCH($L$7,$B$17:$B$32,0))),""))</f>
        <v>12</v>
      </c>
      <c r="M9" s="11" t="s">
        <v>147</v>
      </c>
      <c r="N9" s="11"/>
    </row>
    <row r="10" customFormat="false" ht="21.75" hidden="false" customHeight="true" outlineLevel="0" collapsed="false">
      <c r="B10" s="4" t="s">
        <v>150</v>
      </c>
      <c r="C10" s="4"/>
      <c r="D10" s="39" t="s">
        <v>461</v>
      </c>
      <c r="E10" s="39"/>
      <c r="F10" s="39"/>
      <c r="G10" s="39"/>
      <c r="H10" s="39"/>
      <c r="I10" s="11" t="s">
        <v>151</v>
      </c>
      <c r="J10" s="11"/>
      <c r="K10" s="11"/>
      <c r="L10" s="11"/>
      <c r="M10" s="11"/>
      <c r="N10" s="11"/>
    </row>
    <row r="11" customFormat="false" ht="21.75" hidden="false" customHeight="true" outlineLevel="0" collapsed="false">
      <c r="B11" s="4" t="s">
        <v>152</v>
      </c>
      <c r="C11" s="4"/>
      <c r="D11" s="39" t="s">
        <v>462</v>
      </c>
      <c r="E11" s="39"/>
      <c r="F11" s="39"/>
      <c r="G11" s="39"/>
      <c r="H11" s="39"/>
      <c r="I11" s="11"/>
      <c r="J11" s="11"/>
      <c r="K11" s="11"/>
      <c r="L11" s="11"/>
      <c r="M11" s="11"/>
      <c r="N11" s="11"/>
    </row>
    <row r="13" customFormat="false" ht="21.75" hidden="false" customHeight="true" outlineLevel="0" collapsed="false">
      <c r="B13" s="12" t="s">
        <v>153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30" hidden="false" customHeight="true" outlineLevel="0" collapsed="false">
      <c r="B14" s="24" t="s">
        <v>154</v>
      </c>
      <c r="C14" s="24" t="s">
        <v>155</v>
      </c>
      <c r="D14" s="13" t="s">
        <v>156</v>
      </c>
      <c r="E14" s="13" t="s">
        <v>157</v>
      </c>
      <c r="F14" s="14" t="s">
        <v>158</v>
      </c>
      <c r="G14" s="14" t="s">
        <v>46</v>
      </c>
      <c r="H14" s="14" t="s">
        <v>159</v>
      </c>
      <c r="I14" s="14" t="s">
        <v>50</v>
      </c>
      <c r="J14" s="14" t="s">
        <v>160</v>
      </c>
      <c r="K14" s="14" t="s">
        <v>161</v>
      </c>
      <c r="L14" s="13" t="s">
        <v>162</v>
      </c>
      <c r="M14" s="14" t="s">
        <v>92</v>
      </c>
      <c r="N14" s="24" t="s">
        <v>163</v>
      </c>
    </row>
    <row r="15" customFormat="false" ht="27" hidden="false" customHeight="true" outlineLevel="0" collapsed="false">
      <c r="B15" s="25"/>
      <c r="C15" s="25" t="s">
        <v>164</v>
      </c>
      <c r="D15" s="25" t="s">
        <v>165</v>
      </c>
      <c r="E15" s="25" t="s">
        <v>70</v>
      </c>
      <c r="F15" s="25" t="s">
        <v>70</v>
      </c>
      <c r="G15" s="25" t="s">
        <v>70</v>
      </c>
      <c r="H15" s="25" t="s">
        <v>70</v>
      </c>
      <c r="I15" s="25" t="s">
        <v>166</v>
      </c>
      <c r="J15" s="25"/>
      <c r="K15" s="25"/>
      <c r="L15" s="25" t="s">
        <v>167</v>
      </c>
      <c r="M15" s="25" t="s">
        <v>70</v>
      </c>
      <c r="N15" s="25"/>
    </row>
    <row r="16" customFormat="false" ht="24" hidden="false" customHeight="true" outlineLevel="0" collapsed="false">
      <c r="B16" s="11" t="s">
        <v>463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customFormat="false" ht="21.75" hidden="false" customHeight="true" outlineLevel="0" collapsed="false">
      <c r="B17" s="26" t="n">
        <v>1</v>
      </c>
      <c r="C17" s="39" t="s">
        <v>169</v>
      </c>
      <c r="D17" s="40" t="n">
        <v>3</v>
      </c>
      <c r="E17" s="40" t="n">
        <v>96</v>
      </c>
      <c r="F17" s="27" t="n">
        <f aca="false">IF(OR(E17="",$L$8=""),"",E17-$L$8)</f>
        <v>10</v>
      </c>
      <c r="G17" s="28" t="n">
        <f aca="false">IF(OR(D17="",$L$8="",$L$9=""),"",IF(OR(D17&lt;=0,$L$9&lt;=0),"",ROUND($L$8-20*LOG10(D17/$L$9),1)))</f>
        <v>98</v>
      </c>
      <c r="H17" s="29" t="n">
        <f aca="false">IF(OR(E17="",G17=""),"",ROUND(E17-G17,1))</f>
        <v>-2</v>
      </c>
      <c r="I17" s="30" t="n">
        <f aca="false">IF(E17="","",IF(E17&lt;85,"mais de 8 h",ROUND(480/2^((E17-85)/3),0)))</f>
        <v>38</v>
      </c>
      <c r="J17" s="31" t="str">
        <f aca="false">IF(E17="","",IF(AND($L$6&lt;&gt;"",E17-$L$6&lt;10),"Ruído",IF(AND($L$4&lt;&gt;"",E17&gt;$L$4),"Acima do limite",IF(F17="","OK",IF(F17&gt;$L$5,"Forte",IF(F17&lt;-$L$5,"Fraco","OK"))))))</f>
        <v>Acima do limite</v>
      </c>
      <c r="K17" s="32" t="str">
        <f aca="false">IF(J17="","",IF(J17="Ruído","Sinal de teste fraco: suba o sinal ou meça com menos ruído",IF(J17="Acima do limite",IF(AND(F17&lt;&gt;"",F17&gt;0),"Eleve ou redirecione a caixa; se não bastar, baixe o master","Sala toda alta: baixe o master"),IF(J17="Forte","Eleve ou redirecione a caixa; afaste o público da frente dela",IF(J17="Fraco","Redirecione a caixa, confira obstáculos ou use caixa de reforço","Manter")))))</f>
        <v>Eleve ou redirecione a caixa; se não bastar, baixe o master</v>
      </c>
      <c r="L17" s="40" t="n">
        <v>89</v>
      </c>
      <c r="M17" s="27" t="n">
        <f aca="false">IF(OR(E17="",L17=""),"",L17-E17)</f>
        <v>-7</v>
      </c>
      <c r="N17" s="39"/>
    </row>
    <row r="18" customFormat="false" ht="21.75" hidden="false" customHeight="true" outlineLevel="0" collapsed="false">
      <c r="B18" s="26" t="n">
        <v>2</v>
      </c>
      <c r="C18" s="39" t="s">
        <v>464</v>
      </c>
      <c r="D18" s="40" t="n">
        <v>2.5</v>
      </c>
      <c r="E18" s="40" t="n">
        <v>98</v>
      </c>
      <c r="F18" s="27" t="n">
        <f aca="false">IF(OR(E18="",$L$8=""),"",E18-$L$8)</f>
        <v>12</v>
      </c>
      <c r="G18" s="28" t="n">
        <f aca="false">IF(OR(D18="",$L$8="",$L$9=""),"",IF(OR(D18&lt;=0,$L$9&lt;=0),"",ROUND($L$8-20*LOG10(D18/$L$9),1)))</f>
        <v>99.6</v>
      </c>
      <c r="H18" s="29" t="n">
        <f aca="false">IF(OR(E18="",G18=""),"",ROUND(E18-G18,1))</f>
        <v>-1.6</v>
      </c>
      <c r="I18" s="30" t="n">
        <f aca="false">IF(E18="","",IF(E18&lt;85,"mais de 8 h",ROUND(480/2^((E18-85)/3),0)))</f>
        <v>24</v>
      </c>
      <c r="J18" s="31" t="str">
        <f aca="false">IF(E18="","",IF(AND($L$6&lt;&gt;"",E18-$L$6&lt;10),"Ruído",IF(AND($L$4&lt;&gt;"",E18&gt;$L$4),"Acima do limite",IF(F18="","OK",IF(F18&gt;$L$5,"Forte",IF(F18&lt;-$L$5,"Fraco","OK"))))))</f>
        <v>Acima do limite</v>
      </c>
      <c r="K18" s="32" t="str">
        <f aca="false">IF(J18="","",IF(J18="Ruído","Sinal de teste fraco: suba o sinal ou meça com menos ruído",IF(J18="Acima do limite",IF(AND(F18&lt;&gt;"",F18&gt;0),"Eleve ou redirecione a caixa; se não bastar, baixe o master","Sala toda alta: baixe o master"),IF(J18="Forte","Eleve ou redirecione a caixa; afaste o público da frente dela",IF(J18="Fraco","Redirecione a caixa, confira obstáculos ou use caixa de reforço","Manter")))))</f>
        <v>Eleve ou redirecione a caixa; se não bastar, baixe o master</v>
      </c>
      <c r="L18" s="40" t="n">
        <v>90</v>
      </c>
      <c r="M18" s="27" t="n">
        <f aca="false">IF(OR(E18="",L18=""),"",L18-E18)</f>
        <v>-8</v>
      </c>
      <c r="N18" s="39"/>
    </row>
    <row r="19" customFormat="false" ht="21.75" hidden="false" customHeight="true" outlineLevel="0" collapsed="false">
      <c r="B19" s="26" t="n">
        <v>3</v>
      </c>
      <c r="C19" s="39" t="s">
        <v>465</v>
      </c>
      <c r="D19" s="40" t="n">
        <v>6</v>
      </c>
      <c r="E19" s="40" t="n">
        <v>91</v>
      </c>
      <c r="F19" s="27" t="n">
        <f aca="false">IF(OR(E19="",$L$8=""),"",E19-$L$8)</f>
        <v>5</v>
      </c>
      <c r="G19" s="28" t="n">
        <f aca="false">IF(OR(D19="",$L$8="",$L$9=""),"",IF(OR(D19&lt;=0,$L$9&lt;=0),"",ROUND($L$8-20*LOG10(D19/$L$9),1)))</f>
        <v>92</v>
      </c>
      <c r="H19" s="29" t="n">
        <f aca="false">IF(OR(E19="",G19=""),"",ROUND(E19-G19,1))</f>
        <v>-1</v>
      </c>
      <c r="I19" s="30" t="n">
        <f aca="false">IF(E19="","",IF(E19&lt;85,"mais de 8 h",ROUND(480/2^((E19-85)/3),0)))</f>
        <v>120</v>
      </c>
      <c r="J19" s="31" t="str">
        <f aca="false">IF(E19="","",IF(AND($L$6&lt;&gt;"",E19-$L$6&lt;10),"Ruído",IF(AND($L$4&lt;&gt;"",E19&gt;$L$4),"Acima do limite",IF(F19="","OK",IF(F19&gt;$L$5,"Forte",IF(F19&lt;-$L$5,"Fraco","OK"))))))</f>
        <v>Acima do limite</v>
      </c>
      <c r="K19" s="32" t="str">
        <f aca="false">IF(J19="","",IF(J19="Ruído","Sinal de teste fraco: suba o sinal ou meça com menos ruído",IF(J19="Acima do limite",IF(AND(F19&lt;&gt;"",F19&gt;0),"Eleve ou redirecione a caixa; se não bastar, baixe o master","Sala toda alta: baixe o master"),IF(J19="Forte","Eleve ou redirecione a caixa; afaste o público da frente dela",IF(J19="Fraco","Redirecione a caixa, confira obstáculos ou use caixa de reforço","Manter")))))</f>
        <v>Eleve ou redirecione a caixa; se não bastar, baixe o master</v>
      </c>
      <c r="L19" s="40" t="n">
        <v>88</v>
      </c>
      <c r="M19" s="27" t="n">
        <f aca="false">IF(OR(E19="",L19=""),"",L19-E19)</f>
        <v>-3</v>
      </c>
      <c r="N19" s="39"/>
    </row>
    <row r="20" customFormat="false" ht="21.75" hidden="false" customHeight="true" outlineLevel="0" collapsed="false">
      <c r="B20" s="26" t="n">
        <v>4</v>
      </c>
      <c r="C20" s="39" t="s">
        <v>466</v>
      </c>
      <c r="D20" s="40" t="n">
        <v>9</v>
      </c>
      <c r="E20" s="40" t="n">
        <v>88</v>
      </c>
      <c r="F20" s="27" t="n">
        <f aca="false">IF(OR(E20="",$L$8=""),"",E20-$L$8)</f>
        <v>2</v>
      </c>
      <c r="G20" s="28" t="n">
        <f aca="false">IF(OR(D20="",$L$8="",$L$9=""),"",IF(OR(D20&lt;=0,$L$9&lt;=0),"",ROUND($L$8-20*LOG10(D20/$L$9),1)))</f>
        <v>88.5</v>
      </c>
      <c r="H20" s="29" t="n">
        <f aca="false">IF(OR(E20="",G20=""),"",ROUND(E20-G20,1))</f>
        <v>-0.5</v>
      </c>
      <c r="I20" s="30" t="n">
        <f aca="false">IF(E20="","",IF(E20&lt;85,"mais de 8 h",ROUND(480/2^((E20-85)/3),0)))</f>
        <v>240</v>
      </c>
      <c r="J20" s="31" t="str">
        <f aca="false">IF(E20="","",IF(AND($L$6&lt;&gt;"",E20-$L$6&lt;10),"Ruído",IF(AND($L$4&lt;&gt;"",E20&gt;$L$4),"Acima do limite",IF(F20="","OK",IF(F20&gt;$L$5,"Forte",IF(F20&lt;-$L$5,"Fraco","OK"))))))</f>
        <v>OK</v>
      </c>
      <c r="K20" s="32" t="str">
        <f aca="false">IF(J20="","",IF(J20="Ruído","Sinal de teste fraco: suba o sinal ou meça com menos ruído",IF(J20="Acima do limite",IF(AND(F20&lt;&gt;"",F20&gt;0),"Eleve ou redirecione a caixa; se não bastar, baixe o master","Sala toda alta: baixe o master"),IF(J20="Forte","Eleve ou redirecione a caixa; afaste o público da frente dela",IF(J20="Fraco","Redirecione a caixa, confira obstáculos ou use caixa de reforço","Manter")))))</f>
        <v>Manter</v>
      </c>
      <c r="L20" s="40" t="n">
        <v>86</v>
      </c>
      <c r="M20" s="27" t="n">
        <f aca="false">IF(OR(E20="",L20=""),"",L20-E20)</f>
        <v>-2</v>
      </c>
      <c r="N20" s="39"/>
    </row>
    <row r="21" customFormat="false" ht="21.75" hidden="false" customHeight="true" outlineLevel="0" collapsed="false">
      <c r="B21" s="26" t="n">
        <v>5</v>
      </c>
      <c r="C21" s="39" t="s">
        <v>467</v>
      </c>
      <c r="D21" s="40" t="n">
        <v>12</v>
      </c>
      <c r="E21" s="40" t="n">
        <v>86</v>
      </c>
      <c r="F21" s="27" t="n">
        <f aca="false">IF(OR(E21="",$L$8=""),"",E21-$L$8)</f>
        <v>0</v>
      </c>
      <c r="G21" s="28" t="n">
        <f aca="false">IF(OR(D21="",$L$8="",$L$9=""),"",IF(OR(D21&lt;=0,$L$9&lt;=0),"",ROUND($L$8-20*LOG10(D21/$L$9),1)))</f>
        <v>86</v>
      </c>
      <c r="H21" s="29" t="n">
        <f aca="false">IF(OR(E21="",G21=""),"",ROUND(E21-G21,1))</f>
        <v>0</v>
      </c>
      <c r="I21" s="30" t="n">
        <f aca="false">IF(E21="","",IF(E21&lt;85,"mais de 8 h",ROUND(480/2^((E21-85)/3),0)))</f>
        <v>381</v>
      </c>
      <c r="J21" s="31" t="str">
        <f aca="false">IF(E21="","",IF(AND($L$6&lt;&gt;"",E21-$L$6&lt;10),"Ruído",IF(AND($L$4&lt;&gt;"",E21&gt;$L$4),"Acima do limite",IF(F21="","OK",IF(F21&gt;$L$5,"Forte",IF(F21&lt;-$L$5,"Fraco","OK"))))))</f>
        <v>OK</v>
      </c>
      <c r="K21" s="32" t="str">
        <f aca="false">IF(J21="","",IF(J21="Ruído","Sinal de teste fraco: suba o sinal ou meça com menos ruído",IF(J21="Acima do limite",IF(AND(F21&lt;&gt;"",F21&gt;0),"Eleve ou redirecione a caixa; se não bastar, baixe o master","Sala toda alta: baixe o master"),IF(J21="Forte","Eleve ou redirecione a caixa; afaste o público da frente dela",IF(J21="Fraco","Redirecione a caixa, confira obstáculos ou use caixa de reforço","Manter")))))</f>
        <v>Manter</v>
      </c>
      <c r="L21" s="40" t="n">
        <v>84</v>
      </c>
      <c r="M21" s="27" t="n">
        <f aca="false">IF(OR(E21="",L21=""),"",L21-E21)</f>
        <v>-2</v>
      </c>
      <c r="N21" s="39"/>
    </row>
    <row r="22" customFormat="false" ht="21.75" hidden="false" customHeight="true" outlineLevel="0" collapsed="false">
      <c r="B22" s="26" t="n">
        <v>6</v>
      </c>
      <c r="C22" s="39" t="s">
        <v>468</v>
      </c>
      <c r="D22" s="40" t="n">
        <v>16</v>
      </c>
      <c r="E22" s="40" t="n">
        <v>84</v>
      </c>
      <c r="F22" s="27" t="n">
        <f aca="false">IF(OR(E22="",$L$8=""),"",E22-$L$8)</f>
        <v>-2</v>
      </c>
      <c r="G22" s="28" t="n">
        <f aca="false">IF(OR(D22="",$L$8="",$L$9=""),"",IF(OR(D22&lt;=0,$L$9&lt;=0),"",ROUND($L$8-20*LOG10(D22/$L$9),1)))</f>
        <v>83.5</v>
      </c>
      <c r="H22" s="29" t="n">
        <f aca="false">IF(OR(E22="",G22=""),"",ROUND(E22-G22,1))</f>
        <v>0.5</v>
      </c>
      <c r="I22" s="30" t="str">
        <f aca="false">IF(E22="","",IF(E22&lt;85,"mais de 8 h",ROUND(480/2^((E22-85)/3),0)))</f>
        <v>mais de 8 h</v>
      </c>
      <c r="J22" s="31" t="str">
        <f aca="false">IF(E22="","",IF(AND($L$6&lt;&gt;"",E22-$L$6&lt;10),"Ruído",IF(AND($L$4&lt;&gt;"",E22&gt;$L$4),"Acima do limite",IF(F22="","OK",IF(F22&gt;$L$5,"Forte",IF(F22&lt;-$L$5,"Fraco","OK"))))))</f>
        <v>OK</v>
      </c>
      <c r="K22" s="32" t="str">
        <f aca="false">IF(J22="","",IF(J22="Ruído","Sinal de teste fraco: suba o sinal ou meça com menos ruído",IF(J22="Acima do limite",IF(AND(F22&lt;&gt;"",F22&gt;0),"Eleve ou redirecione a caixa; se não bastar, baixe o master","Sala toda alta: baixe o master"),IF(J22="Forte","Eleve ou redirecione a caixa; afaste o público da frente dela",IF(J22="Fraco","Redirecione a caixa, confira obstáculos ou use caixa de reforço","Manter")))))</f>
        <v>Manter</v>
      </c>
      <c r="L22" s="40" t="n">
        <v>83</v>
      </c>
      <c r="M22" s="27" t="n">
        <f aca="false">IF(OR(E22="",L22=""),"",L22-E22)</f>
        <v>-1</v>
      </c>
      <c r="N22" s="39"/>
    </row>
    <row r="23" customFormat="false" ht="21.75" hidden="false" customHeight="true" outlineLevel="0" collapsed="false">
      <c r="B23" s="26" t="n">
        <v>7</v>
      </c>
      <c r="C23" s="39" t="s">
        <v>469</v>
      </c>
      <c r="D23" s="40" t="n">
        <v>17</v>
      </c>
      <c r="E23" s="40" t="n">
        <v>83</v>
      </c>
      <c r="F23" s="27" t="n">
        <f aca="false">IF(OR(E23="",$L$8=""),"",E23-$L$8)</f>
        <v>-3</v>
      </c>
      <c r="G23" s="28" t="n">
        <f aca="false">IF(OR(D23="",$L$8="",$L$9=""),"",IF(OR(D23&lt;=0,$L$9&lt;=0),"",ROUND($L$8-20*LOG10(D23/$L$9),1)))</f>
        <v>83</v>
      </c>
      <c r="H23" s="29" t="n">
        <f aca="false">IF(OR(E23="",G23=""),"",ROUND(E23-G23,1))</f>
        <v>0</v>
      </c>
      <c r="I23" s="30" t="str">
        <f aca="false">IF(E23="","",IF(E23&lt;85,"mais de 8 h",ROUND(480/2^((E23-85)/3),0)))</f>
        <v>mais de 8 h</v>
      </c>
      <c r="J23" s="31" t="str">
        <f aca="false">IF(E23="","",IF(AND($L$6&lt;&gt;"",E23-$L$6&lt;10),"Ruído",IF(AND($L$4&lt;&gt;"",E23&gt;$L$4),"Acima do limite",IF(F23="","OK",IF(F23&gt;$L$5,"Forte",IF(F23&lt;-$L$5,"Fraco","OK"))))))</f>
        <v>OK</v>
      </c>
      <c r="K23" s="32" t="str">
        <f aca="false">IF(J23="","",IF(J23="Ruído","Sinal de teste fraco: suba o sinal ou meça com menos ruído",IF(J23="Acima do limite",IF(AND(F23&lt;&gt;"",F23&gt;0),"Eleve ou redirecione a caixa; se não bastar, baixe o master","Sala toda alta: baixe o master"),IF(J23="Forte","Eleve ou redirecione a caixa; afaste o público da frente dela",IF(J23="Fraco","Redirecione a caixa, confira obstáculos ou use caixa de reforço","Manter")))))</f>
        <v>Manter</v>
      </c>
      <c r="L23" s="40" t="n">
        <v>82</v>
      </c>
      <c r="M23" s="27" t="n">
        <f aca="false">IF(OR(E23="",L23=""),"",L23-E23)</f>
        <v>-1</v>
      </c>
      <c r="N23" s="39"/>
    </row>
    <row r="24" customFormat="false" ht="21.75" hidden="false" customHeight="true" outlineLevel="0" collapsed="false">
      <c r="B24" s="26" t="n">
        <v>8</v>
      </c>
      <c r="C24" s="39"/>
      <c r="D24" s="40"/>
      <c r="E24" s="40"/>
      <c r="F24" s="27" t="str">
        <f aca="false">IF(OR(E24="",$L$8=""),"",E24-$L$8)</f>
        <v/>
      </c>
      <c r="G24" s="28" t="str">
        <f aca="false">IF(OR(D24="",$L$8="",$L$9=""),"",IF(OR(D24&lt;=0,$L$9&lt;=0),"",ROUND($L$8-20*LOG10(D24/$L$9),1)))</f>
        <v/>
      </c>
      <c r="H24" s="29" t="str">
        <f aca="false">IF(OR(E24="",G24=""),"",ROUND(E24-G24,1))</f>
        <v/>
      </c>
      <c r="I24" s="30" t="str">
        <f aca="false">IF(E24="","",IF(E24&lt;85,"mais de 8 h",ROUND(480/2^((E24-85)/3),0)))</f>
        <v/>
      </c>
      <c r="J24" s="31" t="str">
        <f aca="false">IF(E24="","",IF(AND($L$6&lt;&gt;"",E24-$L$6&lt;10),"Ruído",IF(AND($L$4&lt;&gt;"",E24&gt;$L$4),"Acima do limite",IF(F24="","OK",IF(F24&gt;$L$5,"Forte",IF(F24&lt;-$L$5,"Fraco","OK"))))))</f>
        <v/>
      </c>
      <c r="K24" s="32" t="str">
        <f aca="false">IF(J24="","",IF(J24="Ruído","Sinal de teste fraco: suba o sinal ou meça com menos ruído",IF(J24="Acima do limite",IF(AND(F24&lt;&gt;"",F24&gt;0),"Eleve ou redirecione a caixa; se não bastar, baixe o master","Sala toda alta: baixe o master"),IF(J24="Forte","Eleve ou redirecione a caixa; afaste o público da frente dela",IF(J24="Fraco","Redirecione a caixa, confira obstáculos ou use caixa de reforço","Manter")))))</f>
        <v/>
      </c>
      <c r="L24" s="40"/>
      <c r="M24" s="27" t="str">
        <f aca="false">IF(OR(E24="",L24=""),"",L24-E24)</f>
        <v/>
      </c>
      <c r="N24" s="39"/>
    </row>
    <row r="25" customFormat="false" ht="21.75" hidden="false" customHeight="true" outlineLevel="0" collapsed="false">
      <c r="B25" s="26" t="n">
        <v>9</v>
      </c>
      <c r="C25" s="39"/>
      <c r="D25" s="40"/>
      <c r="E25" s="40"/>
      <c r="F25" s="27" t="str">
        <f aca="false">IF(OR(E25="",$L$8=""),"",E25-$L$8)</f>
        <v/>
      </c>
      <c r="G25" s="28" t="str">
        <f aca="false">IF(OR(D25="",$L$8="",$L$9=""),"",IF(OR(D25&lt;=0,$L$9&lt;=0),"",ROUND($L$8-20*LOG10(D25/$L$9),1)))</f>
        <v/>
      </c>
      <c r="H25" s="29" t="str">
        <f aca="false">IF(OR(E25="",G25=""),"",ROUND(E25-G25,1))</f>
        <v/>
      </c>
      <c r="I25" s="30" t="str">
        <f aca="false">IF(E25="","",IF(E25&lt;85,"mais de 8 h",ROUND(480/2^((E25-85)/3),0)))</f>
        <v/>
      </c>
      <c r="J25" s="31" t="str">
        <f aca="false">IF(E25="","",IF(AND($L$6&lt;&gt;"",E25-$L$6&lt;10),"Ruído",IF(AND($L$4&lt;&gt;"",E25&gt;$L$4),"Acima do limite",IF(F25="","OK",IF(F25&gt;$L$5,"Forte",IF(F25&lt;-$L$5,"Fraco","OK"))))))</f>
        <v/>
      </c>
      <c r="K25" s="32" t="str">
        <f aca="false">IF(J25="","",IF(J25="Ruído","Sinal de teste fraco: suba o sinal ou meça com menos ruído",IF(J25="Acima do limite",IF(AND(F25&lt;&gt;"",F25&gt;0),"Eleve ou redirecione a caixa; se não bastar, baixe o master","Sala toda alta: baixe o master"),IF(J25="Forte","Eleve ou redirecione a caixa; afaste o público da frente dela",IF(J25="Fraco","Redirecione a caixa, confira obstáculos ou use caixa de reforço","Manter")))))</f>
        <v/>
      </c>
      <c r="L25" s="40"/>
      <c r="M25" s="27" t="str">
        <f aca="false">IF(OR(E25="",L25=""),"",L25-E25)</f>
        <v/>
      </c>
      <c r="N25" s="39"/>
    </row>
    <row r="26" customFormat="false" ht="21.75" hidden="false" customHeight="true" outlineLevel="0" collapsed="false">
      <c r="B26" s="26" t="n">
        <v>10</v>
      </c>
      <c r="C26" s="39"/>
      <c r="D26" s="40"/>
      <c r="E26" s="40"/>
      <c r="F26" s="27" t="str">
        <f aca="false">IF(OR(E26="",$L$8=""),"",E26-$L$8)</f>
        <v/>
      </c>
      <c r="G26" s="28" t="str">
        <f aca="false">IF(OR(D26="",$L$8="",$L$9=""),"",IF(OR(D26&lt;=0,$L$9&lt;=0),"",ROUND($L$8-20*LOG10(D26/$L$9),1)))</f>
        <v/>
      </c>
      <c r="H26" s="29" t="str">
        <f aca="false">IF(OR(E26="",G26=""),"",ROUND(E26-G26,1))</f>
        <v/>
      </c>
      <c r="I26" s="30" t="str">
        <f aca="false">IF(E26="","",IF(E26&lt;85,"mais de 8 h",ROUND(480/2^((E26-85)/3),0)))</f>
        <v/>
      </c>
      <c r="J26" s="31" t="str">
        <f aca="false">IF(E26="","",IF(AND($L$6&lt;&gt;"",E26-$L$6&lt;10),"Ruído",IF(AND($L$4&lt;&gt;"",E26&gt;$L$4),"Acima do limite",IF(F26="","OK",IF(F26&gt;$L$5,"Forte",IF(F26&lt;-$L$5,"Fraco","OK"))))))</f>
        <v/>
      </c>
      <c r="K26" s="32" t="str">
        <f aca="false">IF(J26="","",IF(J26="Ruído","Sinal de teste fraco: suba o sinal ou meça com menos ruído",IF(J26="Acima do limite",IF(AND(F26&lt;&gt;"",F26&gt;0),"Eleve ou redirecione a caixa; se não bastar, baixe o master","Sala toda alta: baixe o master"),IF(J26="Forte","Eleve ou redirecione a caixa; afaste o público da frente dela",IF(J26="Fraco","Redirecione a caixa, confira obstáculos ou use caixa de reforço","Manter")))))</f>
        <v/>
      </c>
      <c r="L26" s="40"/>
      <c r="M26" s="27" t="str">
        <f aca="false">IF(OR(E26="",L26=""),"",L26-E26)</f>
        <v/>
      </c>
      <c r="N26" s="39"/>
    </row>
    <row r="27" customFormat="false" ht="21.75" hidden="false" customHeight="true" outlineLevel="0" collapsed="false">
      <c r="B27" s="26" t="n">
        <v>11</v>
      </c>
      <c r="C27" s="39"/>
      <c r="D27" s="40"/>
      <c r="E27" s="40"/>
      <c r="F27" s="27" t="str">
        <f aca="false">IF(OR(E27="",$L$8=""),"",E27-$L$8)</f>
        <v/>
      </c>
      <c r="G27" s="28" t="str">
        <f aca="false">IF(OR(D27="",$L$8="",$L$9=""),"",IF(OR(D27&lt;=0,$L$9&lt;=0),"",ROUND($L$8-20*LOG10(D27/$L$9),1)))</f>
        <v/>
      </c>
      <c r="H27" s="29" t="str">
        <f aca="false">IF(OR(E27="",G27=""),"",ROUND(E27-G27,1))</f>
        <v/>
      </c>
      <c r="I27" s="30" t="str">
        <f aca="false">IF(E27="","",IF(E27&lt;85,"mais de 8 h",ROUND(480/2^((E27-85)/3),0)))</f>
        <v/>
      </c>
      <c r="J27" s="31" t="str">
        <f aca="false">IF(E27="","",IF(AND($L$6&lt;&gt;"",E27-$L$6&lt;10),"Ruído",IF(AND($L$4&lt;&gt;"",E27&gt;$L$4),"Acima do limite",IF(F27="","OK",IF(F27&gt;$L$5,"Forte",IF(F27&lt;-$L$5,"Fraco","OK"))))))</f>
        <v/>
      </c>
      <c r="K27" s="32" t="str">
        <f aca="false">IF(J27="","",IF(J27="Ruído","Sinal de teste fraco: suba o sinal ou meça com menos ruído",IF(J27="Acima do limite",IF(AND(F27&lt;&gt;"",F27&gt;0),"Eleve ou redirecione a caixa; se não bastar, baixe o master","Sala toda alta: baixe o master"),IF(J27="Forte","Eleve ou redirecione a caixa; afaste o público da frente dela",IF(J27="Fraco","Redirecione a caixa, confira obstáculos ou use caixa de reforço","Manter")))))</f>
        <v/>
      </c>
      <c r="L27" s="40"/>
      <c r="M27" s="27" t="str">
        <f aca="false">IF(OR(E27="",L27=""),"",L27-E27)</f>
        <v/>
      </c>
      <c r="N27" s="39"/>
    </row>
    <row r="28" customFormat="false" ht="21.75" hidden="false" customHeight="true" outlineLevel="0" collapsed="false">
      <c r="B28" s="26" t="n">
        <v>12</v>
      </c>
      <c r="C28" s="39"/>
      <c r="D28" s="40"/>
      <c r="E28" s="40"/>
      <c r="F28" s="27" t="str">
        <f aca="false">IF(OR(E28="",$L$8=""),"",E28-$L$8)</f>
        <v/>
      </c>
      <c r="G28" s="28" t="str">
        <f aca="false">IF(OR(D28="",$L$8="",$L$9=""),"",IF(OR(D28&lt;=0,$L$9&lt;=0),"",ROUND($L$8-20*LOG10(D28/$L$9),1)))</f>
        <v/>
      </c>
      <c r="H28" s="29" t="str">
        <f aca="false">IF(OR(E28="",G28=""),"",ROUND(E28-G28,1))</f>
        <v/>
      </c>
      <c r="I28" s="30" t="str">
        <f aca="false">IF(E28="","",IF(E28&lt;85,"mais de 8 h",ROUND(480/2^((E28-85)/3),0)))</f>
        <v/>
      </c>
      <c r="J28" s="31" t="str">
        <f aca="false">IF(E28="","",IF(AND($L$6&lt;&gt;"",E28-$L$6&lt;10),"Ruído",IF(AND($L$4&lt;&gt;"",E28&gt;$L$4),"Acima do limite",IF(F28="","OK",IF(F28&gt;$L$5,"Forte",IF(F28&lt;-$L$5,"Fraco","OK"))))))</f>
        <v/>
      </c>
      <c r="K28" s="32" t="str">
        <f aca="false">IF(J28="","",IF(J28="Ruído","Sinal de teste fraco: suba o sinal ou meça com menos ruído",IF(J28="Acima do limite",IF(AND(F28&lt;&gt;"",F28&gt;0),"Eleve ou redirecione a caixa; se não bastar, baixe o master","Sala toda alta: baixe o master"),IF(J28="Forte","Eleve ou redirecione a caixa; afaste o público da frente dela",IF(J28="Fraco","Redirecione a caixa, confira obstáculos ou use caixa de reforço","Manter")))))</f>
        <v/>
      </c>
      <c r="L28" s="40"/>
      <c r="M28" s="27" t="str">
        <f aca="false">IF(OR(E28="",L28=""),"",L28-E28)</f>
        <v/>
      </c>
      <c r="N28" s="39"/>
    </row>
    <row r="29" customFormat="false" ht="21.75" hidden="false" customHeight="true" outlineLevel="0" collapsed="false">
      <c r="B29" s="26" t="n">
        <v>13</v>
      </c>
      <c r="C29" s="39"/>
      <c r="D29" s="40"/>
      <c r="E29" s="40"/>
      <c r="F29" s="27" t="str">
        <f aca="false">IF(OR(E29="",$L$8=""),"",E29-$L$8)</f>
        <v/>
      </c>
      <c r="G29" s="28" t="str">
        <f aca="false">IF(OR(D29="",$L$8="",$L$9=""),"",IF(OR(D29&lt;=0,$L$9&lt;=0),"",ROUND($L$8-20*LOG10(D29/$L$9),1)))</f>
        <v/>
      </c>
      <c r="H29" s="29" t="str">
        <f aca="false">IF(OR(E29="",G29=""),"",ROUND(E29-G29,1))</f>
        <v/>
      </c>
      <c r="I29" s="30" t="str">
        <f aca="false">IF(E29="","",IF(E29&lt;85,"mais de 8 h",ROUND(480/2^((E29-85)/3),0)))</f>
        <v/>
      </c>
      <c r="J29" s="31" t="str">
        <f aca="false">IF(E29="","",IF(AND($L$6&lt;&gt;"",E29-$L$6&lt;10),"Ruído",IF(AND($L$4&lt;&gt;"",E29&gt;$L$4),"Acima do limite",IF(F29="","OK",IF(F29&gt;$L$5,"Forte",IF(F29&lt;-$L$5,"Fraco","OK"))))))</f>
        <v/>
      </c>
      <c r="K29" s="32" t="str">
        <f aca="false">IF(J29="","",IF(J29="Ruído","Sinal de teste fraco: suba o sinal ou meça com menos ruído",IF(J29="Acima do limite",IF(AND(F29&lt;&gt;"",F29&gt;0),"Eleve ou redirecione a caixa; se não bastar, baixe o master","Sala toda alta: baixe o master"),IF(J29="Forte","Eleve ou redirecione a caixa; afaste o público da frente dela",IF(J29="Fraco","Redirecione a caixa, confira obstáculos ou use caixa de reforço","Manter")))))</f>
        <v/>
      </c>
      <c r="L29" s="40"/>
      <c r="M29" s="27" t="str">
        <f aca="false">IF(OR(E29="",L29=""),"",L29-E29)</f>
        <v/>
      </c>
      <c r="N29" s="39"/>
    </row>
    <row r="30" customFormat="false" ht="21.75" hidden="false" customHeight="true" outlineLevel="0" collapsed="false">
      <c r="B30" s="26" t="n">
        <v>14</v>
      </c>
      <c r="C30" s="39"/>
      <c r="D30" s="40"/>
      <c r="E30" s="40"/>
      <c r="F30" s="27" t="str">
        <f aca="false">IF(OR(E30="",$L$8=""),"",E30-$L$8)</f>
        <v/>
      </c>
      <c r="G30" s="28" t="str">
        <f aca="false">IF(OR(D30="",$L$8="",$L$9=""),"",IF(OR(D30&lt;=0,$L$9&lt;=0),"",ROUND($L$8-20*LOG10(D30/$L$9),1)))</f>
        <v/>
      </c>
      <c r="H30" s="29" t="str">
        <f aca="false">IF(OR(E30="",G30=""),"",ROUND(E30-G30,1))</f>
        <v/>
      </c>
      <c r="I30" s="30" t="str">
        <f aca="false">IF(E30="","",IF(E30&lt;85,"mais de 8 h",ROUND(480/2^((E30-85)/3),0)))</f>
        <v/>
      </c>
      <c r="J30" s="31" t="str">
        <f aca="false">IF(E30="","",IF(AND($L$6&lt;&gt;"",E30-$L$6&lt;10),"Ruído",IF(AND($L$4&lt;&gt;"",E30&gt;$L$4),"Acima do limite",IF(F30="","OK",IF(F30&gt;$L$5,"Forte",IF(F30&lt;-$L$5,"Fraco","OK"))))))</f>
        <v/>
      </c>
      <c r="K30" s="32" t="str">
        <f aca="false">IF(J30="","",IF(J30="Ruído","Sinal de teste fraco: suba o sinal ou meça com menos ruído",IF(J30="Acima do limite",IF(AND(F30&lt;&gt;"",F30&gt;0),"Eleve ou redirecione a caixa; se não bastar, baixe o master","Sala toda alta: baixe o master"),IF(J30="Forte","Eleve ou redirecione a caixa; afaste o público da frente dela",IF(J30="Fraco","Redirecione a caixa, confira obstáculos ou use caixa de reforço","Manter")))))</f>
        <v/>
      </c>
      <c r="L30" s="40"/>
      <c r="M30" s="27" t="str">
        <f aca="false">IF(OR(E30="",L30=""),"",L30-E30)</f>
        <v/>
      </c>
      <c r="N30" s="39"/>
    </row>
    <row r="31" customFormat="false" ht="21.75" hidden="false" customHeight="true" outlineLevel="0" collapsed="false">
      <c r="B31" s="26" t="n">
        <v>15</v>
      </c>
      <c r="C31" s="39"/>
      <c r="D31" s="40"/>
      <c r="E31" s="40"/>
      <c r="F31" s="27" t="str">
        <f aca="false">IF(OR(E31="",$L$8=""),"",E31-$L$8)</f>
        <v/>
      </c>
      <c r="G31" s="28" t="str">
        <f aca="false">IF(OR(D31="",$L$8="",$L$9=""),"",IF(OR(D31&lt;=0,$L$9&lt;=0),"",ROUND($L$8-20*LOG10(D31/$L$9),1)))</f>
        <v/>
      </c>
      <c r="H31" s="29" t="str">
        <f aca="false">IF(OR(E31="",G31=""),"",ROUND(E31-G31,1))</f>
        <v/>
      </c>
      <c r="I31" s="30" t="str">
        <f aca="false">IF(E31="","",IF(E31&lt;85,"mais de 8 h",ROUND(480/2^((E31-85)/3),0)))</f>
        <v/>
      </c>
      <c r="J31" s="31" t="str">
        <f aca="false">IF(E31="","",IF(AND($L$6&lt;&gt;"",E31-$L$6&lt;10),"Ruído",IF(AND($L$4&lt;&gt;"",E31&gt;$L$4),"Acima do limite",IF(F31="","OK",IF(F31&gt;$L$5,"Forte",IF(F31&lt;-$L$5,"Fraco","OK"))))))</f>
        <v/>
      </c>
      <c r="K31" s="32" t="str">
        <f aca="false">IF(J31="","",IF(J31="Ruído","Sinal de teste fraco: suba o sinal ou meça com menos ruído",IF(J31="Acima do limite",IF(AND(F31&lt;&gt;"",F31&gt;0),"Eleve ou redirecione a caixa; se não bastar, baixe o master","Sala toda alta: baixe o master"),IF(J31="Forte","Eleve ou redirecione a caixa; afaste o público da frente dela",IF(J31="Fraco","Redirecione a caixa, confira obstáculos ou use caixa de reforço","Manter")))))</f>
        <v/>
      </c>
      <c r="L31" s="40"/>
      <c r="M31" s="27" t="str">
        <f aca="false">IF(OR(E31="",L31=""),"",L31-E31)</f>
        <v/>
      </c>
      <c r="N31" s="39"/>
    </row>
    <row r="32" customFormat="false" ht="21.75" hidden="false" customHeight="true" outlineLevel="0" collapsed="false">
      <c r="B32" s="26" t="n">
        <v>16</v>
      </c>
      <c r="C32" s="39"/>
      <c r="D32" s="40"/>
      <c r="E32" s="40"/>
      <c r="F32" s="27" t="str">
        <f aca="false">IF(OR(E32="",$L$8=""),"",E32-$L$8)</f>
        <v/>
      </c>
      <c r="G32" s="28" t="str">
        <f aca="false">IF(OR(D32="",$L$8="",$L$9=""),"",IF(OR(D32&lt;=0,$L$9&lt;=0),"",ROUND($L$8-20*LOG10(D32/$L$9),1)))</f>
        <v/>
      </c>
      <c r="H32" s="29" t="str">
        <f aca="false">IF(OR(E32="",G32=""),"",ROUND(E32-G32,1))</f>
        <v/>
      </c>
      <c r="I32" s="30" t="str">
        <f aca="false">IF(E32="","",IF(E32&lt;85,"mais de 8 h",ROUND(480/2^((E32-85)/3),0)))</f>
        <v/>
      </c>
      <c r="J32" s="31" t="str">
        <f aca="false">IF(E32="","",IF(AND($L$6&lt;&gt;"",E32-$L$6&lt;10),"Ruído",IF(AND($L$4&lt;&gt;"",E32&gt;$L$4),"Acima do limite",IF(F32="","OK",IF(F32&gt;$L$5,"Forte",IF(F32&lt;-$L$5,"Fraco","OK"))))))</f>
        <v/>
      </c>
      <c r="K32" s="32" t="str">
        <f aca="false">IF(J32="","",IF(J32="Ruído","Sinal de teste fraco: suba o sinal ou meça com menos ruído",IF(J32="Acima do limite",IF(AND(F32&lt;&gt;"",F32&gt;0),"Eleve ou redirecione a caixa; se não bastar, baixe o master","Sala toda alta: baixe o master"),IF(J32="Forte","Eleve ou redirecione a caixa; afaste o público da frente dela",IF(J32="Fraco","Redirecione a caixa, confira obstáculos ou use caixa de reforço","Manter")))))</f>
        <v/>
      </c>
      <c r="L32" s="40"/>
      <c r="M32" s="27" t="str">
        <f aca="false">IF(OR(E32="",L32=""),"",L32-E32)</f>
        <v/>
      </c>
      <c r="N32" s="39"/>
    </row>
    <row r="34" customFormat="false" ht="21.75" hidden="false" customHeight="true" outlineLevel="0" collapsed="false">
      <c r="B34" s="12" t="s">
        <v>172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customFormat="false" ht="19.5" hidden="false" customHeight="true" outlineLevel="0" collapsed="false">
      <c r="B35" s="33" t="s">
        <v>173</v>
      </c>
      <c r="C35" s="33"/>
      <c r="D35" s="33"/>
      <c r="E35" s="33"/>
      <c r="F35" s="33"/>
      <c r="G35" s="33"/>
      <c r="H35" s="33"/>
      <c r="I35" s="8" t="n">
        <f aca="false">COUNT(E17:E32)</f>
        <v>7</v>
      </c>
    </row>
    <row r="36" customFormat="false" ht="19.5" hidden="false" customHeight="true" outlineLevel="0" collapsed="false">
      <c r="B36" s="33" t="s">
        <v>174</v>
      </c>
      <c r="C36" s="33"/>
      <c r="D36" s="33"/>
      <c r="E36" s="33"/>
      <c r="F36" s="33"/>
      <c r="G36" s="33"/>
      <c r="H36" s="33"/>
      <c r="I36" s="8" t="n">
        <f aca="false">IF(COUNT(E17:E32)=0,"",MAX(E17:E32))</f>
        <v>98</v>
      </c>
    </row>
    <row r="37" customFormat="false" ht="19.5" hidden="false" customHeight="true" outlineLevel="0" collapsed="false">
      <c r="B37" s="33" t="s">
        <v>175</v>
      </c>
      <c r="C37" s="33"/>
      <c r="D37" s="33"/>
      <c r="E37" s="33"/>
      <c r="F37" s="33"/>
      <c r="G37" s="33"/>
      <c r="H37" s="33"/>
      <c r="I37" s="8" t="n">
        <f aca="false">IF(COUNT(E17:E32)=0,"",MIN(E17:E32))</f>
        <v>83</v>
      </c>
    </row>
    <row r="38" customFormat="false" ht="19.5" hidden="false" customHeight="true" outlineLevel="0" collapsed="false">
      <c r="B38" s="33" t="s">
        <v>176</v>
      </c>
      <c r="C38" s="33"/>
      <c r="D38" s="33"/>
      <c r="E38" s="33"/>
      <c r="F38" s="33"/>
      <c r="G38" s="33"/>
      <c r="H38" s="33"/>
      <c r="I38" s="8" t="n">
        <f aca="false">IF(COUNT(E17:E32)=0,"",MAX(E17:E32)-MIN(E17:E32))</f>
        <v>15</v>
      </c>
    </row>
    <row r="39" customFormat="false" ht="19.5" hidden="false" customHeight="true" outlineLevel="0" collapsed="false">
      <c r="B39" s="33" t="s">
        <v>177</v>
      </c>
      <c r="C39" s="33"/>
      <c r="D39" s="33"/>
      <c r="E39" s="33"/>
      <c r="F39" s="33"/>
      <c r="G39" s="33"/>
      <c r="H39" s="33"/>
      <c r="I39" s="8" t="n">
        <f aca="false">COUNTIF(J17:J32,"Acima do limite")</f>
        <v>3</v>
      </c>
    </row>
    <row r="40" customFormat="false" ht="19.5" hidden="false" customHeight="true" outlineLevel="0" collapsed="false">
      <c r="B40" s="33" t="s">
        <v>178</v>
      </c>
      <c r="C40" s="33"/>
      <c r="D40" s="33"/>
      <c r="E40" s="33"/>
      <c r="F40" s="33"/>
      <c r="G40" s="33"/>
      <c r="H40" s="33"/>
      <c r="I40" s="8" t="n">
        <f aca="false">COUNTIF(J17:J32,"Forte")+COUNTIF(J17:J32,"Fraco")</f>
        <v>0</v>
      </c>
    </row>
    <row r="41" customFormat="false" ht="19.5" hidden="false" customHeight="true" outlineLevel="0" collapsed="false">
      <c r="B41" s="33" t="s">
        <v>179</v>
      </c>
      <c r="C41" s="33"/>
      <c r="D41" s="33"/>
      <c r="E41" s="33"/>
      <c r="F41" s="33"/>
      <c r="G41" s="33"/>
      <c r="H41" s="33"/>
      <c r="I41" s="8" t="n">
        <f aca="false">COUNTIF(J17:J32,"Ruído")</f>
        <v>0</v>
      </c>
    </row>
    <row r="42" customFormat="false" ht="19.5" hidden="false" customHeight="true" outlineLevel="0" collapsed="false">
      <c r="B42" s="33" t="s">
        <v>180</v>
      </c>
      <c r="C42" s="33"/>
      <c r="D42" s="33"/>
      <c r="E42" s="33"/>
      <c r="F42" s="33"/>
      <c r="G42" s="33"/>
      <c r="H42" s="33"/>
      <c r="I42" s="8" t="n">
        <f aca="false">IF(OR($L$4="",$L$8="",COUNT(E17:E32)=0),"",$L$4-(MAX(E17:E32)-$L$8))</f>
        <v>78</v>
      </c>
    </row>
    <row r="43" customFormat="false" ht="19.5" hidden="false" customHeight="true" outlineLevel="0" collapsed="false">
      <c r="B43" s="33" t="s">
        <v>181</v>
      </c>
      <c r="C43" s="33"/>
      <c r="D43" s="33"/>
      <c r="E43" s="33"/>
      <c r="F43" s="33"/>
      <c r="G43" s="33"/>
      <c r="H43" s="33"/>
      <c r="I43" s="8" t="n">
        <f aca="false">IF(COUNT(L17:L32)=0,"",MAX(L17:L32))</f>
        <v>90</v>
      </c>
    </row>
    <row r="44" customFormat="false" ht="19.5" hidden="false" customHeight="true" outlineLevel="0" collapsed="false">
      <c r="B44" s="33" t="s">
        <v>182</v>
      </c>
      <c r="C44" s="33"/>
      <c r="D44" s="33"/>
      <c r="E44" s="33"/>
      <c r="F44" s="33"/>
      <c r="G44" s="33"/>
      <c r="H44" s="33"/>
      <c r="I44" s="8" t="n">
        <f aca="false">IF(COUNT(L17:L32)=0,"",MIN(L17:L32))</f>
        <v>82</v>
      </c>
    </row>
    <row r="45" customFormat="false" ht="19.5" hidden="false" customHeight="true" outlineLevel="0" collapsed="false">
      <c r="B45" s="33" t="s">
        <v>183</v>
      </c>
      <c r="C45" s="33"/>
      <c r="D45" s="33"/>
      <c r="E45" s="33"/>
      <c r="F45" s="33"/>
      <c r="G45" s="33"/>
      <c r="H45" s="33"/>
      <c r="I45" s="8" t="n">
        <f aca="false">IF(COUNT(L17:L32)=0,"",MAX(L17:L32)-MIN(L17:L32))</f>
        <v>8</v>
      </c>
    </row>
    <row r="46" customFormat="false" ht="21.75" hidden="false" customHeight="true" outlineLevel="0" collapsed="false">
      <c r="B46" s="33" t="s">
        <v>184</v>
      </c>
      <c r="C46" s="33"/>
      <c r="D46" s="33"/>
      <c r="E46" s="33"/>
      <c r="F46" s="33"/>
      <c r="G46" s="33"/>
      <c r="H46" s="33"/>
      <c r="I46" s="16" t="str">
        <f aca="false">IF(I35=0,"Meça os pontos",IF(I41&gt;0,"Há ponto com sinal de teste fraco demais: meça de novo",IF(I39&gt;0,"Há ponto acima do limite: corrija a posição das caixas antes de baixar o volume",IF(I40&gt;0,"Há pontos fora da tolerância: reveja a cobertura das caixas","OK"))))</f>
        <v>Há ponto acima do limite: corrija a posição das caixas antes de baixar o volume</v>
      </c>
      <c r="J46" s="16"/>
      <c r="K46" s="16"/>
      <c r="L46" s="16"/>
      <c r="M46" s="16"/>
      <c r="N46" s="16"/>
    </row>
    <row r="47" customFormat="false" ht="31.5" hidden="false" customHeight="true" outlineLevel="0" collapsed="false">
      <c r="B47" s="11" t="s">
        <v>185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9" customFormat="false" ht="21.75" hidden="false" customHeight="true" outlineLevel="0" collapsed="false">
      <c r="B49" s="12" t="s">
        <v>470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customFormat="false" ht="21.75" hidden="false" customHeight="true" outlineLevel="0" collapsed="false">
      <c r="B50" s="8" t="s">
        <v>417</v>
      </c>
      <c r="C50" s="8"/>
      <c r="D50" s="8" t="s">
        <v>471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 customFormat="false" ht="21.75" hidden="false" customHeight="true" outlineLevel="0" collapsed="false">
      <c r="B51" s="4" t="s">
        <v>472</v>
      </c>
      <c r="C51" s="4"/>
      <c r="D51" s="7" t="s">
        <v>473</v>
      </c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21.75" hidden="false" customHeight="true" outlineLevel="0" collapsed="false">
      <c r="B52" s="4" t="s">
        <v>474</v>
      </c>
      <c r="C52" s="4"/>
      <c r="D52" s="7" t="s">
        <v>475</v>
      </c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21.75" hidden="false" customHeight="true" outlineLevel="0" collapsed="false">
      <c r="B53" s="4" t="s">
        <v>65</v>
      </c>
      <c r="C53" s="4"/>
      <c r="D53" s="7" t="s">
        <v>476</v>
      </c>
      <c r="E53" s="7"/>
      <c r="F53" s="7"/>
      <c r="G53" s="7"/>
      <c r="H53" s="7"/>
      <c r="I53" s="7"/>
      <c r="J53" s="7"/>
      <c r="K53" s="7"/>
      <c r="L53" s="7"/>
      <c r="M53" s="7"/>
      <c r="N53" s="7"/>
    </row>
  </sheetData>
  <mergeCells count="57">
    <mergeCell ref="B1:N1"/>
    <mergeCell ref="B2:N2"/>
    <mergeCell ref="B4:C4"/>
    <mergeCell ref="D4:H4"/>
    <mergeCell ref="I4:K4"/>
    <mergeCell ref="M4:N4"/>
    <mergeCell ref="B5:C5"/>
    <mergeCell ref="D5:H5"/>
    <mergeCell ref="I5:K5"/>
    <mergeCell ref="M5:N5"/>
    <mergeCell ref="B6:C6"/>
    <mergeCell ref="D6:H6"/>
    <mergeCell ref="I6:K6"/>
    <mergeCell ref="M6:N6"/>
    <mergeCell ref="B7:C7"/>
    <mergeCell ref="D7:H7"/>
    <mergeCell ref="I7:K7"/>
    <mergeCell ref="M7:N7"/>
    <mergeCell ref="B8:C8"/>
    <mergeCell ref="D8:H8"/>
    <mergeCell ref="I8:K8"/>
    <mergeCell ref="M8:N8"/>
    <mergeCell ref="B9:C9"/>
    <mergeCell ref="D9:H9"/>
    <mergeCell ref="I9:K9"/>
    <mergeCell ref="M9:N9"/>
    <mergeCell ref="B10:C10"/>
    <mergeCell ref="D10:H10"/>
    <mergeCell ref="I10:N11"/>
    <mergeCell ref="B11:C11"/>
    <mergeCell ref="D11:H11"/>
    <mergeCell ref="B13:N13"/>
    <mergeCell ref="B16:N16"/>
    <mergeCell ref="B34:N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I46:N46"/>
    <mergeCell ref="B47:N47"/>
    <mergeCell ref="B49:N49"/>
    <mergeCell ref="B50:C50"/>
    <mergeCell ref="D50:N50"/>
    <mergeCell ref="B51:C51"/>
    <mergeCell ref="D51:N51"/>
    <mergeCell ref="B52:C52"/>
    <mergeCell ref="D52:N52"/>
    <mergeCell ref="B53:C53"/>
    <mergeCell ref="D53:N53"/>
  </mergeCells>
  <conditionalFormatting sqref="J17:J3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"Forte"</formula>
    </cfRule>
    <cfRule type="cellIs" priority="4" operator="equal" aboveAverage="0" equalAverage="0" bottom="0" percent="0" rank="0" text="" dxfId="1">
      <formula>"Fraco"</formula>
    </cfRule>
    <cfRule type="cellIs" priority="5" operator="equal" aboveAverage="0" equalAverage="0" bottom="0" percent="0" rank="0" text="" dxfId="1">
      <formula>"Ruído"</formula>
    </cfRule>
    <cfRule type="cellIs" priority="6" operator="equal" aboveAverage="0" equalAverage="0" bottom="0" percent="0" rank="0" text="" dxfId="2">
      <formula>"Acima do limite"</formula>
    </cfRule>
  </conditionalFormatting>
  <conditionalFormatting sqref="I46:N46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A para os limites de exposição; C para ver os graves." promptTitle="Opções" showDropDown="false" showErrorMessage="true" showInputMessage="true" sqref="D9" type="list">
      <formula1>"A,C,Z"</formula1>
      <formula2>0</formula2>
    </dataValidation>
    <dataValidation allowBlank="true" error="Escolha uma das opções da lista." errorStyle="stop" errorTitle="Valor inválido" operator="between" prompt="Lenta (slow), rápida (fast) ou média do período (Leq)." promptTitle="Opções" showDropDown="false" showErrorMessage="true" showInputMessage="true" sqref="D10" type="list">
      <formula1>"Lenta,Rápida,Leq"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7:E32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L17:L3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2026-10-01T12:58:51Z</dcterms:created>
  <dc:creator>Estudos: Técnico em áudio e vídeo</dc:creator>
  <dc:description/>
  <dc:language>pt-BR</dc:language>
  <cp:lastModifiedBy/>
  <dcterms:modified xsi:type="dcterms:W3CDTF">2026-10-01T12:58:51Z</dcterms:modified>
  <cp:revision>0</cp:revision>
  <dc:subject/>
  <dc:title>Som, frequência e decibel — calculadora e medição da sala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