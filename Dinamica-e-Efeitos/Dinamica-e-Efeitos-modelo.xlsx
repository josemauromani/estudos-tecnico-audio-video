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Dinâmica por canal" sheetId="2" state="visible" r:id="rId4"/>
    <sheet name="Efeitos" sheetId="3" state="visible" r:id="rId5"/>
    <sheet name="Referência" sheetId="4" state="visible" r:id="rId6"/>
    <sheet name="Checklist" sheetId="5" state="visible" r:id="rId7"/>
    <sheet name="Exemplo - Dinâmica" sheetId="6" state="visible" r:id="rId8"/>
    <sheet name="Exemplo - Efeitos" sheetId="7" state="visible" r:id="rId9"/>
  </sheets>
  <definedNames>
    <definedName function="false" hidden="false" localSheetId="4" name="_xlnm.Print_Area" vbProcedure="false">Checklist!$B$1:$F$20</definedName>
    <definedName function="false" hidden="false" localSheetId="1" name="_xlnm.Print_Area" vbProcedure="false">'Dinâmica por canal'!$B$1:$Q$51</definedName>
    <definedName function="false" hidden="false" localSheetId="2" name="_xlnm.Print_Area" vbProcedure="false">Efeitos!$B$1:$N$56</definedName>
    <definedName function="false" hidden="false" localSheetId="5" name="_xlnm.Print_Area" vbProcedure="false">'Exemplo - Dinâmica'!$B$1:$Q$61</definedName>
    <definedName function="false" hidden="false" localSheetId="6" name="_xlnm.Print_Area" vbProcedure="false">'Exemplo - Efeitos'!$B$1:$N$64</definedName>
    <definedName function="false" hidden="false" localSheetId="0" name="_xlnm.Print_Area" vbProcedure="false">Instruções!$B$1:$C$39</definedName>
    <definedName function="false" hidden="false" localSheetId="3" name="_xlnm.Print_Area" vbProcedure="false">Referência!$B$1:$G$52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Nível a partir do qual o compressor atua, na mesma escala do medidor do canal.
Digite só o número: -20, por exemplo.</t>
        </r>
      </text>
    </comment>
    <comment ref="E11" authorId="0">
      <text>
        <r>
          <rPr>
            <sz val="10"/>
            <rFont val="Arial"/>
            <family val="2"/>
          </rPr>
          <t xml:space="preserve">Digite só o primeiro número da razão: 4 para 4:1, 2,5 para 2,5:1.
Para um limiter (∞:1), digite 100.</t>
        </r>
      </text>
    </comment>
    <comment ref="I11" authorId="0">
      <text>
        <r>
          <rPr>
            <sz val="10"/>
            <rFont val="Arial"/>
            <family val="2"/>
          </rPr>
          <t xml:space="preserve">O ponto mais alto que o medidor de entrada do canal alcançou no trecho mais forte, antes do compressor.</t>
        </r>
      </text>
    </comment>
    <comment ref="I41" authorId="0">
      <text>
        <r>
          <rPr>
            <sz val="10"/>
            <rFont val="Arial"/>
            <family val="2"/>
          </rPr>
          <t xml:space="preserve">O pico mais forte do som que NÃO deve abrir o gate, lido no medidor do canal: a caixa vazando no microfone do tom, por exemplo.</t>
        </r>
      </text>
    </comment>
    <comment ref="J11" authorId="0">
      <text>
        <r>
          <rPr>
            <sz val="10"/>
            <rFont val="Arial"/>
            <family val="2"/>
          </rPr>
          <t xml:space="preserve">Quantos dB o medidor de redução (GR) marcou no trecho mais forte.
Digite como número positivo: 6, e não -6.</t>
        </r>
      </text>
    </comment>
    <comment ref="J41" authorId="0">
      <text>
        <r>
          <rPr>
            <sz val="10"/>
            <rFont val="Arial"/>
            <family val="2"/>
          </rPr>
          <t xml:space="preserve">O pico do golpe mais fraco da própria fonte, que ainda precisa abrir o gate.</t>
        </r>
      </text>
    </comment>
    <comment ref="L11" authorId="0">
      <text>
        <r>
          <rPr>
            <sz val="10"/>
            <rFont val="Arial"/>
            <family val="2"/>
          </rPr>
          <t xml:space="preserve">Conta da razão: o que passa do threshold, menos esse valor dividido pela razão.
O medidor pode marcar menos, por causa do attack e do knee.</t>
        </r>
      </text>
    </comment>
    <comment ref="M11" authorId="0">
      <text>
        <r>
          <rPr>
            <sz val="10"/>
            <rFont val="Arial"/>
            <family val="2"/>
          </rPr>
          <t xml:space="preserve">Onde o pico deve chegar depois do compressor: entrada, menos a redução esperada, mais o make-up.</t>
        </r>
      </text>
    </comment>
    <comment ref="N41" authorId="0">
      <text>
        <r>
          <rPr>
            <sz val="10"/>
            <rFont val="Arial"/>
            <family val="2"/>
          </rPr>
          <t xml:space="preserve">O ponto do meio entre o vazamento e o som útil mais fraco. É um ponto de partida: confirme de ouvido.</t>
        </r>
      </text>
    </comment>
    <comment ref="O11" authorId="0">
      <text>
        <r>
          <rPr>
            <sz val="10"/>
            <rFont val="Arial"/>
            <family val="2"/>
          </rPr>
          <t xml:space="preserve">Usa a redução lida. Se ela estiver em branco, usa a esperada.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0" authorId="0">
      <text>
        <r>
          <rPr>
            <sz val="10"/>
            <rFont val="Arial"/>
            <family val="2"/>
          </rPr>
          <t xml:space="preserve">No reverb: a duração da cauda (decay), em segundos. No delay: o intervalo entre as repetições, em milissegundos.</t>
        </r>
      </text>
    </comment>
    <comment ref="D18" authorId="0">
      <text>
        <r>
          <rPr>
            <sz val="10"/>
            <rFont val="Arial"/>
            <family val="2"/>
          </rPr>
          <t xml:space="preserve">Batidas por minuto. Conte as batidas em 15 segundos e multiplique por 4, ou use um aplicativo de metrônomo.</t>
        </r>
      </text>
    </comment>
    <comment ref="D28" authorId="0">
      <text>
        <r>
          <rPr>
            <sz val="10"/>
            <rFont val="Arial"/>
            <family val="2"/>
          </rPr>
          <t xml:space="preserve">Fala: pregação, avisos, leitura, palestra.
Grave: bumbo e baixo.
Mídia: computador, vídeo, trilha.</t>
        </r>
      </text>
    </comment>
    <comment ref="E28" authorId="0">
      <text>
        <r>
          <rPr>
            <sz val="10"/>
            <rFont val="Arial"/>
            <family val="2"/>
          </rPr>
          <t xml:space="preserve">Nível do envio do canal para este efeito, em dB. Deixe em branco se o envio está fechado.
Se a mesa não mostra o número, anote a posição do botão na coluna Observação e digite um valor aproximado.</t>
        </r>
      </text>
    </comment>
    <comment ref="H10" authorId="0">
      <text>
        <r>
          <rPr>
            <sz val="10"/>
            <rFont val="Arial"/>
            <family val="2"/>
          </rPr>
          <t xml:space="preserve">O auxiliar que alimenta o efeito é tirado antes ou depois do fader do canal?
Para efeito, o certo é pós-fader.</t>
        </r>
      </text>
    </comment>
    <comment ref="J10" authorId="0">
      <text>
        <r>
          <rPr>
            <sz val="10"/>
            <rFont val="Arial"/>
            <family val="2"/>
          </rPr>
          <t xml:space="preserve">O canal ou retorno por onde o efeito volta tem o envio para o próprio efeito aberto?
Se tiver, o efeito realimenta a si mesmo.</t>
        </r>
      </text>
    </comment>
    <comment ref="K10" authorId="0">
      <text>
        <r>
          <rPr>
            <sz val="10"/>
            <rFont val="Arial"/>
            <family val="2"/>
          </rPr>
          <t xml:space="preserve">O efeito também é enviado para os retornos de palco ou para os fones dos músicos?</t>
        </r>
      </text>
    </comment>
    <comment ref="K18" authorId="0">
      <text>
        <r>
          <rPr>
            <sz val="10"/>
            <rFont val="Arial"/>
            <family val="2"/>
          </rPr>
          <t xml:space="preserve">O tempo que o processador mostra depois do tap ou do ajuste manual. Deixe em branco se não for conferir.</t>
        </r>
      </text>
    </comment>
  </commentList>
</comments>
</file>

<file path=xl/sharedStrings.xml><?xml version="1.0" encoding="utf-8"?>
<sst xmlns="http://schemas.openxmlformats.org/spreadsheetml/2006/main" count="777" uniqueCount="448">
  <si>
    <t xml:space="preserve">Dinâmica e efeitos — como usar esta planilha</t>
  </si>
  <si>
    <t xml:space="preserve">Ficha dos compressores e dos gates de cada canal e ficha dos efeitos, para usar no fim da passagem de som.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</si>
  <si>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</si>
  <si>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</si>
  <si>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</si>
  <si>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</si>
  <si>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</si>
  <si>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</si>
  <si>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</si>
  <si>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</si>
  <si>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Tipo de efeito, tipo de envio, figura do delay, tipo de fonte e as respostas Sim ou Não aceitam só as opções da lista.</t>
  </si>
  <si>
    <t xml:space="preserve">Números</t>
  </si>
  <si>
    <t xml:space="preserve">Digite só o número, com o sinal de menos quando houver: -20, e não “-20 dB”. A redução lida é positiva: 6.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</si>
  <si>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</si>
  <si>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</si>
  <si>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</si>
  <si>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</si>
  <si>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Na mesa: ajuste o ganho e o equalizador de cada canal antes de ligar qualquer processador.</t>
  </si>
  <si>
    <t xml:space="preserve">2</t>
  </si>
  <si>
    <t xml:space="preserve">Aba Dinâmica por canal: liste só os canais que vão usar compressor e anote threshold, razão, attack, release e make-up.</t>
  </si>
  <si>
    <t xml:space="preserve">3</t>
  </si>
  <si>
    <t xml:space="preserve">Com a fonte no trecho mais forte, anote o pico de entrada do canal e a redução que o medidor GR marcou.</t>
  </si>
  <si>
    <t xml:space="preserve">4</t>
  </si>
  <si>
    <t xml:space="preserve">Veja a situação e o que fazer. Corrija na mesa e troque os números pela nova leitura.</t>
  </si>
  <si>
    <t xml:space="preserve">5</t>
  </si>
  <si>
    <t xml:space="preserve">Gates: anote o vazamento e o som útil mais fraco de cada peça. Compare o seu threshold com o sugerido.</t>
  </si>
  <si>
    <t xml:space="preserve">6</t>
  </si>
  <si>
    <t xml:space="preserve">Aba Efeitos: anote cada processador e o caminho dele, o BPM das músicas que usam delay e os envios de cada canal.</t>
  </si>
  <si>
    <t xml:space="preserve">7</t>
  </si>
  <si>
    <t xml:space="preserve">Aba Checklist: confira os doze itens no fim da passagem de som.</t>
  </si>
  <si>
    <t xml:space="preserve">Abas da planilha</t>
  </si>
  <si>
    <t xml:space="preserve">Dinâmica por canal</t>
  </si>
  <si>
    <t xml:space="preserve">Ficha de até 16 compressores, com a redução e o pico de saída esperados pela razão, e de até 8 gates.</t>
  </si>
  <si>
    <t xml:space="preserve">Efeitos</t>
  </si>
  <si>
    <t xml:space="preserve">Até 4 processadores, o tempo do delay de até 6 músicas e os envios de até 16 canais, com alertas.</t>
  </si>
  <si>
    <t xml:space="preserve">Referência</t>
  </si>
  <si>
    <t xml:space="preserve">Pontos de partida por fonte, razões, attack e release, gate, tipos de reverb e tempos de delay.</t>
  </si>
  <si>
    <t xml:space="preserve">Checklist</t>
  </si>
  <si>
    <t xml:space="preserve">Os doze itens do treinamento, com percentual atendido.</t>
  </si>
  <si>
    <t xml:space="preserve">Exemplo - Dinâmica</t>
  </si>
  <si>
    <t xml:space="preserve">Os compressores e os gates de um culto, antes da correção (exemplo 1 do treinamento).</t>
  </si>
  <si>
    <t xml:space="preserve">Exemplo - Efeitos</t>
  </si>
  <si>
    <t xml:space="preserve">Os efeitos, as músicas e os envios do mesmo culto, antes da correção (exemplo 2 do treinamento).</t>
  </si>
  <si>
    <t xml:space="preserve">Regras e premissas do modelo</t>
  </si>
  <si>
    <t xml:space="preserve">Conta da razão</t>
  </si>
  <si>
    <t xml:space="preserve">Saída = threshold + (entrada − threshold) ÷ razão. A redução esperada é o que passa do threshold, menos esse valor dividido pela razão.</t>
  </si>
  <si>
    <t xml:space="preserve">Redução lida e esperada</t>
  </si>
  <si>
    <t xml:space="preserve">A situação usa a redução lida no medidor GR. Sem ela, usa a esperada. O medidor costuma marcar um pouco menos, por causa do attack e do knee.</t>
  </si>
  <si>
    <t xml:space="preserve">Faixas de redução</t>
  </si>
  <si>
    <t xml:space="preserve">O modelo parte de 3 a 6 dB como faixa de trabalho e de 10 dB como limite de excesso. São ponto de partida: troque os valores no alto da aba.</t>
  </si>
  <si>
    <t xml:space="preserve">Make-up</t>
  </si>
  <si>
    <t xml:space="preserve">Recebe aviso quando passa da redução mais a folga. Cada dB de make-up sobe os trechos fracos e reduz a margem antes da microfonia.</t>
  </si>
  <si>
    <t xml:space="preserve">Gate</t>
  </si>
  <si>
    <t xml:space="preserve">O threshold sugerido é o meio da janela entre o vazamento e o som útil mais fraco. Com janela menor que duas margens, o gate não separa os dois.</t>
  </si>
  <si>
    <t xml:space="preserve">Tempo do delay</t>
  </si>
  <si>
    <t xml:space="preserve">Semínima = 60 000 ÷ BPM, em ms. Colcheia: metade. Colcheia pontuada: três quartos. Semicolcheia: um quarto.</t>
  </si>
  <si>
    <t xml:space="preserve">Envio pré-fader, retorno que volta ao próprio envio, efeito em fala, em graves e em mídia recebem alerta. São regras práticas deste material.</t>
  </si>
  <si>
    <t xml:space="preserve">Exemplos</t>
  </si>
  <si>
    <t xml:space="preserve">Os dados das abas de exemplo são ilustrativos, criados para este material.</t>
  </si>
  <si>
    <t xml:space="preserve">Dinâmica por canal — ficha de compressores e gates</t>
  </si>
  <si>
    <t xml:space="preserve">Preencha as células em amarelo-claro com os ajustes e com o que você leu nos medidores. As células cinza são calculadas.</t>
  </si>
  <si>
    <t xml:space="preserve">Evento</t>
  </si>
  <si>
    <t xml:space="preserve">Redução mínima (dB)</t>
  </si>
  <si>
    <t xml:space="preserve">Abaixo dela, a atuação do compressor é leve.</t>
  </si>
  <si>
    <t xml:space="preserve">Local</t>
  </si>
  <si>
    <t xml:space="preserve">Redução máxima (dB)</t>
  </si>
  <si>
    <t xml:space="preserve">Até aqui, a redução nos trechos fortes conta como OK.</t>
  </si>
  <si>
    <t xml:space="preserve">Data</t>
  </si>
  <si>
    <t xml:space="preserve">Limite de excesso (dB)</t>
  </si>
  <si>
    <t xml:space="preserve">Acima dele, a compressão é excessiva.</t>
  </si>
  <si>
    <t xml:space="preserve">Operador</t>
  </si>
  <si>
    <t xml:space="preserve">Folga do make-up (dB)</t>
  </si>
  <si>
    <t xml:space="preserve">Quanto o make-up pode passar da redução antes do aviso.</t>
  </si>
  <si>
    <t xml:space="preserve">Mesa e medidor</t>
  </si>
  <si>
    <t xml:space="preserve">Margem mínima do gate (dB)</t>
  </si>
  <si>
    <t xml:space="preserve">Distância mínima do threshold do gate ao vazamento e ao som útil.</t>
  </si>
  <si>
    <t xml:space="preserve">Compressores: ajuste, leitura e saída esperada pela razão</t>
  </si>
  <si>
    <t xml:space="preserve">Canal</t>
  </si>
  <si>
    <t xml:space="preserve">Fonte</t>
  </si>
  <si>
    <t xml:space="preserve">Threshold</t>
  </si>
  <si>
    <t xml:space="preserve">Razão</t>
  </si>
  <si>
    <t xml:space="preserve">Attack</t>
  </si>
  <si>
    <t xml:space="preserve">Release</t>
  </si>
  <si>
    <t xml:space="preserve">Pico de entrada</t>
  </si>
  <si>
    <t xml:space="preserve">Redução lida</t>
  </si>
  <si>
    <t xml:space="preserve">Acima do threshold</t>
  </si>
  <si>
    <t xml:space="preserve">Redução esperada</t>
  </si>
  <si>
    <t xml:space="preserve">Pico de saída</t>
  </si>
  <si>
    <t xml:space="preserve">Lida − esperada</t>
  </si>
  <si>
    <t xml:space="preserve">Situação</t>
  </si>
  <si>
    <t xml:space="preserve">O que fazer</t>
  </si>
  <si>
    <t xml:space="preserve">Observação</t>
  </si>
  <si>
    <t xml:space="preserve">nº</t>
  </si>
  <si>
    <t xml:space="preserve">o que está ligado no canal</t>
  </si>
  <si>
    <t xml:space="preserve">dB</t>
  </si>
  <si>
    <t xml:space="preserve">4 para 4:1</t>
  </si>
  <si>
    <t xml:space="preserve">ms</t>
  </si>
  <si>
    <t xml:space="preserve">dB, antes do compressor</t>
  </si>
  <si>
    <t xml:space="preserve">dB, no medidor GR</t>
  </si>
  <si>
    <t xml:space="preserve">dB, com make-up</t>
  </si>
  <si>
    <t xml:space="preserve">Ex.</t>
  </si>
  <si>
    <t xml:space="preserve">Voz da cantora</t>
  </si>
  <si>
    <t xml:space="preserve">Forte</t>
  </si>
  <si>
    <t xml:space="preserve">Redução forte: suba o threshold ou baixe a razão</t>
  </si>
  <si>
    <t xml:space="preserve">Resumo dos compressores</t>
  </si>
  <si>
    <t xml:space="preserve">Canais listados</t>
  </si>
  <si>
    <t xml:space="preserve">Compressores com situação</t>
  </si>
  <si>
    <t xml:space="preserve">Na faixa (OK)</t>
  </si>
  <si>
    <t xml:space="preserve">Leve ou sem ação</t>
  </si>
  <si>
    <t xml:space="preserve">Forte ou make-up alto</t>
  </si>
  <si>
    <t xml:space="preserve">Em excesso</t>
  </si>
  <si>
    <t xml:space="preserve">Aviso</t>
  </si>
  <si>
    <t xml:space="preserve">Gates: a janela entre o vazamento e o som útil</t>
  </si>
  <si>
    <t xml:space="preserve">Range</t>
  </si>
  <si>
    <t xml:space="preserve">Hold</t>
  </si>
  <si>
    <t xml:space="preserve">Vazamento</t>
  </si>
  <si>
    <t xml:space="preserve">Som útil mais fraco</t>
  </si>
  <si>
    <t xml:space="preserve">Janela</t>
  </si>
  <si>
    <t xml:space="preserve">Margem abaixo</t>
  </si>
  <si>
    <t xml:space="preserve">Margem acima</t>
  </si>
  <si>
    <t xml:space="preserve">Threshold sugerido</t>
  </si>
  <si>
    <t xml:space="preserve">peça ou fonte com gate</t>
  </si>
  <si>
    <t xml:space="preserve">pico, em dB</t>
  </si>
  <si>
    <t xml:space="preserve">útil − vazamento</t>
  </si>
  <si>
    <t xml:space="preserve">threshold − vazamento</t>
  </si>
  <si>
    <t xml:space="preserve">útil − threshold</t>
  </si>
  <si>
    <t xml:space="preserve">dB, no meio da janela</t>
  </si>
  <si>
    <t xml:space="preserve">As faixas de redução e a margem do gate são regra prática deste material, e não norma. Troque os valores no alto da aba, se precisar.</t>
  </si>
  <si>
    <t xml:space="preserve">Efeitos — processadores, tempo do delay e envios por canal</t>
  </si>
  <si>
    <t xml:space="preserve">Preencha as células em amarelo-claro. As células cinza calculam o tempo do delay e conferem o caminho de cada efeito.</t>
  </si>
  <si>
    <t xml:space="preserve">Tempo máximo de reverb (s)</t>
  </si>
  <si>
    <t xml:space="preserve">Acima dele, a aba avisa. Em sala que já reverbera, use um valor menor.</t>
  </si>
  <si>
    <t xml:space="preserve">Local e sala</t>
  </si>
  <si>
    <t xml:space="preserve">Repetição máxima do delay (%)</t>
  </si>
  <si>
    <t xml:space="preserve">Acima dela, o eco demora a morrer e embola.</t>
  </si>
  <si>
    <t xml:space="preserve">Envio máximo (dB)</t>
  </si>
  <si>
    <t xml:space="preserve">Envio acima deste valor recebe aviso. O 0 é o ganho unitário.</t>
  </si>
  <si>
    <t xml:space="preserve">Tolerância do tempo do delay (%)</t>
  </si>
  <si>
    <t xml:space="preserve">Diferença aceita entre o tempo calculado e o do aparelho.</t>
  </si>
  <si>
    <t xml:space="preserve">Processadores de efeito: ajuste e caminho do sinal</t>
  </si>
  <si>
    <t xml:space="preserve">Efeito</t>
  </si>
  <si>
    <t xml:space="preserve">Tipo</t>
  </si>
  <si>
    <t xml:space="preserve">Tempo</t>
  </si>
  <si>
    <t xml:space="preserve">Pré-delay</t>
  </si>
  <si>
    <t xml:space="preserve">Repetição</t>
  </si>
  <si>
    <t xml:space="preserve">Auxiliar de envio</t>
  </si>
  <si>
    <t xml:space="preserve">Envio</t>
  </si>
  <si>
    <t xml:space="preserve">Retorno em</t>
  </si>
  <si>
    <t xml:space="preserve">Retorno volta ao envio?</t>
  </si>
  <si>
    <t xml:space="preserve">No retorno de palco?</t>
  </si>
  <si>
    <t xml:space="preserve">da lista</t>
  </si>
  <si>
    <t xml:space="preserve">reverb: s; delay: ms</t>
  </si>
  <si>
    <t xml:space="preserve">%, no delay</t>
  </si>
  <si>
    <t xml:space="preserve">nome ou número</t>
  </si>
  <si>
    <t xml:space="preserve">Pré / Pós-fader</t>
  </si>
  <si>
    <t xml:space="preserve">canal ou retorno</t>
  </si>
  <si>
    <t xml:space="preserve">Sim / Não</t>
  </si>
  <si>
    <t xml:space="preserve">FX 1</t>
  </si>
  <si>
    <t xml:space="preserve">FX 2</t>
  </si>
  <si>
    <t xml:space="preserve">FX 3</t>
  </si>
  <si>
    <t xml:space="preserve">FX 4</t>
  </si>
  <si>
    <t xml:space="preserve">Tempo do delay pela música: 60 000 ÷ BPM</t>
  </si>
  <si>
    <t xml:space="preserve">Ordem</t>
  </si>
  <si>
    <t xml:space="preserve">Música</t>
  </si>
  <si>
    <t xml:space="preserve">Andamento</t>
  </si>
  <si>
    <t xml:space="preserve">Semínima</t>
  </si>
  <si>
    <t xml:space="preserve">Colcheia</t>
  </si>
  <si>
    <t xml:space="preserve">Colcheia pontuada</t>
  </si>
  <si>
    <t xml:space="preserve">Semicolcheia</t>
  </si>
  <si>
    <t xml:space="preserve">Figura usada</t>
  </si>
  <si>
    <t xml:space="preserve">Tempo a ajustar</t>
  </si>
  <si>
    <t xml:space="preserve">Tempo no aparelho</t>
  </si>
  <si>
    <t xml:space="preserve">nome ou momento</t>
  </si>
  <si>
    <t xml:space="preserve">BPM</t>
  </si>
  <si>
    <t xml:space="preserve">ms (1 tempo)</t>
  </si>
  <si>
    <t xml:space="preserve">ms (½ tempo)</t>
  </si>
  <si>
    <t xml:space="preserve">ms (¾ de tempo)</t>
  </si>
  <si>
    <t xml:space="preserve">ms (¼ de tempo)</t>
  </si>
  <si>
    <t xml:space="preserve">ms, lido</t>
  </si>
  <si>
    <t xml:space="preserve">Envios de efeito por canal</t>
  </si>
  <si>
    <t xml:space="preserve">Tipo de fonte</t>
  </si>
  <si>
    <t xml:space="preserve">Envio ao FX 1</t>
  </si>
  <si>
    <t xml:space="preserve">Envio ao FX 2</t>
  </si>
  <si>
    <t xml:space="preserve">Envio ao FX 3</t>
  </si>
  <si>
    <t xml:space="preserve">Envio ao FX 4</t>
  </si>
  <si>
    <t xml:space="preserve">Efeitos abertos</t>
  </si>
  <si>
    <t xml:space="preserve">Maior envio</t>
  </si>
  <si>
    <t xml:space="preserve">quantos</t>
  </si>
  <si>
    <t xml:space="preserve">Resumo automático</t>
  </si>
  <si>
    <t xml:space="preserve">Canais com envio ao FX 1</t>
  </si>
  <si>
    <t xml:space="preserve">Canais com envio ao FX 2</t>
  </si>
  <si>
    <t xml:space="preserve">Canais com envio ao FX 3</t>
  </si>
  <si>
    <t xml:space="preserve">Canais com envio ao FX 4</t>
  </si>
  <si>
    <t xml:space="preserve">Processadores com alerta</t>
  </si>
  <si>
    <t xml:space="preserve">Músicas com o delay fora do tempo</t>
  </si>
  <si>
    <t xml:space="preserve">Canais com alerta de envio</t>
  </si>
  <si>
    <t xml:space="preserve">Os limites de tempo, de repetição e de envio são regra prática deste material, e não norma. O ouvido, na sala, decide.</t>
  </si>
  <si>
    <t xml:space="preserve">Referência — pontos de partida</t>
  </si>
  <si>
    <t xml:space="preserve">Valores de referência, para servir de ponto de partida. Confira o manual do seu equipamento.</t>
  </si>
  <si>
    <t xml:space="preserve">Compressor: ponto de partida por fonte</t>
  </si>
  <si>
    <t xml:space="preserve">Redução nos trechos fortes</t>
  </si>
  <si>
    <t xml:space="preserve">Voz falada (pregação, palestra)</t>
  </si>
  <si>
    <t xml:space="preserve">2:1 a 3:1</t>
  </si>
  <si>
    <t xml:space="preserve">10 a 30 ms</t>
  </si>
  <si>
    <t xml:space="preserve">100 a 300 ms</t>
  </si>
  <si>
    <t xml:space="preserve">3 a 6 dB</t>
  </si>
  <si>
    <t xml:space="preserve">Só para segurar os gritos e as frases fortes. Com lapela ou púlpito, use menos.</t>
  </si>
  <si>
    <t xml:space="preserve">Voz cantada (principal e apoio)</t>
  </si>
  <si>
    <t xml:space="preserve">3:1 a 4:1</t>
  </si>
  <si>
    <t xml:space="preserve">5 a 20 ms</t>
  </si>
  <si>
    <t xml:space="preserve">100 a 250 ms</t>
  </si>
  <si>
    <t xml:space="preserve">Knee suave, se houver. É onde o compressor mais ajuda.</t>
  </si>
  <si>
    <t xml:space="preserve">Violão por direct box</t>
  </si>
  <si>
    <t xml:space="preserve">2:1 a 4:1</t>
  </si>
  <si>
    <t xml:space="preserve">2 a 5 dB</t>
  </si>
  <si>
    <t xml:space="preserve">Iguala o dedilhado e a batida forte.</t>
  </si>
  <si>
    <t xml:space="preserve">Baixo</t>
  </si>
  <si>
    <t xml:space="preserve">3:1 a 6:1</t>
  </si>
  <si>
    <t xml:space="preserve">20 a 40 ms</t>
  </si>
  <si>
    <t xml:space="preserve">150 a 400 ms</t>
  </si>
  <si>
    <t xml:space="preserve">3 a 8 dB</t>
  </si>
  <si>
    <t xml:space="preserve">Attack mais lento, para manter o início da nota. Release rápido demais distorce os graves.</t>
  </si>
  <si>
    <t xml:space="preserve">Bumbo</t>
  </si>
  <si>
    <t xml:space="preserve">4:1</t>
  </si>
  <si>
    <t xml:space="preserve">50 a 150 ms</t>
  </si>
  <si>
    <t xml:space="preserve">O attack deixa o estalo da batida passar. Muitas vezes o gate ajuda mais.</t>
  </si>
  <si>
    <t xml:space="preserve">Caixa da bateria</t>
  </si>
  <si>
    <t xml:space="preserve">Só se os golpes forem muito desiguais.</t>
  </si>
  <si>
    <t xml:space="preserve">Teclado</t>
  </si>
  <si>
    <t xml:space="preserve">2:1</t>
  </si>
  <si>
    <t xml:space="preserve">200 a 400 ms</t>
  </si>
  <si>
    <t xml:space="preserve">0 a 3 dB</t>
  </si>
  <si>
    <t xml:space="preserve">Quase nunca precisa. Em par estéreo, ligue o link.</t>
  </si>
  <si>
    <t xml:space="preserve">Coral, púlpito distante, ambiente</t>
  </si>
  <si>
    <t xml:space="preserve">Sem compressor</t>
  </si>
  <si>
    <t xml:space="preserve">Microfone longe da fonte é o primeiro a apitar.</t>
  </si>
  <si>
    <t xml:space="preserve">Computador, vídeo, trilha</t>
  </si>
  <si>
    <t xml:space="preserve">O material já vem finalizado. Acerte o nível no fader.</t>
  </si>
  <si>
    <t xml:space="preserve">Razão: como age</t>
  </si>
  <si>
    <t xml:space="preserve">Como age</t>
  </si>
  <si>
    <t xml:space="preserve">16 dB acima viram</t>
  </si>
  <si>
    <t xml:space="preserve">Redução</t>
  </si>
  <si>
    <t xml:space="preserve">Nome usual</t>
  </si>
  <si>
    <t xml:space="preserve">Uso típico</t>
  </si>
  <si>
    <t xml:space="preserve">1:1</t>
  </si>
  <si>
    <t xml:space="preserve">não comprime</t>
  </si>
  <si>
    <t xml:space="preserve">16 dB</t>
  </si>
  <si>
    <t xml:space="preserve">0 dB</t>
  </si>
  <si>
    <t xml:space="preserve">desligado</t>
  </si>
  <si>
    <t xml:space="preserve">É o mesmo que desligado.</t>
  </si>
  <si>
    <t xml:space="preserve">suave</t>
  </si>
  <si>
    <t xml:space="preserve">8 dB</t>
  </si>
  <si>
    <t xml:space="preserve">compressão</t>
  </si>
  <si>
    <t xml:space="preserve">Voz falada, violão, fontes que só precisam de um pouco de controle.</t>
  </si>
  <si>
    <t xml:space="preserve">moderada</t>
  </si>
  <si>
    <t xml:space="preserve">4 dB</t>
  </si>
  <si>
    <t xml:space="preserve">12 dB</t>
  </si>
  <si>
    <t xml:space="preserve">Voz cantada, baixo, bumbo. É o ponto de partida mais comum.</t>
  </si>
  <si>
    <t xml:space="preserve">8:1</t>
  </si>
  <si>
    <t xml:space="preserve">forte</t>
  </si>
  <si>
    <t xml:space="preserve">2 dB</t>
  </si>
  <si>
    <t xml:space="preserve">14 dB</t>
  </si>
  <si>
    <t xml:space="preserve">compressão forte</t>
  </si>
  <si>
    <t xml:space="preserve">Fontes muito irregulares. Ao vivo, pede cuidado com a microfonia.</t>
  </si>
  <si>
    <t xml:space="preserve">10:1 ou mais</t>
  </si>
  <si>
    <t xml:space="preserve">teto</t>
  </si>
  <si>
    <t xml:space="preserve">1,6 dB ou menos</t>
  </si>
  <si>
    <t xml:space="preserve">14,4 dB ou mais</t>
  </si>
  <si>
    <t xml:space="preserve">limitação</t>
  </si>
  <si>
    <t xml:space="preserve">Proteção de saídas. O compressor já trabalha como limiter.</t>
  </si>
  <si>
    <t xml:space="preserve">Attack e release: o que ouvir</t>
  </si>
  <si>
    <t xml:space="preserve">Controle</t>
  </si>
  <si>
    <t xml:space="preserve">Faixa típica</t>
  </si>
  <si>
    <t xml:space="preserve">Rápido demais</t>
  </si>
  <si>
    <t xml:space="preserve">Lento demais</t>
  </si>
  <si>
    <t xml:space="preserve">Para começar</t>
  </si>
  <si>
    <t xml:space="preserve">Como corrigir</t>
  </si>
  <si>
    <t xml:space="preserve">1 a 50 ms</t>
  </si>
  <si>
    <t xml:space="preserve">achata o começo</t>
  </si>
  <si>
    <t xml:space="preserve">os picos passam</t>
  </si>
  <si>
    <t xml:space="preserve">10 a 20 ms</t>
  </si>
  <si>
    <t xml:space="preserve">Som sem definição no começo: alongue. Picos saltando e medidor parado: encurte.</t>
  </si>
  <si>
    <t xml:space="preserve">50 a 500 ms</t>
  </si>
  <si>
    <t xml:space="preserve">bombeia, distorce</t>
  </si>
  <si>
    <t xml:space="preserve">não solta</t>
  </si>
  <si>
    <t xml:space="preserve">100 a 200 ms</t>
  </si>
  <si>
    <t xml:space="preserve">Som bombeando ou ruído respirando: alongue. Medidor que não volta a zero: encurte ou suba o threshold.</t>
  </si>
  <si>
    <t xml:space="preserve">Gate na bateria: ponto de partida</t>
  </si>
  <si>
    <t xml:space="preserve">Peça</t>
  </si>
  <si>
    <t xml:space="preserve">10 a 20 dB</t>
  </si>
  <si>
    <t xml:space="preserve">abaixo de 1 ms</t>
  </si>
  <si>
    <t xml:space="preserve">30 a 80 ms</t>
  </si>
  <si>
    <t xml:space="preserve">80 a 200 ms</t>
  </si>
  <si>
    <t xml:space="preserve">Entre o vazamento mais forte (baixo, caixa) e o golpe mais fraco do bumbo.</t>
  </si>
  <si>
    <t xml:space="preserve">Caixa</t>
  </si>
  <si>
    <t xml:space="preserve">6 a 15 dB</t>
  </si>
  <si>
    <t xml:space="preserve">50 a 100 ms</t>
  </si>
  <si>
    <t xml:space="preserve">Cuidado com as notas fracas (ghost notes): com gate fundo, elas somem.</t>
  </si>
  <si>
    <t xml:space="preserve">Tons e surdo</t>
  </si>
  <si>
    <t xml:space="preserve">Entre a caixa que vaza e o golpe mais fraco do tom. Release longo, para a nota soar inteira.</t>
  </si>
  <si>
    <t xml:space="preserve">Voz</t>
  </si>
  <si>
    <t xml:space="preserve">Sem gate</t>
  </si>
  <si>
    <t xml:space="preserve">Corta o início e o fim das palavras. Se precisar, expander com range de 6 a 10 dB.</t>
  </si>
  <si>
    <t xml:space="preserve">Reverb: tipos e ajustes</t>
  </si>
  <si>
    <t xml:space="preserve">Tempo típico</t>
  </si>
  <si>
    <t xml:space="preserve">Corte de graves</t>
  </si>
  <si>
    <t xml:space="preserve">Corte de agudos</t>
  </si>
  <si>
    <t xml:space="preserve">Uso ao vivo</t>
  </si>
  <si>
    <t xml:space="preserve">Room (sala)</t>
  </si>
  <si>
    <t xml:space="preserve">0,4 a 1 s</t>
  </si>
  <si>
    <t xml:space="preserve">0 a 20 ms</t>
  </si>
  <si>
    <t xml:space="preserve">150 a 300 Hz</t>
  </si>
  <si>
    <t xml:space="preserve">4 a 8 kHz</t>
  </si>
  <si>
    <t xml:space="preserve">Bateria, violão, músicas rápidas. Tira o som seco sem aparecer.</t>
  </si>
  <si>
    <t xml:space="preserve">Plate (placa)</t>
  </si>
  <si>
    <t xml:space="preserve">1 a 2,5 s</t>
  </si>
  <si>
    <t xml:space="preserve">20 a 60 ms</t>
  </si>
  <si>
    <t xml:space="preserve">Voz cantada e caixa da bateria. É a escolha mais segura para começar.</t>
  </si>
  <si>
    <t xml:space="preserve">Hall (salão)</t>
  </si>
  <si>
    <t xml:space="preserve">1,5 a 3 s</t>
  </si>
  <si>
    <t xml:space="preserve">20 a 80 ms</t>
  </si>
  <si>
    <t xml:space="preserve">Músicas lentas, coral, cordas. Embola com facilidade em música rápida.</t>
  </si>
  <si>
    <t xml:space="preserve">Fala (pregação, avisos, leitura)</t>
  </si>
  <si>
    <t xml:space="preserve">Sem efeito</t>
  </si>
  <si>
    <t xml:space="preserve">Reverb e delay atrapalham o entendimento da fala. Mute nos retornos de efeito.</t>
  </si>
  <si>
    <t xml:space="preserve">Delay: tempo pelo andamento (60 000 ÷ BPM)</t>
  </si>
  <si>
    <t xml:space="preserve">Onde aparece</t>
  </si>
  <si>
    <t xml:space="preserve">60 BPM</t>
  </si>
  <si>
    <t xml:space="preserve">1000 ms</t>
  </si>
  <si>
    <t xml:space="preserve">500 ms</t>
  </si>
  <si>
    <t xml:space="preserve">750 ms</t>
  </si>
  <si>
    <t xml:space="preserve">250 ms</t>
  </si>
  <si>
    <t xml:space="preserve">Música muito lenta.</t>
  </si>
  <si>
    <t xml:space="preserve">72 BPM</t>
  </si>
  <si>
    <t xml:space="preserve">833 ms</t>
  </si>
  <si>
    <t xml:space="preserve">417 ms</t>
  </si>
  <si>
    <t xml:space="preserve">625 ms</t>
  </si>
  <si>
    <t xml:space="preserve">208 ms</t>
  </si>
  <si>
    <t xml:space="preserve">Louvor lento.</t>
  </si>
  <si>
    <t xml:space="preserve">90 BPM</t>
  </si>
  <si>
    <t xml:space="preserve">667 ms</t>
  </si>
  <si>
    <t xml:space="preserve">333 ms</t>
  </si>
  <si>
    <t xml:space="preserve">167 ms</t>
  </si>
  <si>
    <t xml:space="preserve">Andamento médio.</t>
  </si>
  <si>
    <t xml:space="preserve">100 BPM</t>
  </si>
  <si>
    <t xml:space="preserve">600 ms</t>
  </si>
  <si>
    <t xml:space="preserve">300 ms</t>
  </si>
  <si>
    <t xml:space="preserve">450 ms</t>
  </si>
  <si>
    <t xml:space="preserve">150 ms</t>
  </si>
  <si>
    <t xml:space="preserve">120 BPM</t>
  </si>
  <si>
    <t xml:space="preserve">375 ms</t>
  </si>
  <si>
    <t xml:space="preserve">125 ms</t>
  </si>
  <si>
    <t xml:space="preserve">Música animada.</t>
  </si>
  <si>
    <t xml:space="preserve">140 BPM</t>
  </si>
  <si>
    <t xml:space="preserve">429 ms</t>
  </si>
  <si>
    <t xml:space="preserve">214 ms</t>
  </si>
  <si>
    <t xml:space="preserve">321 ms</t>
  </si>
  <si>
    <t xml:space="preserve">107 ms</t>
  </si>
  <si>
    <t xml:space="preserve">Música rápida.</t>
  </si>
  <si>
    <t xml:space="preserve">Eco curto (slapback)</t>
  </si>
  <si>
    <t xml:space="preserve">80 a 120 ms, uma repetição</t>
  </si>
  <si>
    <t xml:space="preserve">Dá corpo à voz sem deixar cauda. Não depende do andamento.</t>
  </si>
  <si>
    <t xml:space="preserve">Faixas típicas, que variam com a fonte, o microfone, a música, a sala e o modelo do processador. Confie mais no medidor de redução e no ouvido do que na posição dos botões.</t>
  </si>
  <si>
    <t xml:space="preserve">Checklist de dinâmica e efeitos</t>
  </si>
  <si>
    <t xml:space="preserve">Confira no fim da passagem de som, com a banda tocando. Escolha a situação de cada item na lista suspensa.</t>
  </si>
  <si>
    <t xml:space="preserve">#</t>
  </si>
  <si>
    <t xml:space="preserve">Grupo</t>
  </si>
  <si>
    <t xml:space="preserve">Item</t>
  </si>
  <si>
    <t xml:space="preserve">Antes</t>
  </si>
  <si>
    <t xml:space="preserve">O ganho e o equalizador de cada canal foram ajustados antes de ligar compressor, gate e efeitos.</t>
  </si>
  <si>
    <t xml:space="preserve">Compressor</t>
  </si>
  <si>
    <t xml:space="preserve">Cada compressor ligado tem um motivo: a fonte varia mais do que o fader consegue acompanhar.</t>
  </si>
  <si>
    <t xml:space="preserve">Nos trechos fortes, o medidor de redução marca de 3 a 6 dB, e volta a zero nas pausas.</t>
  </si>
  <si>
    <t xml:space="preserve">O make-up não passa da redução, e o canal foi comparado com o compressor desligado, no mesmo volume.</t>
  </si>
  <si>
    <t xml:space="preserve">Os microfones distantes (coral, púlpito, lapela, ambiente) estão sem compressor ou com compressão leve e sem make-up.</t>
  </si>
  <si>
    <t xml:space="preserve">Cada gate abre com o golpe mais fraco da própria peça e fica fechado com o vazamento dos vizinhos.</t>
  </si>
  <si>
    <t xml:space="preserve">Não há gate em microfone de fala.</t>
  </si>
  <si>
    <t xml:space="preserve">Limiter</t>
  </si>
  <si>
    <t xml:space="preserve">Os limiters das saídas atuam só nos picos raros, e não ficam acesos o tempo todo.</t>
  </si>
  <si>
    <t xml:space="preserve">Os envios de efeito saem de auxiliar pós-fader, e o processador está em 100% de efeito.</t>
  </si>
  <si>
    <t xml:space="preserve">O retorno de cada efeito chega ao master e não volta para o próprio envio.</t>
  </si>
  <si>
    <t xml:space="preserve">O tempo do reverb combina com a sala e com a música, e o delay está no tempo da música.</t>
  </si>
  <si>
    <t xml:space="preserve">Os efeitos ficam fechados (mute) na fala: pregação, avisos, oração e leitura.</t>
  </si>
  <si>
    <t xml:space="preserve">Itens respondidos</t>
  </si>
  <si>
    <t xml:space="preserve">Percentual atendido (Parcial vale metade)</t>
  </si>
  <si>
    <t xml:space="preserve">Exemplo preenchido, para consulta. Use a aba Dinâmica por canal para o seu evento.</t>
  </si>
  <si>
    <t xml:space="preserve">Culto de domingo, 19 h</t>
  </si>
  <si>
    <t xml:space="preserve">Igreja de 200 lugares</t>
  </si>
  <si>
    <t xml:space="preserve">Operador de som da escala</t>
  </si>
  <si>
    <t xml:space="preserve">Mesa digital de 24 canais, medidor em dBFS</t>
  </si>
  <si>
    <t xml:space="preserve">Leituras em dBFS, com cada fonte no trecho mais forte, antes da correção. As colunas de K a P são calculadas.</t>
  </si>
  <si>
    <t xml:space="preserve">Voz do pastor (headset)</t>
  </si>
  <si>
    <t xml:space="preserve">Voz de apoio</t>
  </si>
  <si>
    <t xml:space="preserve">Violão</t>
  </si>
  <si>
    <t xml:space="preserve">Coral (dois microfones suspensos)</t>
  </si>
  <si>
    <t xml:space="preserve">Tom 1</t>
  </si>
  <si>
    <t xml:space="preserve">Surdo</t>
  </si>
  <si>
    <t xml:space="preserve">O que foi ajustado</t>
  </si>
  <si>
    <t xml:space="preserve">O que foi feito</t>
  </si>
  <si>
    <t xml:space="preserve">Leitura depois</t>
  </si>
  <si>
    <t xml:space="preserve">Pastor</t>
  </si>
  <si>
    <t xml:space="preserve">Threshold de −30 para −16, razão de 8:1 para 3:1, make-up de +10 para +3, attack de 15 ms, release de 200 ms.</t>
  </si>
  <si>
    <t xml:space="preserve">redução de 5 dB</t>
  </si>
  <si>
    <t xml:space="preserve">Cantora</t>
  </si>
  <si>
    <t xml:space="preserve">Threshold de −30 para −14, razão de 8:1 para 4:1, make-up de +10 para +4, attack de 10 ms, release de 150 ms.</t>
  </si>
  <si>
    <t xml:space="preserve">redução de 6 dB</t>
  </si>
  <si>
    <t xml:space="preserve">Apoio</t>
  </si>
  <si>
    <t xml:space="preserve">Threshold de −20 para −18.</t>
  </si>
  <si>
    <t xml:space="preserve">Compressor desligado: o pico nem chegava ao threshold, e o teclado não precisa.</t>
  </si>
  <si>
    <t xml:space="preserve">sem compressor</t>
  </si>
  <si>
    <t xml:space="preserve">Coral</t>
  </si>
  <si>
    <t xml:space="preserve">Compressor desligado: microfone distante com 8 dB de make-up apita nas pausas.</t>
  </si>
  <si>
    <t xml:space="preserve">Threshold do gate de −30 para −18: fica 6 dB acima da caixa que vaza e 6 dB abaixo do golpe fraco.</t>
  </si>
  <si>
    <t xml:space="preserve">abre só no tom</t>
  </si>
  <si>
    <t xml:space="preserve">Threshold do gate de −10 para −19: os golpes fracos voltaram a abrir a porta.</t>
  </si>
  <si>
    <t xml:space="preserve">nenhum golpe engolido</t>
  </si>
  <si>
    <t xml:space="preserve">Exemplo preenchido, para consulta. Use a aba Efeitos para o seu evento.</t>
  </si>
  <si>
    <t xml:space="preserve">Igreja de 200 lugares, sala que já reverbera bastante</t>
  </si>
  <si>
    <t xml:space="preserve">Reverb hall</t>
  </si>
  <si>
    <t xml:space="preserve">Aux 5</t>
  </si>
  <si>
    <t xml:space="preserve">Pós-fader</t>
  </si>
  <si>
    <t xml:space="preserve">Retorno FX 1</t>
  </si>
  <si>
    <t xml:space="preserve">Não</t>
  </si>
  <si>
    <t xml:space="preserve">Delay</t>
  </si>
  <si>
    <t xml:space="preserve">Aux 6</t>
  </si>
  <si>
    <t xml:space="preserve">Pré-fader</t>
  </si>
  <si>
    <t xml:space="preserve">Canais 15 e 16</t>
  </si>
  <si>
    <t xml:space="preserve">Louvor lento</t>
  </si>
  <si>
    <t xml:space="preserve">Louvor animado</t>
  </si>
  <si>
    <t xml:space="preserve">Música final</t>
  </si>
  <si>
    <t xml:space="preserve">Fala</t>
  </si>
  <si>
    <t xml:space="preserve">Voz cantada</t>
  </si>
  <si>
    <t xml:space="preserve">Voz de apoio 1</t>
  </si>
  <si>
    <t xml:space="preserve">Voz de apoio 2</t>
  </si>
  <si>
    <t xml:space="preserve">Instrumento</t>
  </si>
  <si>
    <t xml:space="preserve">Grave</t>
  </si>
  <si>
    <t xml:space="preserve">Bateria</t>
  </si>
  <si>
    <t xml:space="preserve">Computador (som dos vídeos)</t>
  </si>
  <si>
    <t xml:space="preserve">Mídia</t>
  </si>
  <si>
    <t xml:space="preserve">Onde</t>
  </si>
  <si>
    <t xml:space="preserve">Hall de 2,8 s trocado por plate de 1,4 s, com pré-delay de 40 ms, corte de graves em 200 Hz e de agudos em 6 kHz.</t>
  </si>
  <si>
    <t xml:space="preserve">Envio do delay passado para auxiliar pós-fader. Repetição mantida em 35%.</t>
  </si>
  <si>
    <t xml:space="preserve">Músicas</t>
  </si>
  <si>
    <t xml:space="preserve">Tempo do delay pelo tap a cada música: 417 ms, 375 ms e 600 ms.</t>
  </si>
  <si>
    <t xml:space="preserve">Envios</t>
  </si>
  <si>
    <t xml:space="preserve">Fechados no pastor, no baixo, no bumbo e no computador. Caixa da bateria de +3 para −12 dB.</t>
  </si>
  <si>
    <t xml:space="preserve">Operação</t>
  </si>
  <si>
    <t xml:space="preserve">Mute nos retornos de efeito a cada passagem da música para a fala.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</si>
</sst>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\+0;\-0;0"/>
    <numFmt numFmtId="167" formatCode="General"/>
    <numFmt numFmtId="168" formatCode="0.0"/>
    <numFmt numFmtId="169" formatCode="\+0.0;\-0.0;0.0"/>
    <numFmt numFmtId="170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B0413E"/>
        <bgColor rgb="FF993300"/>
      </patternFill>
    </fill>
    <fill>
      <patternFill patternType="solid">
        <fgColor rgb="FF5B6B76"/>
        <bgColor rgb="FF808080"/>
      </patternFill>
    </fill>
    <fill>
      <patternFill patternType="solid">
        <fgColor rgb="FF7A4A9A"/>
        <bgColor rgb="FF5B6B76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31.5" hidden="false" customHeight="true" outlineLevel="0" collapsed="false">
      <c r="B14" s="8" t="s">
        <v>18</v>
      </c>
      <c r="C14" s="7" t="s">
        <v>19</v>
      </c>
    </row>
    <row r="15" customFormat="false" ht="31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31.5" hidden="false" customHeight="true" outlineLevel="0" collapsed="false">
      <c r="B17" s="8" t="s">
        <v>24</v>
      </c>
      <c r="C17" s="7" t="s">
        <v>25</v>
      </c>
    </row>
    <row r="18" customFormat="false" ht="31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31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54</v>
      </c>
      <c r="C35" s="7" t="s">
        <v>55</v>
      </c>
    </row>
    <row r="36" customFormat="false" ht="31.5" hidden="false" customHeight="true" outlineLevel="0" collapsed="false">
      <c r="B36" s="4" t="s">
        <v>33</v>
      </c>
      <c r="C36" s="7" t="s">
        <v>56</v>
      </c>
    </row>
    <row r="37" customFormat="false" ht="19.5" hidden="false" customHeight="true" outlineLevel="0" collapsed="false">
      <c r="B37" s="4" t="s">
        <v>57</v>
      </c>
      <c r="C37" s="7" t="s">
        <v>58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Q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1"/>
    <col collapsed="false" customWidth="true" hidden="false" outlineLevel="0" max="4" min="4" style="0" width="11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14" min="9" style="0" width="11"/>
    <col collapsed="false" customWidth="true" hidden="false" outlineLevel="0" max="15" min="15" style="0" width="14"/>
    <col collapsed="false" customWidth="true" hidden="false" outlineLevel="0" max="16" min="16" style="0" width="56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5"/>
      <c r="H4" s="5"/>
      <c r="I4" s="4" t="s">
        <v>62</v>
      </c>
      <c r="J4" s="4"/>
      <c r="K4" s="4"/>
      <c r="L4" s="4"/>
      <c r="M4" s="9" t="n">
        <v>3</v>
      </c>
      <c r="N4" s="10" t="s">
        <v>63</v>
      </c>
      <c r="O4" s="10"/>
      <c r="P4" s="10"/>
      <c r="Q4" s="10"/>
    </row>
    <row r="5" customFormat="false" ht="21.75" hidden="false" customHeight="true" outlineLevel="0" collapsed="false">
      <c r="B5" s="4" t="s">
        <v>64</v>
      </c>
      <c r="C5" s="4"/>
      <c r="D5" s="5"/>
      <c r="E5" s="5"/>
      <c r="F5" s="5"/>
      <c r="G5" s="5"/>
      <c r="H5" s="5"/>
      <c r="I5" s="4" t="s">
        <v>65</v>
      </c>
      <c r="J5" s="4"/>
      <c r="K5" s="4"/>
      <c r="L5" s="4"/>
      <c r="M5" s="9" t="n">
        <v>6</v>
      </c>
      <c r="N5" s="10" t="s">
        <v>66</v>
      </c>
      <c r="O5" s="10"/>
      <c r="P5" s="10"/>
      <c r="Q5" s="10"/>
    </row>
    <row r="6" customFormat="false" ht="21.75" hidden="false" customHeight="true" outlineLevel="0" collapsed="false">
      <c r="B6" s="4" t="s">
        <v>67</v>
      </c>
      <c r="C6" s="4"/>
      <c r="D6" s="11"/>
      <c r="E6" s="11"/>
      <c r="F6" s="11"/>
      <c r="G6" s="11"/>
      <c r="H6" s="11"/>
      <c r="I6" s="4" t="s">
        <v>68</v>
      </c>
      <c r="J6" s="4"/>
      <c r="K6" s="4"/>
      <c r="L6" s="4"/>
      <c r="M6" s="9" t="n">
        <v>10</v>
      </c>
      <c r="N6" s="10" t="s">
        <v>69</v>
      </c>
      <c r="O6" s="10"/>
      <c r="P6" s="10"/>
      <c r="Q6" s="10"/>
    </row>
    <row r="7" customFormat="false" ht="21.75" hidden="false" customHeight="true" outlineLevel="0" collapsed="false">
      <c r="B7" s="4" t="s">
        <v>70</v>
      </c>
      <c r="C7" s="4"/>
      <c r="D7" s="5"/>
      <c r="E7" s="5"/>
      <c r="F7" s="5"/>
      <c r="G7" s="5"/>
      <c r="H7" s="5"/>
      <c r="I7" s="4" t="s">
        <v>71</v>
      </c>
      <c r="J7" s="4"/>
      <c r="K7" s="4"/>
      <c r="L7" s="4"/>
      <c r="M7" s="9" t="n">
        <v>1</v>
      </c>
      <c r="N7" s="10" t="s">
        <v>72</v>
      </c>
      <c r="O7" s="10"/>
      <c r="P7" s="10"/>
      <c r="Q7" s="10"/>
    </row>
    <row r="8" customFormat="false" ht="21.75" hidden="false" customHeight="true" outlineLevel="0" collapsed="false">
      <c r="B8" s="4" t="s">
        <v>73</v>
      </c>
      <c r="C8" s="4"/>
      <c r="D8" s="5"/>
      <c r="E8" s="5"/>
      <c r="F8" s="5"/>
      <c r="G8" s="5"/>
      <c r="H8" s="5"/>
      <c r="I8" s="4" t="s">
        <v>74</v>
      </c>
      <c r="J8" s="4"/>
      <c r="K8" s="4"/>
      <c r="L8" s="4"/>
      <c r="M8" s="9" t="n">
        <v>3</v>
      </c>
      <c r="N8" s="10" t="s">
        <v>75</v>
      </c>
      <c r="O8" s="10"/>
      <c r="P8" s="10"/>
      <c r="Q8" s="10"/>
    </row>
    <row r="10" customFormat="false" ht="21.75" hidden="false" customHeight="true" outlineLevel="0" collapsed="false">
      <c r="B10" s="12" t="s">
        <v>76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customFormat="false" ht="30" hidden="false" customHeight="true" outlineLevel="0" collapsed="false">
      <c r="B11" s="13" t="s">
        <v>77</v>
      </c>
      <c r="C11" s="13" t="s">
        <v>78</v>
      </c>
      <c r="D11" s="14" t="s">
        <v>79</v>
      </c>
      <c r="E11" s="14" t="s">
        <v>80</v>
      </c>
      <c r="F11" s="14" t="s">
        <v>81</v>
      </c>
      <c r="G11" s="14" t="s">
        <v>82</v>
      </c>
      <c r="H11" s="14" t="s">
        <v>50</v>
      </c>
      <c r="I11" s="14" t="s">
        <v>83</v>
      </c>
      <c r="J11" s="14" t="s">
        <v>84</v>
      </c>
      <c r="K11" s="15" t="s">
        <v>85</v>
      </c>
      <c r="L11" s="15" t="s">
        <v>86</v>
      </c>
      <c r="M11" s="15" t="s">
        <v>87</v>
      </c>
      <c r="N11" s="15" t="s">
        <v>88</v>
      </c>
      <c r="O11" s="15" t="s">
        <v>89</v>
      </c>
      <c r="P11" s="15" t="s">
        <v>90</v>
      </c>
      <c r="Q11" s="13" t="s">
        <v>91</v>
      </c>
    </row>
    <row r="12" customFormat="false" ht="27" hidden="false" customHeight="true" outlineLevel="0" collapsed="false">
      <c r="B12" s="16" t="s">
        <v>92</v>
      </c>
      <c r="C12" s="16" t="s">
        <v>93</v>
      </c>
      <c r="D12" s="16" t="s">
        <v>94</v>
      </c>
      <c r="E12" s="16" t="s">
        <v>95</v>
      </c>
      <c r="F12" s="16" t="s">
        <v>96</v>
      </c>
      <c r="G12" s="16" t="s">
        <v>96</v>
      </c>
      <c r="H12" s="16" t="s">
        <v>94</v>
      </c>
      <c r="I12" s="16" t="s">
        <v>97</v>
      </c>
      <c r="J12" s="16" t="s">
        <v>98</v>
      </c>
      <c r="K12" s="16" t="s">
        <v>94</v>
      </c>
      <c r="L12" s="16" t="s">
        <v>94</v>
      </c>
      <c r="M12" s="16" t="s">
        <v>99</v>
      </c>
      <c r="N12" s="16" t="s">
        <v>94</v>
      </c>
      <c r="O12" s="16"/>
      <c r="P12" s="16"/>
      <c r="Q12" s="16"/>
    </row>
    <row r="13" customFormat="false" ht="24" hidden="false" customHeight="true" outlineLevel="0" collapsed="false">
      <c r="B13" s="16" t="s">
        <v>100</v>
      </c>
      <c r="C13" s="10" t="s">
        <v>101</v>
      </c>
      <c r="D13" s="16" t="n">
        <v>-20</v>
      </c>
      <c r="E13" s="16" t="n">
        <v>4</v>
      </c>
      <c r="F13" s="16" t="n">
        <v>10</v>
      </c>
      <c r="G13" s="16" t="n">
        <v>150</v>
      </c>
      <c r="H13" s="16" t="n">
        <v>4</v>
      </c>
      <c r="I13" s="16" t="n">
        <v>-8</v>
      </c>
      <c r="J13" s="16" t="n">
        <v>8</v>
      </c>
      <c r="K13" s="16" t="n">
        <v>12</v>
      </c>
      <c r="L13" s="16" t="n">
        <v>9</v>
      </c>
      <c r="M13" s="16" t="n">
        <v>-13</v>
      </c>
      <c r="N13" s="16" t="n">
        <v>-1</v>
      </c>
      <c r="O13" s="16" t="s">
        <v>102</v>
      </c>
      <c r="P13" s="10" t="s">
        <v>103</v>
      </c>
      <c r="Q13" s="10"/>
    </row>
    <row r="14" customFormat="false" ht="21.75" hidden="false" customHeight="true" outlineLevel="0" collapsed="false">
      <c r="B14" s="17" t="n">
        <v>1</v>
      </c>
      <c r="C14" s="5"/>
      <c r="D14" s="18"/>
      <c r="E14" s="9"/>
      <c r="F14" s="9"/>
      <c r="G14" s="9"/>
      <c r="H14" s="18"/>
      <c r="I14" s="18"/>
      <c r="J14" s="9"/>
      <c r="K14" s="19" t="str">
        <f aca="false">IF(OR(D14="",I14=""),"",MAX(0,I14-D14))</f>
        <v/>
      </c>
      <c r="L14" s="20" t="str">
        <f aca="false">IF(AND(D14&lt;&gt;"",E14&lt;&gt;"",I14&lt;&gt;""),IF(E14&lt;1,"",ROUND(K14*(1-1/E14),1)),"")</f>
        <v/>
      </c>
      <c r="M14" s="21" t="str">
        <f aca="false">IF(L14="","",ROUND(I14-L14+IF(H14="",0,H14),1))</f>
        <v/>
      </c>
      <c r="N14" s="22" t="str">
        <f aca="false">IF(OR(J14="",L14=""),"",ROUND(J14-L14,1))</f>
        <v/>
      </c>
      <c r="O14" s="23" t="str">
        <f aca="false">IF(AND(E14&lt;&gt;"",E14&lt;1),"Razão inválida",IF(AND(J14="",L14=""),"",IF(IF(J14&lt;&gt;"",J14,L14)&gt;$M$6,"Excesso",IF(IF(H14="",0,H14)&gt;IF(J14&lt;&gt;"",J14,L14)+$M$7,"Make-up alto",IF(IF(J14&lt;&gt;"",J14,L14)&lt;0.5,"Sem ação",IF(IF(J14&lt;&gt;"",J14,L14)&lt;$M$4,"Leve",IF(IF(J14&lt;&gt;"",J14,L14)&gt;$M$5,"Forte","OK")))))))</f>
        <v/>
      </c>
      <c r="P14" s="24" t="str">
        <f aca="false">IF(O14="","",IF(O14="Razão inválida","A razão começa em 1. Digite 4 para 4:1",IF(O14="Excesso","Compressão em excesso: suba o threshold, baixe a razão e reduza o make-up",IF(O14="Make-up alto","Make-up acima da redução: baixe-o. Nas pausas, o canal fica mais perto de apitar",IF(O14="Sem ação","O sinal não chega ao threshold: baixe o threshold ou desligue o compressor",IF(O14="Leve","Atuação leve. Se a fonte ainda varia demais, baixe o threshold alguns dB",IF(O14="Forte","Redução forte: suba o threshold ou baixe a razão","Manter")))))))</f>
        <v/>
      </c>
      <c r="Q14" s="5"/>
    </row>
    <row r="15" customFormat="false" ht="21.75" hidden="false" customHeight="true" outlineLevel="0" collapsed="false">
      <c r="B15" s="17" t="n">
        <v>2</v>
      </c>
      <c r="C15" s="5"/>
      <c r="D15" s="18"/>
      <c r="E15" s="9"/>
      <c r="F15" s="9"/>
      <c r="G15" s="9"/>
      <c r="H15" s="18"/>
      <c r="I15" s="18"/>
      <c r="J15" s="9"/>
      <c r="K15" s="19" t="str">
        <f aca="false">IF(OR(D15="",I15=""),"",MAX(0,I15-D15))</f>
        <v/>
      </c>
      <c r="L15" s="20" t="str">
        <f aca="false">IF(AND(D15&lt;&gt;"",E15&lt;&gt;"",I15&lt;&gt;""),IF(E15&lt;1,"",ROUND(K15*(1-1/E15),1)),"")</f>
        <v/>
      </c>
      <c r="M15" s="21" t="str">
        <f aca="false">IF(L15="","",ROUND(I15-L15+IF(H15="",0,H15),1))</f>
        <v/>
      </c>
      <c r="N15" s="22" t="str">
        <f aca="false">IF(OR(J15="",L15=""),"",ROUND(J15-L15,1))</f>
        <v/>
      </c>
      <c r="O15" s="23" t="str">
        <f aca="false">IF(AND(E15&lt;&gt;"",E15&lt;1),"Razão inválida",IF(AND(J15="",L15=""),"",IF(IF(J15&lt;&gt;"",J15,L15)&gt;$M$6,"Excesso",IF(IF(H15="",0,H15)&gt;IF(J15&lt;&gt;"",J15,L15)+$M$7,"Make-up alto",IF(IF(J15&lt;&gt;"",J15,L15)&lt;0.5,"Sem ação",IF(IF(J15&lt;&gt;"",J15,L15)&lt;$M$4,"Leve",IF(IF(J15&lt;&gt;"",J15,L15)&gt;$M$5,"Forte","OK")))))))</f>
        <v/>
      </c>
      <c r="P15" s="24" t="str">
        <f aca="false">IF(O15="","",IF(O15="Razão inválida","A razão começa em 1. Digite 4 para 4:1",IF(O15="Excesso","Compressão em excesso: suba o threshold, baixe a razão e reduza o make-up",IF(O15="Make-up alto","Make-up acima da redução: baixe-o. Nas pausas, o canal fica mais perto de apitar",IF(O15="Sem ação","O sinal não chega ao threshold: baixe o threshold ou desligue o compressor",IF(O15="Leve","Atuação leve. Se a fonte ainda varia demais, baixe o threshold alguns dB",IF(O15="Forte","Redução forte: suba o threshold ou baixe a razão","Manter")))))))</f>
        <v/>
      </c>
      <c r="Q15" s="5"/>
    </row>
    <row r="16" customFormat="false" ht="21.75" hidden="false" customHeight="true" outlineLevel="0" collapsed="false">
      <c r="B16" s="17" t="n">
        <v>3</v>
      </c>
      <c r="C16" s="5"/>
      <c r="D16" s="18"/>
      <c r="E16" s="9"/>
      <c r="F16" s="9"/>
      <c r="G16" s="9"/>
      <c r="H16" s="18"/>
      <c r="I16" s="18"/>
      <c r="J16" s="9"/>
      <c r="K16" s="19" t="str">
        <f aca="false">IF(OR(D16="",I16=""),"",MAX(0,I16-D16))</f>
        <v/>
      </c>
      <c r="L16" s="20" t="str">
        <f aca="false">IF(AND(D16&lt;&gt;"",E16&lt;&gt;"",I16&lt;&gt;""),IF(E16&lt;1,"",ROUND(K16*(1-1/E16),1)),"")</f>
        <v/>
      </c>
      <c r="M16" s="21" t="str">
        <f aca="false">IF(L16="","",ROUND(I16-L16+IF(H16="",0,H16),1))</f>
        <v/>
      </c>
      <c r="N16" s="22" t="str">
        <f aca="false">IF(OR(J16="",L16=""),"",ROUND(J16-L16,1))</f>
        <v/>
      </c>
      <c r="O16" s="23" t="str">
        <f aca="false">IF(AND(E16&lt;&gt;"",E16&lt;1),"Razão inválida",IF(AND(J16="",L16=""),"",IF(IF(J16&lt;&gt;"",J16,L16)&gt;$M$6,"Excesso",IF(IF(H16="",0,H16)&gt;IF(J16&lt;&gt;"",J16,L16)+$M$7,"Make-up alto",IF(IF(J16&lt;&gt;"",J16,L16)&lt;0.5,"Sem ação",IF(IF(J16&lt;&gt;"",J16,L16)&lt;$M$4,"Leve",IF(IF(J16&lt;&gt;"",J16,L16)&gt;$M$5,"Forte","OK")))))))</f>
        <v/>
      </c>
      <c r="P16" s="24" t="str">
        <f aca="false">IF(O16="","",IF(O16="Razão inválida","A razão começa em 1. Digite 4 para 4:1",IF(O16="Excesso","Compressão em excesso: suba o threshold, baixe a razão e reduza o make-up",IF(O16="Make-up alto","Make-up acima da redução: baixe-o. Nas pausas, o canal fica mais perto de apitar",IF(O16="Sem ação","O sinal não chega ao threshold: baixe o threshold ou desligue o compressor",IF(O16="Leve","Atuação leve. Se a fonte ainda varia demais, baixe o threshold alguns dB",IF(O16="Forte","Redução forte: suba o threshold ou baixe a razão","Manter")))))))</f>
        <v/>
      </c>
      <c r="Q16" s="5"/>
    </row>
    <row r="17" customFormat="false" ht="21.75" hidden="false" customHeight="true" outlineLevel="0" collapsed="false">
      <c r="B17" s="17" t="n">
        <v>4</v>
      </c>
      <c r="C17" s="5"/>
      <c r="D17" s="18"/>
      <c r="E17" s="9"/>
      <c r="F17" s="9"/>
      <c r="G17" s="9"/>
      <c r="H17" s="18"/>
      <c r="I17" s="18"/>
      <c r="J17" s="9"/>
      <c r="K17" s="19" t="str">
        <f aca="false">IF(OR(D17="",I17=""),"",MAX(0,I17-D17))</f>
        <v/>
      </c>
      <c r="L17" s="20" t="str">
        <f aca="false">IF(AND(D17&lt;&gt;"",E17&lt;&gt;"",I17&lt;&gt;""),IF(E17&lt;1,"",ROUND(K17*(1-1/E17),1)),"")</f>
        <v/>
      </c>
      <c r="M17" s="21" t="str">
        <f aca="false">IF(L17="","",ROUND(I17-L17+IF(H17="",0,H17),1))</f>
        <v/>
      </c>
      <c r="N17" s="22" t="str">
        <f aca="false">IF(OR(J17="",L17=""),"",ROUND(J17-L17,1))</f>
        <v/>
      </c>
      <c r="O17" s="23" t="str">
        <f aca="false">IF(AND(E17&lt;&gt;"",E17&lt;1),"Razão inválida",IF(AND(J17="",L17=""),"",IF(IF(J17&lt;&gt;"",J17,L17)&gt;$M$6,"Excesso",IF(IF(H17="",0,H17)&gt;IF(J17&lt;&gt;"",J17,L17)+$M$7,"Make-up alto",IF(IF(J17&lt;&gt;"",J17,L17)&lt;0.5,"Sem ação",IF(IF(J17&lt;&gt;"",J17,L17)&lt;$M$4,"Leve",IF(IF(J17&lt;&gt;"",J17,L17)&gt;$M$5,"Forte","OK")))))))</f>
        <v/>
      </c>
      <c r="P17" s="24" t="str">
        <f aca="false">IF(O17="","",IF(O17="Razão inválida","A razão começa em 1. Digite 4 para 4:1",IF(O17="Excesso","Compressão em excesso: suba o threshold, baixe a razão e reduza o make-up",IF(O17="Make-up alto","Make-up acima da redução: baixe-o. Nas pausas, o canal fica mais perto de apitar",IF(O17="Sem ação","O sinal não chega ao threshold: baixe o threshold ou desligue o compressor",IF(O17="Leve","Atuação leve. Se a fonte ainda varia demais, baixe o threshold alguns dB",IF(O17="Forte","Redução forte: suba o threshold ou baixe a razão","Manter")))))))</f>
        <v/>
      </c>
      <c r="Q17" s="5"/>
    </row>
    <row r="18" customFormat="false" ht="21.75" hidden="false" customHeight="true" outlineLevel="0" collapsed="false">
      <c r="B18" s="17" t="n">
        <v>5</v>
      </c>
      <c r="C18" s="5"/>
      <c r="D18" s="18"/>
      <c r="E18" s="9"/>
      <c r="F18" s="9"/>
      <c r="G18" s="9"/>
      <c r="H18" s="18"/>
      <c r="I18" s="18"/>
      <c r="J18" s="9"/>
      <c r="K18" s="19" t="str">
        <f aca="false">IF(OR(D18="",I18=""),"",MAX(0,I18-D18))</f>
        <v/>
      </c>
      <c r="L18" s="20" t="str">
        <f aca="false">IF(AND(D18&lt;&gt;"",E18&lt;&gt;"",I18&lt;&gt;""),IF(E18&lt;1,"",ROUND(K18*(1-1/E18),1)),"")</f>
        <v/>
      </c>
      <c r="M18" s="21" t="str">
        <f aca="false">IF(L18="","",ROUND(I18-L18+IF(H18="",0,H18),1))</f>
        <v/>
      </c>
      <c r="N18" s="22" t="str">
        <f aca="false">IF(OR(J18="",L18=""),"",ROUND(J18-L18,1))</f>
        <v/>
      </c>
      <c r="O18" s="23" t="str">
        <f aca="false">IF(AND(E18&lt;&gt;"",E18&lt;1),"Razão inválida",IF(AND(J18="",L18=""),"",IF(IF(J18&lt;&gt;"",J18,L18)&gt;$M$6,"Excesso",IF(IF(H18="",0,H18)&gt;IF(J18&lt;&gt;"",J18,L18)+$M$7,"Make-up alto",IF(IF(J18&lt;&gt;"",J18,L18)&lt;0.5,"Sem ação",IF(IF(J18&lt;&gt;"",J18,L18)&lt;$M$4,"Leve",IF(IF(J18&lt;&gt;"",J18,L18)&gt;$M$5,"Forte","OK")))))))</f>
        <v/>
      </c>
      <c r="P18" s="24" t="str">
        <f aca="false">IF(O18="","",IF(O18="Razão inválida","A razão começa em 1. Digite 4 para 4:1",IF(O18="Excesso","Compressão em excesso: suba o threshold, baixe a razão e reduza o make-up",IF(O18="Make-up alto","Make-up acima da redução: baixe-o. Nas pausas, o canal fica mais perto de apitar",IF(O18="Sem ação","O sinal não chega ao threshold: baixe o threshold ou desligue o compressor",IF(O18="Leve","Atuação leve. Se a fonte ainda varia demais, baixe o threshold alguns dB",IF(O18="Forte","Redução forte: suba o threshold ou baixe a razão","Manter")))))))</f>
        <v/>
      </c>
      <c r="Q18" s="5"/>
    </row>
    <row r="19" customFormat="false" ht="21.75" hidden="false" customHeight="true" outlineLevel="0" collapsed="false">
      <c r="B19" s="17" t="n">
        <v>6</v>
      </c>
      <c r="C19" s="5"/>
      <c r="D19" s="18"/>
      <c r="E19" s="9"/>
      <c r="F19" s="9"/>
      <c r="G19" s="9"/>
      <c r="H19" s="18"/>
      <c r="I19" s="18"/>
      <c r="J19" s="9"/>
      <c r="K19" s="19" t="str">
        <f aca="false">IF(OR(D19="",I19=""),"",MAX(0,I19-D19))</f>
        <v/>
      </c>
      <c r="L19" s="20" t="str">
        <f aca="false">IF(AND(D19&lt;&gt;"",E19&lt;&gt;"",I19&lt;&gt;""),IF(E19&lt;1,"",ROUND(K19*(1-1/E19),1)),"")</f>
        <v/>
      </c>
      <c r="M19" s="21" t="str">
        <f aca="false">IF(L19="","",ROUND(I19-L19+IF(H19="",0,H19),1))</f>
        <v/>
      </c>
      <c r="N19" s="22" t="str">
        <f aca="false">IF(OR(J19="",L19=""),"",ROUND(J19-L19,1))</f>
        <v/>
      </c>
      <c r="O19" s="23" t="str">
        <f aca="false">IF(AND(E19&lt;&gt;"",E19&lt;1),"Razão inválida",IF(AND(J19="",L19=""),"",IF(IF(J19&lt;&gt;"",J19,L19)&gt;$M$6,"Excesso",IF(IF(H19="",0,H19)&gt;IF(J19&lt;&gt;"",J19,L19)+$M$7,"Make-up alto",IF(IF(J19&lt;&gt;"",J19,L19)&lt;0.5,"Sem ação",IF(IF(J19&lt;&gt;"",J19,L19)&lt;$M$4,"Leve",IF(IF(J19&lt;&gt;"",J19,L19)&gt;$M$5,"Forte","OK")))))))</f>
        <v/>
      </c>
      <c r="P19" s="24" t="str">
        <f aca="false">IF(O19="","",IF(O19="Razão inválida","A razão começa em 1. Digite 4 para 4:1",IF(O19="Excesso","Compressão em excesso: suba o threshold, baixe a razão e reduza o make-up",IF(O19="Make-up alto","Make-up acima da redução: baixe-o. Nas pausas, o canal fica mais perto de apitar",IF(O19="Sem ação","O sinal não chega ao threshold: baixe o threshold ou desligue o compressor",IF(O19="Leve","Atuação leve. Se a fonte ainda varia demais, baixe o threshold alguns dB",IF(O19="Forte","Redução forte: suba o threshold ou baixe a razão","Manter")))))))</f>
        <v/>
      </c>
      <c r="Q19" s="5"/>
    </row>
    <row r="20" customFormat="false" ht="21.75" hidden="false" customHeight="true" outlineLevel="0" collapsed="false">
      <c r="B20" s="17" t="n">
        <v>7</v>
      </c>
      <c r="C20" s="5"/>
      <c r="D20" s="18"/>
      <c r="E20" s="9"/>
      <c r="F20" s="9"/>
      <c r="G20" s="9"/>
      <c r="H20" s="18"/>
      <c r="I20" s="18"/>
      <c r="J20" s="9"/>
      <c r="K20" s="19" t="str">
        <f aca="false">IF(OR(D20="",I20=""),"",MAX(0,I20-D20))</f>
        <v/>
      </c>
      <c r="L20" s="20" t="str">
        <f aca="false">IF(AND(D20&lt;&gt;"",E20&lt;&gt;"",I20&lt;&gt;""),IF(E20&lt;1,"",ROUND(K20*(1-1/E20),1)),"")</f>
        <v/>
      </c>
      <c r="M20" s="21" t="str">
        <f aca="false">IF(L20="","",ROUND(I20-L20+IF(H20="",0,H20),1))</f>
        <v/>
      </c>
      <c r="N20" s="22" t="str">
        <f aca="false">IF(OR(J20="",L20=""),"",ROUND(J20-L20,1))</f>
        <v/>
      </c>
      <c r="O20" s="23" t="str">
        <f aca="false">IF(AND(E20&lt;&gt;"",E20&lt;1),"Razão inválida",IF(AND(J20="",L20=""),"",IF(IF(J20&lt;&gt;"",J20,L20)&gt;$M$6,"Excesso",IF(IF(H20="",0,H20)&gt;IF(J20&lt;&gt;"",J20,L20)+$M$7,"Make-up alto",IF(IF(J20&lt;&gt;"",J20,L20)&lt;0.5,"Sem ação",IF(IF(J20&lt;&gt;"",J20,L20)&lt;$M$4,"Leve",IF(IF(J20&lt;&gt;"",J20,L20)&gt;$M$5,"Forte","OK")))))))</f>
        <v/>
      </c>
      <c r="P20" s="24" t="str">
        <f aca="false">IF(O20="","",IF(O20="Razão inválida","A razão começa em 1. Digite 4 para 4:1",IF(O20="Excesso","Compressão em excesso: suba o threshold, baixe a razão e reduza o make-up",IF(O20="Make-up alto","Make-up acima da redução: baixe-o. Nas pausas, o canal fica mais perto de apitar",IF(O20="Sem ação","O sinal não chega ao threshold: baixe o threshold ou desligue o compressor",IF(O20="Leve","Atuação leve. Se a fonte ainda varia demais, baixe o threshold alguns dB",IF(O20="Forte","Redução forte: suba o threshold ou baixe a razão","Manter")))))))</f>
        <v/>
      </c>
      <c r="Q20" s="5"/>
    </row>
    <row r="21" customFormat="false" ht="21.75" hidden="false" customHeight="true" outlineLevel="0" collapsed="false">
      <c r="B21" s="17" t="n">
        <v>8</v>
      </c>
      <c r="C21" s="5"/>
      <c r="D21" s="18"/>
      <c r="E21" s="9"/>
      <c r="F21" s="9"/>
      <c r="G21" s="9"/>
      <c r="H21" s="18"/>
      <c r="I21" s="18"/>
      <c r="J21" s="9"/>
      <c r="K21" s="19" t="str">
        <f aca="false">IF(OR(D21="",I21=""),"",MAX(0,I21-D21))</f>
        <v/>
      </c>
      <c r="L21" s="20" t="str">
        <f aca="false">IF(AND(D21&lt;&gt;"",E21&lt;&gt;"",I21&lt;&gt;""),IF(E21&lt;1,"",ROUND(K21*(1-1/E21),1)),"")</f>
        <v/>
      </c>
      <c r="M21" s="21" t="str">
        <f aca="false">IF(L21="","",ROUND(I21-L21+IF(H21="",0,H21),1))</f>
        <v/>
      </c>
      <c r="N21" s="22" t="str">
        <f aca="false">IF(OR(J21="",L21=""),"",ROUND(J21-L21,1))</f>
        <v/>
      </c>
      <c r="O21" s="23" t="str">
        <f aca="false">IF(AND(E21&lt;&gt;"",E21&lt;1),"Razão inválida",IF(AND(J21="",L21=""),"",IF(IF(J21&lt;&gt;"",J21,L21)&gt;$M$6,"Excesso",IF(IF(H21="",0,H21)&gt;IF(J21&lt;&gt;"",J21,L21)+$M$7,"Make-up alto",IF(IF(J21&lt;&gt;"",J21,L21)&lt;0.5,"Sem ação",IF(IF(J21&lt;&gt;"",J21,L21)&lt;$M$4,"Leve",IF(IF(J21&lt;&gt;"",J21,L21)&gt;$M$5,"Forte","OK")))))))</f>
        <v/>
      </c>
      <c r="P21" s="24" t="str">
        <f aca="false">IF(O21="","",IF(O21="Razão inválida","A razão começa em 1. Digite 4 para 4:1",IF(O21="Excesso","Compressão em excesso: suba o threshold, baixe a razão e reduza o make-up",IF(O21="Make-up alto","Make-up acima da redução: baixe-o. Nas pausas, o canal fica mais perto de apitar",IF(O21="Sem ação","O sinal não chega ao threshold: baixe o threshold ou desligue o compressor",IF(O21="Leve","Atuação leve. Se a fonte ainda varia demais, baixe o threshold alguns dB",IF(O21="Forte","Redução forte: suba o threshold ou baixe a razão","Manter")))))))</f>
        <v/>
      </c>
      <c r="Q21" s="5"/>
    </row>
    <row r="22" customFormat="false" ht="21.75" hidden="false" customHeight="true" outlineLevel="0" collapsed="false">
      <c r="B22" s="17" t="n">
        <v>9</v>
      </c>
      <c r="C22" s="5"/>
      <c r="D22" s="18"/>
      <c r="E22" s="9"/>
      <c r="F22" s="9"/>
      <c r="G22" s="9"/>
      <c r="H22" s="18"/>
      <c r="I22" s="18"/>
      <c r="J22" s="9"/>
      <c r="K22" s="19" t="str">
        <f aca="false">IF(OR(D22="",I22=""),"",MAX(0,I22-D22))</f>
        <v/>
      </c>
      <c r="L22" s="20" t="str">
        <f aca="false">IF(AND(D22&lt;&gt;"",E22&lt;&gt;"",I22&lt;&gt;""),IF(E22&lt;1,"",ROUND(K22*(1-1/E22),1)),"")</f>
        <v/>
      </c>
      <c r="M22" s="21" t="str">
        <f aca="false">IF(L22="","",ROUND(I22-L22+IF(H22="",0,H22),1))</f>
        <v/>
      </c>
      <c r="N22" s="22" t="str">
        <f aca="false">IF(OR(J22="",L22=""),"",ROUND(J22-L22,1))</f>
        <v/>
      </c>
      <c r="O22" s="23" t="str">
        <f aca="false">IF(AND(E22&lt;&gt;"",E22&lt;1),"Razão inválida",IF(AND(J22="",L22=""),"",IF(IF(J22&lt;&gt;"",J22,L22)&gt;$M$6,"Excesso",IF(IF(H22="",0,H22)&gt;IF(J22&lt;&gt;"",J22,L22)+$M$7,"Make-up alto",IF(IF(J22&lt;&gt;"",J22,L22)&lt;0.5,"Sem ação",IF(IF(J22&lt;&gt;"",J22,L22)&lt;$M$4,"Leve",IF(IF(J22&lt;&gt;"",J22,L22)&gt;$M$5,"Forte","OK")))))))</f>
        <v/>
      </c>
      <c r="P22" s="24" t="str">
        <f aca="false">IF(O22="","",IF(O22="Razão inválida","A razão começa em 1. Digite 4 para 4:1",IF(O22="Excesso","Compressão em excesso: suba o threshold, baixe a razão e reduza o make-up",IF(O22="Make-up alto","Make-up acima da redução: baixe-o. Nas pausas, o canal fica mais perto de apitar",IF(O22="Sem ação","O sinal não chega ao threshold: baixe o threshold ou desligue o compressor",IF(O22="Leve","Atuação leve. Se a fonte ainda varia demais, baixe o threshold alguns dB",IF(O22="Forte","Redução forte: suba o threshold ou baixe a razão","Manter")))))))</f>
        <v/>
      </c>
      <c r="Q22" s="5"/>
    </row>
    <row r="23" customFormat="false" ht="21.75" hidden="false" customHeight="true" outlineLevel="0" collapsed="false">
      <c r="B23" s="17" t="n">
        <v>10</v>
      </c>
      <c r="C23" s="5"/>
      <c r="D23" s="18"/>
      <c r="E23" s="9"/>
      <c r="F23" s="9"/>
      <c r="G23" s="9"/>
      <c r="H23" s="18"/>
      <c r="I23" s="18"/>
      <c r="J23" s="9"/>
      <c r="K23" s="19" t="str">
        <f aca="false">IF(OR(D23="",I23=""),"",MAX(0,I23-D23))</f>
        <v/>
      </c>
      <c r="L23" s="20" t="str">
        <f aca="false">IF(AND(D23&lt;&gt;"",E23&lt;&gt;"",I23&lt;&gt;""),IF(E23&lt;1,"",ROUND(K23*(1-1/E23),1)),"")</f>
        <v/>
      </c>
      <c r="M23" s="21" t="str">
        <f aca="false">IF(L23="","",ROUND(I23-L23+IF(H23="",0,H23),1))</f>
        <v/>
      </c>
      <c r="N23" s="22" t="str">
        <f aca="false">IF(OR(J23="",L23=""),"",ROUND(J23-L23,1))</f>
        <v/>
      </c>
      <c r="O23" s="23" t="str">
        <f aca="false">IF(AND(E23&lt;&gt;"",E23&lt;1),"Razão inválida",IF(AND(J23="",L23=""),"",IF(IF(J23&lt;&gt;"",J23,L23)&gt;$M$6,"Excesso",IF(IF(H23="",0,H23)&gt;IF(J23&lt;&gt;"",J23,L23)+$M$7,"Make-up alto",IF(IF(J23&lt;&gt;"",J23,L23)&lt;0.5,"Sem ação",IF(IF(J23&lt;&gt;"",J23,L23)&lt;$M$4,"Leve",IF(IF(J23&lt;&gt;"",J23,L23)&gt;$M$5,"Forte","OK")))))))</f>
        <v/>
      </c>
      <c r="P23" s="24" t="str">
        <f aca="false">IF(O23="","",IF(O23="Razão inválida","A razão começa em 1. Digite 4 para 4:1",IF(O23="Excesso","Compressão em excesso: suba o threshold, baixe a razão e reduza o make-up",IF(O23="Make-up alto","Make-up acima da redução: baixe-o. Nas pausas, o canal fica mais perto de apitar",IF(O23="Sem ação","O sinal não chega ao threshold: baixe o threshold ou desligue o compressor",IF(O23="Leve","Atuação leve. Se a fonte ainda varia demais, baixe o threshold alguns dB",IF(O23="Forte","Redução forte: suba o threshold ou baixe a razão","Manter")))))))</f>
        <v/>
      </c>
      <c r="Q23" s="5"/>
    </row>
    <row r="24" customFormat="false" ht="21.75" hidden="false" customHeight="true" outlineLevel="0" collapsed="false">
      <c r="B24" s="17" t="n">
        <v>11</v>
      </c>
      <c r="C24" s="5"/>
      <c r="D24" s="18"/>
      <c r="E24" s="9"/>
      <c r="F24" s="9"/>
      <c r="G24" s="9"/>
      <c r="H24" s="18"/>
      <c r="I24" s="18"/>
      <c r="J24" s="9"/>
      <c r="K24" s="19" t="str">
        <f aca="false">IF(OR(D24="",I24=""),"",MAX(0,I24-D24))</f>
        <v/>
      </c>
      <c r="L24" s="20" t="str">
        <f aca="false">IF(AND(D24&lt;&gt;"",E24&lt;&gt;"",I24&lt;&gt;""),IF(E24&lt;1,"",ROUND(K24*(1-1/E24),1)),"")</f>
        <v/>
      </c>
      <c r="M24" s="21" t="str">
        <f aca="false">IF(L24="","",ROUND(I24-L24+IF(H24="",0,H24),1))</f>
        <v/>
      </c>
      <c r="N24" s="22" t="str">
        <f aca="false">IF(OR(J24="",L24=""),"",ROUND(J24-L24,1))</f>
        <v/>
      </c>
      <c r="O24" s="23" t="str">
        <f aca="false">IF(AND(E24&lt;&gt;"",E24&lt;1),"Razão inválida",IF(AND(J24="",L24=""),"",IF(IF(J24&lt;&gt;"",J24,L24)&gt;$M$6,"Excesso",IF(IF(H24="",0,H24)&gt;IF(J24&lt;&gt;"",J24,L24)+$M$7,"Make-up alto",IF(IF(J24&lt;&gt;"",J24,L24)&lt;0.5,"Sem ação",IF(IF(J24&lt;&gt;"",J24,L24)&lt;$M$4,"Leve",IF(IF(J24&lt;&gt;"",J24,L24)&gt;$M$5,"Forte","OK")))))))</f>
        <v/>
      </c>
      <c r="P24" s="24" t="str">
        <f aca="false">IF(O24="","",IF(O24="Razão inválida","A razão começa em 1. Digite 4 para 4:1",IF(O24="Excesso","Compressão em excesso: suba o threshold, baixe a razão e reduza o make-up",IF(O24="Make-up alto","Make-up acima da redução: baixe-o. Nas pausas, o canal fica mais perto de apitar",IF(O24="Sem ação","O sinal não chega ao threshold: baixe o threshold ou desligue o compressor",IF(O24="Leve","Atuação leve. Se a fonte ainda varia demais, baixe o threshold alguns dB",IF(O24="Forte","Redução forte: suba o threshold ou baixe a razão","Manter")))))))</f>
        <v/>
      </c>
      <c r="Q24" s="5"/>
    </row>
    <row r="25" customFormat="false" ht="21.75" hidden="false" customHeight="true" outlineLevel="0" collapsed="false">
      <c r="B25" s="17" t="n">
        <v>12</v>
      </c>
      <c r="C25" s="5"/>
      <c r="D25" s="18"/>
      <c r="E25" s="9"/>
      <c r="F25" s="9"/>
      <c r="G25" s="9"/>
      <c r="H25" s="18"/>
      <c r="I25" s="18"/>
      <c r="J25" s="9"/>
      <c r="K25" s="19" t="str">
        <f aca="false">IF(OR(D25="",I25=""),"",MAX(0,I25-D25))</f>
        <v/>
      </c>
      <c r="L25" s="20" t="str">
        <f aca="false">IF(AND(D25&lt;&gt;"",E25&lt;&gt;"",I25&lt;&gt;""),IF(E25&lt;1,"",ROUND(K25*(1-1/E25),1)),"")</f>
        <v/>
      </c>
      <c r="M25" s="21" t="str">
        <f aca="false">IF(L25="","",ROUND(I25-L25+IF(H25="",0,H25),1))</f>
        <v/>
      </c>
      <c r="N25" s="22" t="str">
        <f aca="false">IF(OR(J25="",L25=""),"",ROUND(J25-L25,1))</f>
        <v/>
      </c>
      <c r="O25" s="23" t="str">
        <f aca="false">IF(AND(E25&lt;&gt;"",E25&lt;1),"Razão inválida",IF(AND(J25="",L25=""),"",IF(IF(J25&lt;&gt;"",J25,L25)&gt;$M$6,"Excesso",IF(IF(H25="",0,H25)&gt;IF(J25&lt;&gt;"",J25,L25)+$M$7,"Make-up alto",IF(IF(J25&lt;&gt;"",J25,L25)&lt;0.5,"Sem ação",IF(IF(J25&lt;&gt;"",J25,L25)&lt;$M$4,"Leve",IF(IF(J25&lt;&gt;"",J25,L25)&gt;$M$5,"Forte","OK")))))))</f>
        <v/>
      </c>
      <c r="P25" s="24" t="str">
        <f aca="false">IF(O25="","",IF(O25="Razão inválida","A razão começa em 1. Digite 4 para 4:1",IF(O25="Excesso","Compressão em excesso: suba o threshold, baixe a razão e reduza o make-up",IF(O25="Make-up alto","Make-up acima da redução: baixe-o. Nas pausas, o canal fica mais perto de apitar",IF(O25="Sem ação","O sinal não chega ao threshold: baixe o threshold ou desligue o compressor",IF(O25="Leve","Atuação leve. Se a fonte ainda varia demais, baixe o threshold alguns dB",IF(O25="Forte","Redução forte: suba o threshold ou baixe a razão","Manter")))))))</f>
        <v/>
      </c>
      <c r="Q25" s="5"/>
    </row>
    <row r="26" customFormat="false" ht="21.75" hidden="false" customHeight="true" outlineLevel="0" collapsed="false">
      <c r="B26" s="17" t="n">
        <v>13</v>
      </c>
      <c r="C26" s="5"/>
      <c r="D26" s="18"/>
      <c r="E26" s="9"/>
      <c r="F26" s="9"/>
      <c r="G26" s="9"/>
      <c r="H26" s="18"/>
      <c r="I26" s="18"/>
      <c r="J26" s="9"/>
      <c r="K26" s="19" t="str">
        <f aca="false">IF(OR(D26="",I26=""),"",MAX(0,I26-D26))</f>
        <v/>
      </c>
      <c r="L26" s="20" t="str">
        <f aca="false">IF(AND(D26&lt;&gt;"",E26&lt;&gt;"",I26&lt;&gt;""),IF(E26&lt;1,"",ROUND(K26*(1-1/E26),1)),"")</f>
        <v/>
      </c>
      <c r="M26" s="21" t="str">
        <f aca="false">IF(L26="","",ROUND(I26-L26+IF(H26="",0,H26),1))</f>
        <v/>
      </c>
      <c r="N26" s="22" t="str">
        <f aca="false">IF(OR(J26="",L26=""),"",ROUND(J26-L26,1))</f>
        <v/>
      </c>
      <c r="O26" s="23" t="str">
        <f aca="false">IF(AND(E26&lt;&gt;"",E26&lt;1),"Razão inválida",IF(AND(J26="",L26=""),"",IF(IF(J26&lt;&gt;"",J26,L26)&gt;$M$6,"Excesso",IF(IF(H26="",0,H26)&gt;IF(J26&lt;&gt;"",J26,L26)+$M$7,"Make-up alto",IF(IF(J26&lt;&gt;"",J26,L26)&lt;0.5,"Sem ação",IF(IF(J26&lt;&gt;"",J26,L26)&lt;$M$4,"Leve",IF(IF(J26&lt;&gt;"",J26,L26)&gt;$M$5,"Forte","OK")))))))</f>
        <v/>
      </c>
      <c r="P26" s="24" t="str">
        <f aca="false">IF(O26="","",IF(O26="Razão inválida","A razão começa em 1. Digite 4 para 4:1",IF(O26="Excesso","Compressão em excesso: suba o threshold, baixe a razão e reduza o make-up",IF(O26="Make-up alto","Make-up acima da redução: baixe-o. Nas pausas, o canal fica mais perto de apitar",IF(O26="Sem ação","O sinal não chega ao threshold: baixe o threshold ou desligue o compressor",IF(O26="Leve","Atuação leve. Se a fonte ainda varia demais, baixe o threshold alguns dB",IF(O26="Forte","Redução forte: suba o threshold ou baixe a razão","Manter")))))))</f>
        <v/>
      </c>
      <c r="Q26" s="5"/>
    </row>
    <row r="27" customFormat="false" ht="21.75" hidden="false" customHeight="true" outlineLevel="0" collapsed="false">
      <c r="B27" s="17" t="n">
        <v>14</v>
      </c>
      <c r="C27" s="5"/>
      <c r="D27" s="18"/>
      <c r="E27" s="9"/>
      <c r="F27" s="9"/>
      <c r="G27" s="9"/>
      <c r="H27" s="18"/>
      <c r="I27" s="18"/>
      <c r="J27" s="9"/>
      <c r="K27" s="19" t="str">
        <f aca="false">IF(OR(D27="",I27=""),"",MAX(0,I27-D27))</f>
        <v/>
      </c>
      <c r="L27" s="20" t="str">
        <f aca="false">IF(AND(D27&lt;&gt;"",E27&lt;&gt;"",I27&lt;&gt;""),IF(E27&lt;1,"",ROUND(K27*(1-1/E27),1)),"")</f>
        <v/>
      </c>
      <c r="M27" s="21" t="str">
        <f aca="false">IF(L27="","",ROUND(I27-L27+IF(H27="",0,H27),1))</f>
        <v/>
      </c>
      <c r="N27" s="22" t="str">
        <f aca="false">IF(OR(J27="",L27=""),"",ROUND(J27-L27,1))</f>
        <v/>
      </c>
      <c r="O27" s="23" t="str">
        <f aca="false">IF(AND(E27&lt;&gt;"",E27&lt;1),"Razão inválida",IF(AND(J27="",L27=""),"",IF(IF(J27&lt;&gt;"",J27,L27)&gt;$M$6,"Excesso",IF(IF(H27="",0,H27)&gt;IF(J27&lt;&gt;"",J27,L27)+$M$7,"Make-up alto",IF(IF(J27&lt;&gt;"",J27,L27)&lt;0.5,"Sem ação",IF(IF(J27&lt;&gt;"",J27,L27)&lt;$M$4,"Leve",IF(IF(J27&lt;&gt;"",J27,L27)&gt;$M$5,"Forte","OK")))))))</f>
        <v/>
      </c>
      <c r="P27" s="24" t="str">
        <f aca="false">IF(O27="","",IF(O27="Razão inválida","A razão começa em 1. Digite 4 para 4:1",IF(O27="Excesso","Compressão em excesso: suba o threshold, baixe a razão e reduza o make-up",IF(O27="Make-up alto","Make-up acima da redução: baixe-o. Nas pausas, o canal fica mais perto de apitar",IF(O27="Sem ação","O sinal não chega ao threshold: baixe o threshold ou desligue o compressor",IF(O27="Leve","Atuação leve. Se a fonte ainda varia demais, baixe o threshold alguns dB",IF(O27="Forte","Redução forte: suba o threshold ou baixe a razão","Manter")))))))</f>
        <v/>
      </c>
      <c r="Q27" s="5"/>
    </row>
    <row r="28" customFormat="false" ht="21.75" hidden="false" customHeight="true" outlineLevel="0" collapsed="false">
      <c r="B28" s="17" t="n">
        <v>15</v>
      </c>
      <c r="C28" s="5"/>
      <c r="D28" s="18"/>
      <c r="E28" s="9"/>
      <c r="F28" s="9"/>
      <c r="G28" s="9"/>
      <c r="H28" s="18"/>
      <c r="I28" s="18"/>
      <c r="J28" s="9"/>
      <c r="K28" s="19" t="str">
        <f aca="false">IF(OR(D28="",I28=""),"",MAX(0,I28-D28))</f>
        <v/>
      </c>
      <c r="L28" s="20" t="str">
        <f aca="false">IF(AND(D28&lt;&gt;"",E28&lt;&gt;"",I28&lt;&gt;""),IF(E28&lt;1,"",ROUND(K28*(1-1/E28),1)),"")</f>
        <v/>
      </c>
      <c r="M28" s="21" t="str">
        <f aca="false">IF(L28="","",ROUND(I28-L28+IF(H28="",0,H28),1))</f>
        <v/>
      </c>
      <c r="N28" s="22" t="str">
        <f aca="false">IF(OR(J28="",L28=""),"",ROUND(J28-L28,1))</f>
        <v/>
      </c>
      <c r="O28" s="23" t="str">
        <f aca="false">IF(AND(E28&lt;&gt;"",E28&lt;1),"Razão inválida",IF(AND(J28="",L28=""),"",IF(IF(J28&lt;&gt;"",J28,L28)&gt;$M$6,"Excesso",IF(IF(H28="",0,H28)&gt;IF(J28&lt;&gt;"",J28,L28)+$M$7,"Make-up alto",IF(IF(J28&lt;&gt;"",J28,L28)&lt;0.5,"Sem ação",IF(IF(J28&lt;&gt;"",J28,L28)&lt;$M$4,"Leve",IF(IF(J28&lt;&gt;"",J28,L28)&gt;$M$5,"Forte","OK")))))))</f>
        <v/>
      </c>
      <c r="P28" s="24" t="str">
        <f aca="false">IF(O28="","",IF(O28="Razão inválida","A razão começa em 1. Digite 4 para 4:1",IF(O28="Excesso","Compressão em excesso: suba o threshold, baixe a razão e reduza o make-up",IF(O28="Make-up alto","Make-up acima da redução: baixe-o. Nas pausas, o canal fica mais perto de apitar",IF(O28="Sem ação","O sinal não chega ao threshold: baixe o threshold ou desligue o compressor",IF(O28="Leve","Atuação leve. Se a fonte ainda varia demais, baixe o threshold alguns dB",IF(O28="Forte","Redução forte: suba o threshold ou baixe a razão","Manter")))))))</f>
        <v/>
      </c>
      <c r="Q28" s="5"/>
    </row>
    <row r="29" customFormat="false" ht="21.75" hidden="false" customHeight="true" outlineLevel="0" collapsed="false">
      <c r="B29" s="17" t="n">
        <v>16</v>
      </c>
      <c r="C29" s="5"/>
      <c r="D29" s="18"/>
      <c r="E29" s="9"/>
      <c r="F29" s="9"/>
      <c r="G29" s="9"/>
      <c r="H29" s="18"/>
      <c r="I29" s="18"/>
      <c r="J29" s="9"/>
      <c r="K29" s="19" t="str">
        <f aca="false">IF(OR(D29="",I29=""),"",MAX(0,I29-D29))</f>
        <v/>
      </c>
      <c r="L29" s="20" t="str">
        <f aca="false">IF(AND(D29&lt;&gt;"",E29&lt;&gt;"",I29&lt;&gt;""),IF(E29&lt;1,"",ROUND(K29*(1-1/E29),1)),"")</f>
        <v/>
      </c>
      <c r="M29" s="21" t="str">
        <f aca="false">IF(L29="","",ROUND(I29-L29+IF(H29="",0,H29),1))</f>
        <v/>
      </c>
      <c r="N29" s="22" t="str">
        <f aca="false">IF(OR(J29="",L29=""),"",ROUND(J29-L29,1))</f>
        <v/>
      </c>
      <c r="O29" s="23" t="str">
        <f aca="false">IF(AND(E29&lt;&gt;"",E29&lt;1),"Razão inválida",IF(AND(J29="",L29=""),"",IF(IF(J29&lt;&gt;"",J29,L29)&gt;$M$6,"Excesso",IF(IF(H29="",0,H29)&gt;IF(J29&lt;&gt;"",J29,L29)+$M$7,"Make-up alto",IF(IF(J29&lt;&gt;"",J29,L29)&lt;0.5,"Sem ação",IF(IF(J29&lt;&gt;"",J29,L29)&lt;$M$4,"Leve",IF(IF(J29&lt;&gt;"",J29,L29)&gt;$M$5,"Forte","OK")))))))</f>
        <v/>
      </c>
      <c r="P29" s="24" t="str">
        <f aca="false">IF(O29="","",IF(O29="Razão inválida","A razão começa em 1. Digite 4 para 4:1",IF(O29="Excesso","Compressão em excesso: suba o threshold, baixe a razão e reduza o make-up",IF(O29="Make-up alto","Make-up acima da redução: baixe-o. Nas pausas, o canal fica mais perto de apitar",IF(O29="Sem ação","O sinal não chega ao threshold: baixe o threshold ou desligue o compressor",IF(O29="Leve","Atuação leve. Se a fonte ainda varia demais, baixe o threshold alguns dB",IF(O29="Forte","Redução forte: suba o threshold ou baixe a razão","Manter")))))))</f>
        <v/>
      </c>
      <c r="Q29" s="5"/>
    </row>
    <row r="31" customFormat="false" ht="21.75" hidden="false" customHeight="true" outlineLevel="0" collapsed="false">
      <c r="B31" s="25" t="s">
        <v>104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customFormat="false" ht="19.5" hidden="false" customHeight="true" outlineLevel="0" collapsed="false">
      <c r="B32" s="26" t="s">
        <v>105</v>
      </c>
      <c r="C32" s="26"/>
      <c r="D32" s="26"/>
      <c r="E32" s="26"/>
      <c r="F32" s="23" t="n">
        <f aca="false">COUNTA(C14:C29)</f>
        <v>0</v>
      </c>
      <c r="G32" s="23"/>
      <c r="H32" s="23"/>
    </row>
    <row r="33" customFormat="false" ht="19.5" hidden="false" customHeight="true" outlineLevel="0" collapsed="false">
      <c r="B33" s="26" t="s">
        <v>106</v>
      </c>
      <c r="C33" s="26"/>
      <c r="D33" s="26"/>
      <c r="E33" s="26"/>
      <c r="F33" s="23" t="n">
        <f aca="false">COUNTIF(O14:O29,"OK")+COUNTIF(O14:O29,"Leve")+COUNTIF(O14:O29,"Sem ação")+COUNTIF(O14:O29,"Forte")+COUNTIF(O14:O29,"Make-up alto")+COUNTIF(O14:O29,"Excesso")+COUNTIF(O14:O29,"Razão inválida")</f>
        <v>0</v>
      </c>
      <c r="G33" s="23"/>
      <c r="H33" s="23"/>
    </row>
    <row r="34" customFormat="false" ht="19.5" hidden="false" customHeight="true" outlineLevel="0" collapsed="false">
      <c r="B34" s="26" t="s">
        <v>107</v>
      </c>
      <c r="C34" s="26"/>
      <c r="D34" s="26"/>
      <c r="E34" s="26"/>
      <c r="F34" s="23" t="n">
        <f aca="false">COUNTIF(O14:O29,"OK")</f>
        <v>0</v>
      </c>
      <c r="G34" s="23"/>
      <c r="H34" s="23"/>
    </row>
    <row r="35" customFormat="false" ht="19.5" hidden="false" customHeight="true" outlineLevel="0" collapsed="false">
      <c r="B35" s="26" t="s">
        <v>108</v>
      </c>
      <c r="C35" s="26"/>
      <c r="D35" s="26"/>
      <c r="E35" s="26"/>
      <c r="F35" s="23" t="n">
        <f aca="false">COUNTIF(O14:O29,"Leve")+COUNTIF(O14:O29,"Sem ação")</f>
        <v>0</v>
      </c>
      <c r="G35" s="23"/>
      <c r="H35" s="23"/>
    </row>
    <row r="36" customFormat="false" ht="19.5" hidden="false" customHeight="true" outlineLevel="0" collapsed="false">
      <c r="B36" s="26" t="s">
        <v>109</v>
      </c>
      <c r="C36" s="26"/>
      <c r="D36" s="26"/>
      <c r="E36" s="26"/>
      <c r="F36" s="23" t="n">
        <f aca="false">COUNTIF(O14:O29,"Forte")+COUNTIF(O14:O29,"Make-up alto")</f>
        <v>0</v>
      </c>
      <c r="G36" s="23"/>
      <c r="H36" s="23"/>
    </row>
    <row r="37" customFormat="false" ht="19.5" hidden="false" customHeight="true" outlineLevel="0" collapsed="false">
      <c r="B37" s="26" t="s">
        <v>110</v>
      </c>
      <c r="C37" s="26"/>
      <c r="D37" s="26"/>
      <c r="E37" s="26"/>
      <c r="F37" s="23" t="n">
        <f aca="false">COUNTIF(O14:O29,"Excesso")</f>
        <v>0</v>
      </c>
      <c r="G37" s="23"/>
      <c r="H37" s="23"/>
    </row>
    <row r="38" customFormat="false" ht="21.75" hidden="false" customHeight="true" outlineLevel="0" collapsed="false">
      <c r="B38" s="26" t="s">
        <v>111</v>
      </c>
      <c r="C38" s="26"/>
      <c r="D38" s="26"/>
      <c r="E38" s="26"/>
      <c r="F38" s="27" t="str">
        <f aca="false">IF(COUNT(M4:M8)&lt;5,"Informe os cinco valores de referência",IF(F33=0,"Preencha threshold, razão e pico de entrada, ou a redução lida",IF(F37+COUNTIF(O14:O29,"Razão inválida")&gt;0,"Há compressão em excesso: corrija antes do evento",IF(F36&gt;0,"Há compressor forte ou com make-up alto: confira",IF(F35&gt;0,"Há compressor que quase não atua: veja se ele é necessário","OK")))))</f>
        <v>Preencha threshold, razão e pico de entrada, ou a redução lida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40" customFormat="false" ht="21.75" hidden="false" customHeight="true" outlineLevel="0" collapsed="false">
      <c r="B40" s="28" t="s">
        <v>112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customFormat="false" ht="30" hidden="false" customHeight="true" outlineLevel="0" collapsed="false">
      <c r="B41" s="13" t="s">
        <v>77</v>
      </c>
      <c r="C41" s="13" t="s">
        <v>78</v>
      </c>
      <c r="D41" s="15" t="s">
        <v>79</v>
      </c>
      <c r="E41" s="15" t="s">
        <v>113</v>
      </c>
      <c r="F41" s="15" t="s">
        <v>81</v>
      </c>
      <c r="G41" s="15" t="s">
        <v>114</v>
      </c>
      <c r="H41" s="15" t="s">
        <v>82</v>
      </c>
      <c r="I41" s="15" t="s">
        <v>115</v>
      </c>
      <c r="J41" s="15" t="s">
        <v>116</v>
      </c>
      <c r="K41" s="13" t="s">
        <v>117</v>
      </c>
      <c r="L41" s="13" t="s">
        <v>118</v>
      </c>
      <c r="M41" s="13" t="s">
        <v>119</v>
      </c>
      <c r="N41" s="13" t="s">
        <v>120</v>
      </c>
      <c r="O41" s="13" t="s">
        <v>89</v>
      </c>
      <c r="P41" s="13" t="s">
        <v>90</v>
      </c>
      <c r="Q41" s="13" t="s">
        <v>91</v>
      </c>
    </row>
    <row r="42" customFormat="false" ht="27" hidden="false" customHeight="true" outlineLevel="0" collapsed="false">
      <c r="B42" s="16" t="s">
        <v>92</v>
      </c>
      <c r="C42" s="16" t="s">
        <v>121</v>
      </c>
      <c r="D42" s="16" t="s">
        <v>94</v>
      </c>
      <c r="E42" s="16" t="s">
        <v>94</v>
      </c>
      <c r="F42" s="16" t="s">
        <v>96</v>
      </c>
      <c r="G42" s="16" t="s">
        <v>96</v>
      </c>
      <c r="H42" s="16" t="s">
        <v>96</v>
      </c>
      <c r="I42" s="16" t="s">
        <v>122</v>
      </c>
      <c r="J42" s="16" t="s">
        <v>122</v>
      </c>
      <c r="K42" s="16" t="s">
        <v>123</v>
      </c>
      <c r="L42" s="16" t="s">
        <v>124</v>
      </c>
      <c r="M42" s="16" t="s">
        <v>125</v>
      </c>
      <c r="N42" s="16" t="s">
        <v>126</v>
      </c>
      <c r="O42" s="16"/>
      <c r="P42" s="16"/>
      <c r="Q42" s="16"/>
    </row>
    <row r="43" customFormat="false" ht="21.75" hidden="false" customHeight="true" outlineLevel="0" collapsed="false">
      <c r="B43" s="17" t="n">
        <v>1</v>
      </c>
      <c r="C43" s="5"/>
      <c r="D43" s="18"/>
      <c r="E43" s="9"/>
      <c r="F43" s="9"/>
      <c r="G43" s="9"/>
      <c r="H43" s="9"/>
      <c r="I43" s="18"/>
      <c r="J43" s="18"/>
      <c r="K43" s="19" t="str">
        <f aca="false">IF(AND(I43&lt;&gt;"",J43&lt;&gt;""),J43-I43,"")</f>
        <v/>
      </c>
      <c r="L43" s="29" t="str">
        <f aca="false">IF(AND(D43&lt;&gt;"",I43&lt;&gt;""),D43-I43,"")</f>
        <v/>
      </c>
      <c r="M43" s="29" t="str">
        <f aca="false">IF(AND(D43&lt;&gt;"",J43&lt;&gt;""),J43-D43,"")</f>
        <v/>
      </c>
      <c r="N43" s="30" t="str">
        <f aca="false">IF(AND(I43&lt;&gt;"",J43&lt;&gt;""),IF(K43&lt;2*$M$8,"",ROUND((I43+J43)/2,0)),"")</f>
        <v/>
      </c>
      <c r="O43" s="23" t="str">
        <f aca="false">IF(AND(I43&lt;&gt;"",J43&lt;&gt;""),IF(K43&lt;2*$M$8,"Sem janela",IF(D43="","Defina",IF(D43&lt;=I43,"Abre à toa",IF(D43&gt;=J43,"Corta o som",IF(OR(D43-I43&lt;$M$8,J43-D43&lt;$M$8),"Margem curta","OK"))))),"")</f>
        <v/>
      </c>
      <c r="P43" s="24" t="str">
        <f aca="false">IF(O43="","",IF(O43="Sem janela","O vazamento é quase tão forte quanto a fonte: aproxime o microfone ou fique sem gate",IF(O43="Defina","Comece pelo threshold sugerido e confirme de ouvido",IF(O43="Abre à toa","O vazamento abre o gate: suba o threshold para perto de "&amp;N43&amp;" dB",IF(O43="Corta o som","O gate engole os golpes fracos: baixe o threshold para perto de "&amp;N43&amp;" dB",IF(O43="Margem curta","Threshold perto demais de um dos lados: leve para perto de "&amp;N43&amp;" dB","Manter"))))))</f>
        <v/>
      </c>
      <c r="Q43" s="5"/>
    </row>
    <row r="44" customFormat="false" ht="21.75" hidden="false" customHeight="true" outlineLevel="0" collapsed="false">
      <c r="B44" s="17" t="n">
        <v>2</v>
      </c>
      <c r="C44" s="5"/>
      <c r="D44" s="18"/>
      <c r="E44" s="9"/>
      <c r="F44" s="9"/>
      <c r="G44" s="9"/>
      <c r="H44" s="9"/>
      <c r="I44" s="18"/>
      <c r="J44" s="18"/>
      <c r="K44" s="19" t="str">
        <f aca="false">IF(AND(I44&lt;&gt;"",J44&lt;&gt;""),J44-I44,"")</f>
        <v/>
      </c>
      <c r="L44" s="29" t="str">
        <f aca="false">IF(AND(D44&lt;&gt;"",I44&lt;&gt;""),D44-I44,"")</f>
        <v/>
      </c>
      <c r="M44" s="29" t="str">
        <f aca="false">IF(AND(D44&lt;&gt;"",J44&lt;&gt;""),J44-D44,"")</f>
        <v/>
      </c>
      <c r="N44" s="30" t="str">
        <f aca="false">IF(AND(I44&lt;&gt;"",J44&lt;&gt;""),IF(K44&lt;2*$M$8,"",ROUND((I44+J44)/2,0)),"")</f>
        <v/>
      </c>
      <c r="O44" s="23" t="str">
        <f aca="false">IF(AND(I44&lt;&gt;"",J44&lt;&gt;""),IF(K44&lt;2*$M$8,"Sem janela",IF(D44="","Defina",IF(D44&lt;=I44,"Abre à toa",IF(D44&gt;=J44,"Corta o som",IF(OR(D44-I44&lt;$M$8,J44-D44&lt;$M$8),"Margem curta","OK"))))),"")</f>
        <v/>
      </c>
      <c r="P44" s="24" t="str">
        <f aca="false">IF(O44="","",IF(O44="Sem janela","O vazamento é quase tão forte quanto a fonte: aproxime o microfone ou fique sem gate",IF(O44="Defina","Comece pelo threshold sugerido e confirme de ouvido",IF(O44="Abre à toa","O vazamento abre o gate: suba o threshold para perto de "&amp;N44&amp;" dB",IF(O44="Corta o som","O gate engole os golpes fracos: baixe o threshold para perto de "&amp;N44&amp;" dB",IF(O44="Margem curta","Threshold perto demais de um dos lados: leve para perto de "&amp;N44&amp;" dB","Manter"))))))</f>
        <v/>
      </c>
      <c r="Q44" s="5"/>
    </row>
    <row r="45" customFormat="false" ht="21.75" hidden="false" customHeight="true" outlineLevel="0" collapsed="false">
      <c r="B45" s="17" t="n">
        <v>3</v>
      </c>
      <c r="C45" s="5"/>
      <c r="D45" s="18"/>
      <c r="E45" s="9"/>
      <c r="F45" s="9"/>
      <c r="G45" s="9"/>
      <c r="H45" s="9"/>
      <c r="I45" s="18"/>
      <c r="J45" s="18"/>
      <c r="K45" s="19" t="str">
        <f aca="false">IF(AND(I45&lt;&gt;"",J45&lt;&gt;""),J45-I45,"")</f>
        <v/>
      </c>
      <c r="L45" s="29" t="str">
        <f aca="false">IF(AND(D45&lt;&gt;"",I45&lt;&gt;""),D45-I45,"")</f>
        <v/>
      </c>
      <c r="M45" s="29" t="str">
        <f aca="false">IF(AND(D45&lt;&gt;"",J45&lt;&gt;""),J45-D45,"")</f>
        <v/>
      </c>
      <c r="N45" s="30" t="str">
        <f aca="false">IF(AND(I45&lt;&gt;"",J45&lt;&gt;""),IF(K45&lt;2*$M$8,"",ROUND((I45+J45)/2,0)),"")</f>
        <v/>
      </c>
      <c r="O45" s="23" t="str">
        <f aca="false">IF(AND(I45&lt;&gt;"",J45&lt;&gt;""),IF(K45&lt;2*$M$8,"Sem janela",IF(D45="","Defina",IF(D45&lt;=I45,"Abre à toa",IF(D45&gt;=J45,"Corta o som",IF(OR(D45-I45&lt;$M$8,J45-D45&lt;$M$8),"Margem curta","OK"))))),"")</f>
        <v/>
      </c>
      <c r="P45" s="24" t="str">
        <f aca="false">IF(O45="","",IF(O45="Sem janela","O vazamento é quase tão forte quanto a fonte: aproxime o microfone ou fique sem gate",IF(O45="Defina","Comece pelo threshold sugerido e confirme de ouvido",IF(O45="Abre à toa","O vazamento abre o gate: suba o threshold para perto de "&amp;N45&amp;" dB",IF(O45="Corta o som","O gate engole os golpes fracos: baixe o threshold para perto de "&amp;N45&amp;" dB",IF(O45="Margem curta","Threshold perto demais de um dos lados: leve para perto de "&amp;N45&amp;" dB","Manter"))))))</f>
        <v/>
      </c>
      <c r="Q45" s="5"/>
    </row>
    <row r="46" customFormat="false" ht="21.75" hidden="false" customHeight="true" outlineLevel="0" collapsed="false">
      <c r="B46" s="17" t="n">
        <v>4</v>
      </c>
      <c r="C46" s="5"/>
      <c r="D46" s="18"/>
      <c r="E46" s="9"/>
      <c r="F46" s="9"/>
      <c r="G46" s="9"/>
      <c r="H46" s="9"/>
      <c r="I46" s="18"/>
      <c r="J46" s="18"/>
      <c r="K46" s="19" t="str">
        <f aca="false">IF(AND(I46&lt;&gt;"",J46&lt;&gt;""),J46-I46,"")</f>
        <v/>
      </c>
      <c r="L46" s="29" t="str">
        <f aca="false">IF(AND(D46&lt;&gt;"",I46&lt;&gt;""),D46-I46,"")</f>
        <v/>
      </c>
      <c r="M46" s="29" t="str">
        <f aca="false">IF(AND(D46&lt;&gt;"",J46&lt;&gt;""),J46-D46,"")</f>
        <v/>
      </c>
      <c r="N46" s="30" t="str">
        <f aca="false">IF(AND(I46&lt;&gt;"",J46&lt;&gt;""),IF(K46&lt;2*$M$8,"",ROUND((I46+J46)/2,0)),"")</f>
        <v/>
      </c>
      <c r="O46" s="23" t="str">
        <f aca="false">IF(AND(I46&lt;&gt;"",J46&lt;&gt;""),IF(K46&lt;2*$M$8,"Sem janela",IF(D46="","Defina",IF(D46&lt;=I46,"Abre à toa",IF(D46&gt;=J46,"Corta o som",IF(OR(D46-I46&lt;$M$8,J46-D46&lt;$M$8),"Margem curta","OK"))))),"")</f>
        <v/>
      </c>
      <c r="P46" s="24" t="str">
        <f aca="false">IF(O46="","",IF(O46="Sem janela","O vazamento é quase tão forte quanto a fonte: aproxime o microfone ou fique sem gate",IF(O46="Defina","Comece pelo threshold sugerido e confirme de ouvido",IF(O46="Abre à toa","O vazamento abre o gate: suba o threshold para perto de "&amp;N46&amp;" dB",IF(O46="Corta o som","O gate engole os golpes fracos: baixe o threshold para perto de "&amp;N46&amp;" dB",IF(O46="Margem curta","Threshold perto demais de um dos lados: leve para perto de "&amp;N46&amp;" dB","Manter"))))))</f>
        <v/>
      </c>
      <c r="Q46" s="5"/>
    </row>
    <row r="47" customFormat="false" ht="21.75" hidden="false" customHeight="true" outlineLevel="0" collapsed="false">
      <c r="B47" s="17" t="n">
        <v>5</v>
      </c>
      <c r="C47" s="5"/>
      <c r="D47" s="18"/>
      <c r="E47" s="9"/>
      <c r="F47" s="9"/>
      <c r="G47" s="9"/>
      <c r="H47" s="9"/>
      <c r="I47" s="18"/>
      <c r="J47" s="18"/>
      <c r="K47" s="19" t="str">
        <f aca="false">IF(AND(I47&lt;&gt;"",J47&lt;&gt;""),J47-I47,"")</f>
        <v/>
      </c>
      <c r="L47" s="29" t="str">
        <f aca="false">IF(AND(D47&lt;&gt;"",I47&lt;&gt;""),D47-I47,"")</f>
        <v/>
      </c>
      <c r="M47" s="29" t="str">
        <f aca="false">IF(AND(D47&lt;&gt;"",J47&lt;&gt;""),J47-D47,"")</f>
        <v/>
      </c>
      <c r="N47" s="30" t="str">
        <f aca="false">IF(AND(I47&lt;&gt;"",J47&lt;&gt;""),IF(K47&lt;2*$M$8,"",ROUND((I47+J47)/2,0)),"")</f>
        <v/>
      </c>
      <c r="O47" s="23" t="str">
        <f aca="false">IF(AND(I47&lt;&gt;"",J47&lt;&gt;""),IF(K47&lt;2*$M$8,"Sem janela",IF(D47="","Defina",IF(D47&lt;=I47,"Abre à toa",IF(D47&gt;=J47,"Corta o som",IF(OR(D47-I47&lt;$M$8,J47-D47&lt;$M$8),"Margem curta","OK"))))),"")</f>
        <v/>
      </c>
      <c r="P47" s="24" t="str">
        <f aca="false">IF(O47="","",IF(O47="Sem janela","O vazamento é quase tão forte quanto a fonte: aproxime o microfone ou fique sem gate",IF(O47="Defina","Comece pelo threshold sugerido e confirme de ouvido",IF(O47="Abre à toa","O vazamento abre o gate: suba o threshold para perto de "&amp;N47&amp;" dB",IF(O47="Corta o som","O gate engole os golpes fracos: baixe o threshold para perto de "&amp;N47&amp;" dB",IF(O47="Margem curta","Threshold perto demais de um dos lados: leve para perto de "&amp;N47&amp;" dB","Manter"))))))</f>
        <v/>
      </c>
      <c r="Q47" s="5"/>
    </row>
    <row r="48" customFormat="false" ht="21.75" hidden="false" customHeight="true" outlineLevel="0" collapsed="false">
      <c r="B48" s="17" t="n">
        <v>6</v>
      </c>
      <c r="C48" s="5"/>
      <c r="D48" s="18"/>
      <c r="E48" s="9"/>
      <c r="F48" s="9"/>
      <c r="G48" s="9"/>
      <c r="H48" s="9"/>
      <c r="I48" s="18"/>
      <c r="J48" s="18"/>
      <c r="K48" s="19" t="str">
        <f aca="false">IF(AND(I48&lt;&gt;"",J48&lt;&gt;""),J48-I48,"")</f>
        <v/>
      </c>
      <c r="L48" s="29" t="str">
        <f aca="false">IF(AND(D48&lt;&gt;"",I48&lt;&gt;""),D48-I48,"")</f>
        <v/>
      </c>
      <c r="M48" s="29" t="str">
        <f aca="false">IF(AND(D48&lt;&gt;"",J48&lt;&gt;""),J48-D48,"")</f>
        <v/>
      </c>
      <c r="N48" s="30" t="str">
        <f aca="false">IF(AND(I48&lt;&gt;"",J48&lt;&gt;""),IF(K48&lt;2*$M$8,"",ROUND((I48+J48)/2,0)),"")</f>
        <v/>
      </c>
      <c r="O48" s="23" t="str">
        <f aca="false">IF(AND(I48&lt;&gt;"",J48&lt;&gt;""),IF(K48&lt;2*$M$8,"Sem janela",IF(D48="","Defina",IF(D48&lt;=I48,"Abre à toa",IF(D48&gt;=J48,"Corta o som",IF(OR(D48-I48&lt;$M$8,J48-D48&lt;$M$8),"Margem curta","OK"))))),"")</f>
        <v/>
      </c>
      <c r="P48" s="24" t="str">
        <f aca="false">IF(O48="","",IF(O48="Sem janela","O vazamento é quase tão forte quanto a fonte: aproxime o microfone ou fique sem gate",IF(O48="Defina","Comece pelo threshold sugerido e confirme de ouvido",IF(O48="Abre à toa","O vazamento abre o gate: suba o threshold para perto de "&amp;N48&amp;" dB",IF(O48="Corta o som","O gate engole os golpes fracos: baixe o threshold para perto de "&amp;N48&amp;" dB",IF(O48="Margem curta","Threshold perto demais de um dos lados: leve para perto de "&amp;N48&amp;" dB","Manter"))))))</f>
        <v/>
      </c>
      <c r="Q48" s="5"/>
    </row>
    <row r="49" customFormat="false" ht="21.75" hidden="false" customHeight="true" outlineLevel="0" collapsed="false">
      <c r="B49" s="17" t="n">
        <v>7</v>
      </c>
      <c r="C49" s="5"/>
      <c r="D49" s="18"/>
      <c r="E49" s="9"/>
      <c r="F49" s="9"/>
      <c r="G49" s="9"/>
      <c r="H49" s="9"/>
      <c r="I49" s="18"/>
      <c r="J49" s="18"/>
      <c r="K49" s="19" t="str">
        <f aca="false">IF(AND(I49&lt;&gt;"",J49&lt;&gt;""),J49-I49,"")</f>
        <v/>
      </c>
      <c r="L49" s="29" t="str">
        <f aca="false">IF(AND(D49&lt;&gt;"",I49&lt;&gt;""),D49-I49,"")</f>
        <v/>
      </c>
      <c r="M49" s="29" t="str">
        <f aca="false">IF(AND(D49&lt;&gt;"",J49&lt;&gt;""),J49-D49,"")</f>
        <v/>
      </c>
      <c r="N49" s="30" t="str">
        <f aca="false">IF(AND(I49&lt;&gt;"",J49&lt;&gt;""),IF(K49&lt;2*$M$8,"",ROUND((I49+J49)/2,0)),"")</f>
        <v/>
      </c>
      <c r="O49" s="23" t="str">
        <f aca="false">IF(AND(I49&lt;&gt;"",J49&lt;&gt;""),IF(K49&lt;2*$M$8,"Sem janela",IF(D49="","Defina",IF(D49&lt;=I49,"Abre à toa",IF(D49&gt;=J49,"Corta o som",IF(OR(D49-I49&lt;$M$8,J49-D49&lt;$M$8),"Margem curta","OK"))))),"")</f>
        <v/>
      </c>
      <c r="P49" s="24" t="str">
        <f aca="false">IF(O49="","",IF(O49="Sem janela","O vazamento é quase tão forte quanto a fonte: aproxime o microfone ou fique sem gate",IF(O49="Defina","Comece pelo threshold sugerido e confirme de ouvido",IF(O49="Abre à toa","O vazamento abre o gate: suba o threshold para perto de "&amp;N49&amp;" dB",IF(O49="Corta o som","O gate engole os golpes fracos: baixe o threshold para perto de "&amp;N49&amp;" dB",IF(O49="Margem curta","Threshold perto demais de um dos lados: leve para perto de "&amp;N49&amp;" dB","Manter"))))))</f>
        <v/>
      </c>
      <c r="Q49" s="5"/>
    </row>
    <row r="50" customFormat="false" ht="21.75" hidden="false" customHeight="true" outlineLevel="0" collapsed="false">
      <c r="B50" s="17" t="n">
        <v>8</v>
      </c>
      <c r="C50" s="5"/>
      <c r="D50" s="18"/>
      <c r="E50" s="9"/>
      <c r="F50" s="9"/>
      <c r="G50" s="9"/>
      <c r="H50" s="9"/>
      <c r="I50" s="18"/>
      <c r="J50" s="18"/>
      <c r="K50" s="19" t="str">
        <f aca="false">IF(AND(I50&lt;&gt;"",J50&lt;&gt;""),J50-I50,"")</f>
        <v/>
      </c>
      <c r="L50" s="29" t="str">
        <f aca="false">IF(AND(D50&lt;&gt;"",I50&lt;&gt;""),D50-I50,"")</f>
        <v/>
      </c>
      <c r="M50" s="29" t="str">
        <f aca="false">IF(AND(D50&lt;&gt;"",J50&lt;&gt;""),J50-D50,"")</f>
        <v/>
      </c>
      <c r="N50" s="30" t="str">
        <f aca="false">IF(AND(I50&lt;&gt;"",J50&lt;&gt;""),IF(K50&lt;2*$M$8,"",ROUND((I50+J50)/2,0)),"")</f>
        <v/>
      </c>
      <c r="O50" s="23" t="str">
        <f aca="false">IF(AND(I50&lt;&gt;"",J50&lt;&gt;""),IF(K50&lt;2*$M$8,"Sem janela",IF(D50="","Defina",IF(D50&lt;=I50,"Abre à toa",IF(D50&gt;=J50,"Corta o som",IF(OR(D50-I50&lt;$M$8,J50-D50&lt;$M$8),"Margem curta","OK"))))),"")</f>
        <v/>
      </c>
      <c r="P50" s="24" t="str">
        <f aca="false">IF(O50="","",IF(O50="Sem janela","O vazamento é quase tão forte quanto a fonte: aproxime o microfone ou fique sem gate",IF(O50="Defina","Comece pelo threshold sugerido e confirme de ouvido",IF(O50="Abre à toa","O vazamento abre o gate: suba o threshold para perto de "&amp;N50&amp;" dB",IF(O50="Corta o som","O gate engole os golpes fracos: baixe o threshold para perto de "&amp;N50&amp;" dB",IF(O50="Margem curta","Threshold perto demais de um dos lados: leve para perto de "&amp;N50&amp;" dB","Manter"))))))</f>
        <v/>
      </c>
      <c r="Q50" s="5"/>
    </row>
    <row r="51" customFormat="false" ht="15" hidden="false" customHeight="true" outlineLevel="0" collapsed="false">
      <c r="B51" s="10" t="s">
        <v>127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</sheetData>
  <mergeCells count="40">
    <mergeCell ref="B1:Q1"/>
    <mergeCell ref="B2:Q2"/>
    <mergeCell ref="B4:C4"/>
    <mergeCell ref="D4:H4"/>
    <mergeCell ref="I4:L4"/>
    <mergeCell ref="N4:Q4"/>
    <mergeCell ref="B5:C5"/>
    <mergeCell ref="D5:H5"/>
    <mergeCell ref="I5:L5"/>
    <mergeCell ref="N5:Q5"/>
    <mergeCell ref="B6:C6"/>
    <mergeCell ref="D6:H6"/>
    <mergeCell ref="I6:L6"/>
    <mergeCell ref="N6:Q6"/>
    <mergeCell ref="B7:C7"/>
    <mergeCell ref="D7:H7"/>
    <mergeCell ref="I7:L7"/>
    <mergeCell ref="N7:Q7"/>
    <mergeCell ref="B8:C8"/>
    <mergeCell ref="D8:H8"/>
    <mergeCell ref="I8:L8"/>
    <mergeCell ref="N8:Q8"/>
    <mergeCell ref="B10:Q10"/>
    <mergeCell ref="B31:Q31"/>
    <mergeCell ref="B32:E32"/>
    <mergeCell ref="F32:H32"/>
    <mergeCell ref="B33:E33"/>
    <mergeCell ref="F33:H33"/>
    <mergeCell ref="B34:E34"/>
    <mergeCell ref="F34:H34"/>
    <mergeCell ref="B35:E35"/>
    <mergeCell ref="F35:H35"/>
    <mergeCell ref="B36:E36"/>
    <mergeCell ref="F36:H36"/>
    <mergeCell ref="B37:E37"/>
    <mergeCell ref="F37:H37"/>
    <mergeCell ref="B38:E38"/>
    <mergeCell ref="F38:P38"/>
    <mergeCell ref="B40:Q40"/>
    <mergeCell ref="B51:Q51"/>
  </mergeCells>
  <conditionalFormatting sqref="O14:O2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"Leve"</formula>
    </cfRule>
    <cfRule type="cellIs" priority="4" operator="equal" aboveAverage="0" equalAverage="0" bottom="0" percent="0" rank="0" text="" dxfId="1">
      <formula>"Forte"</formula>
    </cfRule>
    <cfRule type="cellIs" priority="5" operator="equal" aboveAverage="0" equalAverage="0" bottom="0" percent="0" rank="0" text="" dxfId="1">
      <formula>"Sem ação"</formula>
    </cfRule>
    <cfRule type="cellIs" priority="6" operator="equal" aboveAverage="0" equalAverage="0" bottom="0" percent="0" rank="0" text="" dxfId="1">
      <formula>"Make-up alto"</formula>
    </cfRule>
    <cfRule type="cellIs" priority="7" operator="equal" aboveAverage="0" equalAverage="0" bottom="0" percent="0" rank="0" text="" dxfId="2">
      <formula>"Excesso"</formula>
    </cfRule>
    <cfRule type="cellIs" priority="8" operator="equal" aboveAverage="0" equalAverage="0" bottom="0" percent="0" rank="0" text="" dxfId="2">
      <formula>"Razão inválida"</formula>
    </cfRule>
  </conditionalFormatting>
  <conditionalFormatting sqref="F38:P38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1">
      <formula>"OK"</formula>
    </cfRule>
  </conditionalFormatting>
  <conditionalFormatting sqref="O43:O50">
    <cfRule type="cellIs" priority="11" operator="equal" aboveAverage="0" equalAverage="0" bottom="0" percent="0" rank="0" text="" dxfId="0">
      <formula>"OK"</formula>
    </cfRule>
    <cfRule type="cellIs" priority="12" operator="equal" aboveAverage="0" equalAverage="0" bottom="0" percent="0" rank="0" text="" dxfId="1">
      <formula>"Margem curta"</formula>
    </cfRule>
    <cfRule type="cellIs" priority="13" operator="equal" aboveAverage="0" equalAverage="0" bottom="0" percent="0" rank="0" text="" dxfId="1">
      <formula>"Defina"</formula>
    </cfRule>
    <cfRule type="cellIs" priority="14" operator="equal" aboveAverage="0" equalAverage="0" bottom="0" percent="0" rank="0" text="" dxfId="2">
      <formula>"Abre à toa"</formula>
    </cfRule>
    <cfRule type="cellIs" priority="15" operator="equal" aboveAverage="0" equalAverage="0" bottom="0" percent="0" rank="0" text="" dxfId="2">
      <formula>"Corta o som"</formula>
    </cfRule>
    <cfRule type="cellIs" priority="16" operator="equal" aboveAverage="0" equalAverage="0" bottom="0" percent="0" rank="0" text="" dxfId="2">
      <formula>"Sem janela"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4:M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J2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43:J5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58"/>
    <col collapsed="false" customWidth="true" hidden="false" outlineLevel="0" max="14" min="14" style="0" width="2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61</v>
      </c>
      <c r="C4" s="4"/>
      <c r="D4" s="5"/>
      <c r="E4" s="5"/>
      <c r="F4" s="5"/>
      <c r="G4" s="5"/>
      <c r="H4" s="4" t="s">
        <v>130</v>
      </c>
      <c r="I4" s="4"/>
      <c r="J4" s="4"/>
      <c r="K4" s="9" t="n">
        <v>2.5</v>
      </c>
      <c r="L4" s="10" t="s">
        <v>131</v>
      </c>
      <c r="M4" s="10"/>
      <c r="N4" s="10"/>
    </row>
    <row r="5" customFormat="false" ht="21.75" hidden="false" customHeight="true" outlineLevel="0" collapsed="false">
      <c r="B5" s="4" t="s">
        <v>132</v>
      </c>
      <c r="C5" s="4"/>
      <c r="D5" s="5"/>
      <c r="E5" s="5"/>
      <c r="F5" s="5"/>
      <c r="G5" s="5"/>
      <c r="H5" s="4" t="s">
        <v>133</v>
      </c>
      <c r="I5" s="4"/>
      <c r="J5" s="4"/>
      <c r="K5" s="9" t="n">
        <v>40</v>
      </c>
      <c r="L5" s="10" t="s">
        <v>134</v>
      </c>
      <c r="M5" s="10"/>
      <c r="N5" s="10"/>
    </row>
    <row r="6" customFormat="false" ht="21.75" hidden="false" customHeight="true" outlineLevel="0" collapsed="false">
      <c r="B6" s="4" t="s">
        <v>67</v>
      </c>
      <c r="C6" s="4"/>
      <c r="D6" s="11"/>
      <c r="E6" s="11"/>
      <c r="F6" s="11"/>
      <c r="G6" s="11"/>
      <c r="H6" s="4" t="s">
        <v>135</v>
      </c>
      <c r="I6" s="4"/>
      <c r="J6" s="4"/>
      <c r="K6" s="9" t="n">
        <v>0</v>
      </c>
      <c r="L6" s="10" t="s">
        <v>136</v>
      </c>
      <c r="M6" s="10"/>
      <c r="N6" s="10"/>
    </row>
    <row r="7" customFormat="false" ht="21.75" hidden="false" customHeight="true" outlineLevel="0" collapsed="false">
      <c r="B7" s="4" t="s">
        <v>70</v>
      </c>
      <c r="C7" s="4"/>
      <c r="D7" s="5"/>
      <c r="E7" s="5"/>
      <c r="F7" s="5"/>
      <c r="G7" s="5"/>
      <c r="H7" s="4" t="s">
        <v>137</v>
      </c>
      <c r="I7" s="4"/>
      <c r="J7" s="4"/>
      <c r="K7" s="9" t="n">
        <v>5</v>
      </c>
      <c r="L7" s="10" t="s">
        <v>138</v>
      </c>
      <c r="M7" s="10"/>
      <c r="N7" s="10"/>
    </row>
    <row r="9" customFormat="false" ht="21.75" hidden="false" customHeight="true" outlineLevel="0" collapsed="false">
      <c r="B9" s="31" t="s">
        <v>139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customFormat="false" ht="30" hidden="false" customHeight="true" outlineLevel="0" collapsed="false">
      <c r="B10" s="13" t="s">
        <v>140</v>
      </c>
      <c r="C10" s="32" t="s">
        <v>141</v>
      </c>
      <c r="D10" s="32" t="s">
        <v>142</v>
      </c>
      <c r="E10" s="32" t="s">
        <v>143</v>
      </c>
      <c r="F10" s="32" t="s">
        <v>144</v>
      </c>
      <c r="G10" s="32" t="s">
        <v>145</v>
      </c>
      <c r="H10" s="32" t="s">
        <v>146</v>
      </c>
      <c r="I10" s="32" t="s">
        <v>147</v>
      </c>
      <c r="J10" s="32" t="s">
        <v>148</v>
      </c>
      <c r="K10" s="32" t="s">
        <v>149</v>
      </c>
      <c r="L10" s="15" t="s">
        <v>89</v>
      </c>
      <c r="M10" s="15" t="s">
        <v>90</v>
      </c>
      <c r="N10" s="13" t="s">
        <v>91</v>
      </c>
    </row>
    <row r="11" customFormat="false" ht="27" hidden="false" customHeight="true" outlineLevel="0" collapsed="false">
      <c r="B11" s="16" t="s">
        <v>92</v>
      </c>
      <c r="C11" s="16" t="s">
        <v>150</v>
      </c>
      <c r="D11" s="16" t="s">
        <v>151</v>
      </c>
      <c r="E11" s="16" t="s">
        <v>96</v>
      </c>
      <c r="F11" s="16" t="s">
        <v>152</v>
      </c>
      <c r="G11" s="16" t="s">
        <v>153</v>
      </c>
      <c r="H11" s="16" t="s">
        <v>154</v>
      </c>
      <c r="I11" s="16" t="s">
        <v>155</v>
      </c>
      <c r="J11" s="16" t="s">
        <v>156</v>
      </c>
      <c r="K11" s="16" t="s">
        <v>156</v>
      </c>
      <c r="L11" s="16"/>
      <c r="M11" s="16"/>
      <c r="N11" s="16"/>
    </row>
    <row r="12" customFormat="false" ht="21.75" hidden="false" customHeight="true" outlineLevel="0" collapsed="false">
      <c r="B12" s="17" t="s">
        <v>157</v>
      </c>
      <c r="C12" s="5"/>
      <c r="D12" s="9"/>
      <c r="E12" s="9"/>
      <c r="F12" s="9"/>
      <c r="G12" s="5"/>
      <c r="H12" s="9"/>
      <c r="I12" s="5"/>
      <c r="J12" s="9"/>
      <c r="K12" s="9"/>
      <c r="L12" s="23" t="str">
        <f aca="false">IF(C12="","",IF(J12="Sim","Laço",IF(H12="Pré-fader","Envio pré",IF(AND(OR(C12="Reverb hall",C12="Reverb plate",C12="Reverb room"),D12&lt;&gt;"",D12&gt;$K$4),"Tempo longo",IF(AND(C12="Delay",F12&lt;&gt;"",F12&gt;$K$5),"Repetição alta",IF(OR(H12="",J12=""),"Incompleto","OK"))))))</f>
        <v/>
      </c>
      <c r="M12" s="24" t="str">
        <f aca="false">IF(L12="","",IF(L12="Laço","Feche o envio do canal de retorno para o próprio efeito: ele realimenta a si mesmo",IF(L12="Envio pré","Passe o auxiliar para pós-fader: o efeito continua soando com o fader fechado",IF(L12="Tempo longo","Cauda longa para esta sala: reduza o tempo ou troque o tipo de reverb",IF(L12="Repetição alta","Reduza a repetição: o eco demora a morrer e embola",IF(L12="Incompleto","Informe o tipo de envio e se o retorno volta ao envio",IF(K12="Sim","Manter. Efeito no retorno de palco: pouco, e atenção à microfonia","Manter")))))))</f>
        <v/>
      </c>
      <c r="N12" s="5"/>
    </row>
    <row r="13" customFormat="false" ht="21.75" hidden="false" customHeight="true" outlineLevel="0" collapsed="false">
      <c r="B13" s="17" t="s">
        <v>158</v>
      </c>
      <c r="C13" s="5"/>
      <c r="D13" s="9"/>
      <c r="E13" s="9"/>
      <c r="F13" s="9"/>
      <c r="G13" s="5"/>
      <c r="H13" s="9"/>
      <c r="I13" s="5"/>
      <c r="J13" s="9"/>
      <c r="K13" s="9"/>
      <c r="L13" s="23" t="str">
        <f aca="false">IF(C13="","",IF(J13="Sim","Laço",IF(H13="Pré-fader","Envio pré",IF(AND(OR(C13="Reverb hall",C13="Reverb plate",C13="Reverb room"),D13&lt;&gt;"",D13&gt;$K$4),"Tempo longo",IF(AND(C13="Delay",F13&lt;&gt;"",F13&gt;$K$5),"Repetição alta",IF(OR(H13="",J13=""),"Incompleto","OK"))))))</f>
        <v/>
      </c>
      <c r="M13" s="24" t="str">
        <f aca="false">IF(L13="","",IF(L13="Laço","Feche o envio do canal de retorno para o próprio efeito: ele realimenta a si mesmo",IF(L13="Envio pré","Passe o auxiliar para pós-fader: o efeito continua soando com o fader fechado",IF(L13="Tempo longo","Cauda longa para esta sala: reduza o tempo ou troque o tipo de reverb",IF(L13="Repetição alta","Reduza a repetição: o eco demora a morrer e embola",IF(L13="Incompleto","Informe o tipo de envio e se o retorno volta ao envio",IF(K13="Sim","Manter. Efeito no retorno de palco: pouco, e atenção à microfonia","Manter")))))))</f>
        <v/>
      </c>
      <c r="N13" s="5"/>
    </row>
    <row r="14" customFormat="false" ht="21.75" hidden="false" customHeight="true" outlineLevel="0" collapsed="false">
      <c r="B14" s="17" t="s">
        <v>159</v>
      </c>
      <c r="C14" s="5"/>
      <c r="D14" s="9"/>
      <c r="E14" s="9"/>
      <c r="F14" s="9"/>
      <c r="G14" s="5"/>
      <c r="H14" s="9"/>
      <c r="I14" s="5"/>
      <c r="J14" s="9"/>
      <c r="K14" s="9"/>
      <c r="L14" s="23" t="str">
        <f aca="false">IF(C14="","",IF(J14="Sim","Laço",IF(H14="Pré-fader","Envio pré",IF(AND(OR(C14="Reverb hall",C14="Reverb plate",C14="Reverb room"),D14&lt;&gt;"",D14&gt;$K$4),"Tempo longo",IF(AND(C14="Delay",F14&lt;&gt;"",F14&gt;$K$5),"Repetição alta",IF(OR(H14="",J14=""),"Incompleto","OK"))))))</f>
        <v/>
      </c>
      <c r="M14" s="24" t="str">
        <f aca="false">IF(L14="","",IF(L14="Laço","Feche o envio do canal de retorno para o próprio efeito: ele realimenta a si mesmo",IF(L14="Envio pré","Passe o auxiliar para pós-fader: o efeito continua soando com o fader fechado",IF(L14="Tempo longo","Cauda longa para esta sala: reduza o tempo ou troque o tipo de reverb",IF(L14="Repetição alta","Reduza a repetição: o eco demora a morrer e embola",IF(L14="Incompleto","Informe o tipo de envio e se o retorno volta ao envio",IF(K14="Sim","Manter. Efeito no retorno de palco: pouco, e atenção à microfonia","Manter")))))))</f>
        <v/>
      </c>
      <c r="N14" s="5"/>
    </row>
    <row r="15" customFormat="false" ht="21.75" hidden="false" customHeight="true" outlineLevel="0" collapsed="false">
      <c r="B15" s="17" t="s">
        <v>160</v>
      </c>
      <c r="C15" s="5"/>
      <c r="D15" s="9"/>
      <c r="E15" s="9"/>
      <c r="F15" s="9"/>
      <c r="G15" s="5"/>
      <c r="H15" s="9"/>
      <c r="I15" s="5"/>
      <c r="J15" s="9"/>
      <c r="K15" s="9"/>
      <c r="L15" s="23" t="str">
        <f aca="false">IF(C15="","",IF(J15="Sim","Laço",IF(H15="Pré-fader","Envio pré",IF(AND(OR(C15="Reverb hall",C15="Reverb plate",C15="Reverb room"),D15&lt;&gt;"",D15&gt;$K$4),"Tempo longo",IF(AND(C15="Delay",F15&lt;&gt;"",F15&gt;$K$5),"Repetição alta",IF(OR(H15="",J15=""),"Incompleto","OK"))))))</f>
        <v/>
      </c>
      <c r="M15" s="24" t="str">
        <f aca="false">IF(L15="","",IF(L15="Laço","Feche o envio do canal de retorno para o próprio efeito: ele realimenta a si mesmo",IF(L15="Envio pré","Passe o auxiliar para pós-fader: o efeito continua soando com o fader fechado",IF(L15="Tempo longo","Cauda longa para esta sala: reduza o tempo ou troque o tipo de reverb",IF(L15="Repetição alta","Reduza a repetição: o eco demora a morrer e embola",IF(L15="Incompleto","Informe o tipo de envio e se o retorno volta ao envio",IF(K15="Sim","Manter. Efeito no retorno de palco: pouco, e atenção à microfonia","Manter")))))))</f>
        <v/>
      </c>
      <c r="N15" s="5"/>
    </row>
    <row r="17" customFormat="false" ht="21.75" hidden="false" customHeight="true" outlineLevel="0" collapsed="false">
      <c r="B17" s="31" t="s">
        <v>161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30" hidden="false" customHeight="true" outlineLevel="0" collapsed="false">
      <c r="B18" s="13" t="s">
        <v>162</v>
      </c>
      <c r="C18" s="32" t="s">
        <v>163</v>
      </c>
      <c r="D18" s="32" t="s">
        <v>164</v>
      </c>
      <c r="E18" s="15" t="s">
        <v>165</v>
      </c>
      <c r="F18" s="15" t="s">
        <v>166</v>
      </c>
      <c r="G18" s="15" t="s">
        <v>167</v>
      </c>
      <c r="H18" s="15" t="s">
        <v>168</v>
      </c>
      <c r="I18" s="32" t="s">
        <v>169</v>
      </c>
      <c r="J18" s="15" t="s">
        <v>170</v>
      </c>
      <c r="K18" s="32" t="s">
        <v>171</v>
      </c>
      <c r="L18" s="15" t="s">
        <v>89</v>
      </c>
      <c r="M18" s="15" t="s">
        <v>90</v>
      </c>
      <c r="N18" s="13" t="s">
        <v>91</v>
      </c>
    </row>
    <row r="19" customFormat="false" ht="27" hidden="false" customHeight="true" outlineLevel="0" collapsed="false">
      <c r="B19" s="16" t="s">
        <v>92</v>
      </c>
      <c r="C19" s="16" t="s">
        <v>172</v>
      </c>
      <c r="D19" s="16" t="s">
        <v>173</v>
      </c>
      <c r="E19" s="16" t="s">
        <v>174</v>
      </c>
      <c r="F19" s="16" t="s">
        <v>175</v>
      </c>
      <c r="G19" s="16" t="s">
        <v>176</v>
      </c>
      <c r="H19" s="16" t="s">
        <v>177</v>
      </c>
      <c r="I19" s="16" t="s">
        <v>150</v>
      </c>
      <c r="J19" s="16" t="s">
        <v>96</v>
      </c>
      <c r="K19" s="16" t="s">
        <v>178</v>
      </c>
      <c r="L19" s="16"/>
      <c r="M19" s="16"/>
      <c r="N19" s="16"/>
    </row>
    <row r="20" customFormat="false" ht="21.75" hidden="false" customHeight="true" outlineLevel="0" collapsed="false">
      <c r="B20" s="17" t="n">
        <v>1</v>
      </c>
      <c r="C20" s="5"/>
      <c r="D20" s="9"/>
      <c r="E20" s="19" t="str">
        <f aca="false">IF(AND(D20&lt;&gt;"",D20&gt;0),ROUND(60000/D20/1,0),"")</f>
        <v/>
      </c>
      <c r="F20" s="19" t="str">
        <f aca="false">IF(AND(D20&lt;&gt;"",D20&gt;0),ROUND(60000/D20/2,0),"")</f>
        <v/>
      </c>
      <c r="G20" s="19" t="str">
        <f aca="false">IF(AND(D20&lt;&gt;"",D20&gt;0),ROUND(60000/D20/4*3,0),"")</f>
        <v/>
      </c>
      <c r="H20" s="19" t="str">
        <f aca="false">IF(AND(D20&lt;&gt;"",D20&gt;0),ROUND(60000/D20/4,0),"")</f>
        <v/>
      </c>
      <c r="I20" s="9"/>
      <c r="J20" s="8" t="str">
        <f aca="false">IF(OR(E20="",I20=""),"",IF(I20="Semínima",E20,IF(I20="Colcheia",F20,IF(I20="Colcheia pontuada",G20,H20))))</f>
        <v/>
      </c>
      <c r="K20" s="9"/>
      <c r="L20" s="23" t="str">
        <f aca="false">IF(OR(J20="",K20=""),"",IF(ABS(K20-J20)&lt;=J20*$K$7/100,"OK","Fora do tempo"))</f>
        <v/>
      </c>
      <c r="M20" s="24" t="str">
        <f aca="false">IF(L20="","",IF(L20="OK","Manter","Ajuste o delay para "&amp;J20&amp;" ms, ou bata o tap de novo no ritmo da música"))</f>
        <v/>
      </c>
      <c r="N20" s="5"/>
    </row>
    <row r="21" customFormat="false" ht="21.75" hidden="false" customHeight="true" outlineLevel="0" collapsed="false">
      <c r="B21" s="17" t="n">
        <v>2</v>
      </c>
      <c r="C21" s="5"/>
      <c r="D21" s="9"/>
      <c r="E21" s="19" t="str">
        <f aca="false">IF(AND(D21&lt;&gt;"",D21&gt;0),ROUND(60000/D21/1,0),"")</f>
        <v/>
      </c>
      <c r="F21" s="19" t="str">
        <f aca="false">IF(AND(D21&lt;&gt;"",D21&gt;0),ROUND(60000/D21/2,0),"")</f>
        <v/>
      </c>
      <c r="G21" s="19" t="str">
        <f aca="false">IF(AND(D21&lt;&gt;"",D21&gt;0),ROUND(60000/D21/4*3,0),"")</f>
        <v/>
      </c>
      <c r="H21" s="19" t="str">
        <f aca="false">IF(AND(D21&lt;&gt;"",D21&gt;0),ROUND(60000/D21/4,0),"")</f>
        <v/>
      </c>
      <c r="I21" s="9"/>
      <c r="J21" s="8" t="str">
        <f aca="false">IF(OR(E21="",I21=""),"",IF(I21="Semínima",E21,IF(I21="Colcheia",F21,IF(I21="Colcheia pontuada",G21,H21))))</f>
        <v/>
      </c>
      <c r="K21" s="9"/>
      <c r="L21" s="23" t="str">
        <f aca="false">IF(OR(J21="",K21=""),"",IF(ABS(K21-J21)&lt;=J21*$K$7/100,"OK","Fora do tempo"))</f>
        <v/>
      </c>
      <c r="M21" s="24" t="str">
        <f aca="false">IF(L21="","",IF(L21="OK","Manter","Ajuste o delay para "&amp;J21&amp;" ms, ou bata o tap de novo no ritmo da música"))</f>
        <v/>
      </c>
      <c r="N21" s="5"/>
    </row>
    <row r="22" customFormat="false" ht="21.75" hidden="false" customHeight="true" outlineLevel="0" collapsed="false">
      <c r="B22" s="17" t="n">
        <v>3</v>
      </c>
      <c r="C22" s="5"/>
      <c r="D22" s="9"/>
      <c r="E22" s="19" t="str">
        <f aca="false">IF(AND(D22&lt;&gt;"",D22&gt;0),ROUND(60000/D22/1,0),"")</f>
        <v/>
      </c>
      <c r="F22" s="19" t="str">
        <f aca="false">IF(AND(D22&lt;&gt;"",D22&gt;0),ROUND(60000/D22/2,0),"")</f>
        <v/>
      </c>
      <c r="G22" s="19" t="str">
        <f aca="false">IF(AND(D22&lt;&gt;"",D22&gt;0),ROUND(60000/D22/4*3,0),"")</f>
        <v/>
      </c>
      <c r="H22" s="19" t="str">
        <f aca="false">IF(AND(D22&lt;&gt;"",D22&gt;0),ROUND(60000/D22/4,0),"")</f>
        <v/>
      </c>
      <c r="I22" s="9"/>
      <c r="J22" s="8" t="str">
        <f aca="false">IF(OR(E22="",I22=""),"",IF(I22="Semínima",E22,IF(I22="Colcheia",F22,IF(I22="Colcheia pontuada",G22,H22))))</f>
        <v/>
      </c>
      <c r="K22" s="9"/>
      <c r="L22" s="23" t="str">
        <f aca="false">IF(OR(J22="",K22=""),"",IF(ABS(K22-J22)&lt;=J22*$K$7/100,"OK","Fora do tempo"))</f>
        <v/>
      </c>
      <c r="M22" s="24" t="str">
        <f aca="false">IF(L22="","",IF(L22="OK","Manter","Ajuste o delay para "&amp;J22&amp;" ms, ou bata o tap de novo no ritmo da música"))</f>
        <v/>
      </c>
      <c r="N22" s="5"/>
    </row>
    <row r="23" customFormat="false" ht="21.75" hidden="false" customHeight="true" outlineLevel="0" collapsed="false">
      <c r="B23" s="17" t="n">
        <v>4</v>
      </c>
      <c r="C23" s="5"/>
      <c r="D23" s="9"/>
      <c r="E23" s="19" t="str">
        <f aca="false">IF(AND(D23&lt;&gt;"",D23&gt;0),ROUND(60000/D23/1,0),"")</f>
        <v/>
      </c>
      <c r="F23" s="19" t="str">
        <f aca="false">IF(AND(D23&lt;&gt;"",D23&gt;0),ROUND(60000/D23/2,0),"")</f>
        <v/>
      </c>
      <c r="G23" s="19" t="str">
        <f aca="false">IF(AND(D23&lt;&gt;"",D23&gt;0),ROUND(60000/D23/4*3,0),"")</f>
        <v/>
      </c>
      <c r="H23" s="19" t="str">
        <f aca="false">IF(AND(D23&lt;&gt;"",D23&gt;0),ROUND(60000/D23/4,0),"")</f>
        <v/>
      </c>
      <c r="I23" s="9"/>
      <c r="J23" s="8" t="str">
        <f aca="false">IF(OR(E23="",I23=""),"",IF(I23="Semínima",E23,IF(I23="Colcheia",F23,IF(I23="Colcheia pontuada",G23,H23))))</f>
        <v/>
      </c>
      <c r="K23" s="9"/>
      <c r="L23" s="23" t="str">
        <f aca="false">IF(OR(J23="",K23=""),"",IF(ABS(K23-J23)&lt;=J23*$K$7/100,"OK","Fora do tempo"))</f>
        <v/>
      </c>
      <c r="M23" s="24" t="str">
        <f aca="false">IF(L23="","",IF(L23="OK","Manter","Ajuste o delay para "&amp;J23&amp;" ms, ou bata o tap de novo no ritmo da música"))</f>
        <v/>
      </c>
      <c r="N23" s="5"/>
    </row>
    <row r="24" customFormat="false" ht="21.75" hidden="false" customHeight="true" outlineLevel="0" collapsed="false">
      <c r="B24" s="17" t="n">
        <v>5</v>
      </c>
      <c r="C24" s="5"/>
      <c r="D24" s="9"/>
      <c r="E24" s="19" t="str">
        <f aca="false">IF(AND(D24&lt;&gt;"",D24&gt;0),ROUND(60000/D24/1,0),"")</f>
        <v/>
      </c>
      <c r="F24" s="19" t="str">
        <f aca="false">IF(AND(D24&lt;&gt;"",D24&gt;0),ROUND(60000/D24/2,0),"")</f>
        <v/>
      </c>
      <c r="G24" s="19" t="str">
        <f aca="false">IF(AND(D24&lt;&gt;"",D24&gt;0),ROUND(60000/D24/4*3,0),"")</f>
        <v/>
      </c>
      <c r="H24" s="19" t="str">
        <f aca="false">IF(AND(D24&lt;&gt;"",D24&gt;0),ROUND(60000/D24/4,0),"")</f>
        <v/>
      </c>
      <c r="I24" s="9"/>
      <c r="J24" s="8" t="str">
        <f aca="false">IF(OR(E24="",I24=""),"",IF(I24="Semínima",E24,IF(I24="Colcheia",F24,IF(I24="Colcheia pontuada",G24,H24))))</f>
        <v/>
      </c>
      <c r="K24" s="9"/>
      <c r="L24" s="23" t="str">
        <f aca="false">IF(OR(J24="",K24=""),"",IF(ABS(K24-J24)&lt;=J24*$K$7/100,"OK","Fora do tempo"))</f>
        <v/>
      </c>
      <c r="M24" s="24" t="str">
        <f aca="false">IF(L24="","",IF(L24="OK","Manter","Ajuste o delay para "&amp;J24&amp;" ms, ou bata o tap de novo no ritmo da música"))</f>
        <v/>
      </c>
      <c r="N24" s="5"/>
    </row>
    <row r="25" customFormat="false" ht="21.75" hidden="false" customHeight="true" outlineLevel="0" collapsed="false">
      <c r="B25" s="17" t="n">
        <v>6</v>
      </c>
      <c r="C25" s="5"/>
      <c r="D25" s="9"/>
      <c r="E25" s="19" t="str">
        <f aca="false">IF(AND(D25&lt;&gt;"",D25&gt;0),ROUND(60000/D25/1,0),"")</f>
        <v/>
      </c>
      <c r="F25" s="19" t="str">
        <f aca="false">IF(AND(D25&lt;&gt;"",D25&gt;0),ROUND(60000/D25/2,0),"")</f>
        <v/>
      </c>
      <c r="G25" s="19" t="str">
        <f aca="false">IF(AND(D25&lt;&gt;"",D25&gt;0),ROUND(60000/D25/4*3,0),"")</f>
        <v/>
      </c>
      <c r="H25" s="19" t="str">
        <f aca="false">IF(AND(D25&lt;&gt;"",D25&gt;0),ROUND(60000/D25/4,0),"")</f>
        <v/>
      </c>
      <c r="I25" s="9"/>
      <c r="J25" s="8" t="str">
        <f aca="false">IF(OR(E25="",I25=""),"",IF(I25="Semínima",E25,IF(I25="Colcheia",F25,IF(I25="Colcheia pontuada",G25,H25))))</f>
        <v/>
      </c>
      <c r="K25" s="9"/>
      <c r="L25" s="23" t="str">
        <f aca="false">IF(OR(J25="",K25=""),"",IF(ABS(K25-J25)&lt;=J25*$K$7/100,"OK","Fora do tempo"))</f>
        <v/>
      </c>
      <c r="M25" s="24" t="str">
        <f aca="false">IF(L25="","",IF(L25="OK","Manter","Ajuste o delay para "&amp;J25&amp;" ms, ou bata o tap de novo no ritmo da música"))</f>
        <v/>
      </c>
      <c r="N25" s="5"/>
    </row>
    <row r="27" customFormat="false" ht="21.75" hidden="false" customHeight="true" outlineLevel="0" collapsed="false">
      <c r="B27" s="31" t="s">
        <v>179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customFormat="false" ht="30" hidden="false" customHeight="true" outlineLevel="0" collapsed="false">
      <c r="B28" s="13" t="s">
        <v>77</v>
      </c>
      <c r="C28" s="13" t="s">
        <v>78</v>
      </c>
      <c r="D28" s="32" t="s">
        <v>180</v>
      </c>
      <c r="E28" s="32" t="s">
        <v>181</v>
      </c>
      <c r="F28" s="32" t="s">
        <v>182</v>
      </c>
      <c r="G28" s="32" t="s">
        <v>183</v>
      </c>
      <c r="H28" s="32" t="s">
        <v>184</v>
      </c>
      <c r="I28" s="15" t="s">
        <v>185</v>
      </c>
      <c r="J28" s="15" t="s">
        <v>186</v>
      </c>
      <c r="K28" s="15" t="s">
        <v>89</v>
      </c>
      <c r="L28" s="15" t="s">
        <v>90</v>
      </c>
      <c r="M28" s="15"/>
      <c r="N28" s="13" t="s">
        <v>91</v>
      </c>
    </row>
    <row r="29" customFormat="false" ht="27" hidden="false" customHeight="true" outlineLevel="0" collapsed="false">
      <c r="B29" s="16" t="s">
        <v>92</v>
      </c>
      <c r="C29" s="16" t="s">
        <v>93</v>
      </c>
      <c r="D29" s="16" t="s">
        <v>150</v>
      </c>
      <c r="E29" s="16" t="s">
        <v>94</v>
      </c>
      <c r="F29" s="16" t="s">
        <v>94</v>
      </c>
      <c r="G29" s="16" t="s">
        <v>94</v>
      </c>
      <c r="H29" s="16" t="s">
        <v>94</v>
      </c>
      <c r="I29" s="16" t="s">
        <v>187</v>
      </c>
      <c r="J29" s="16" t="s">
        <v>94</v>
      </c>
      <c r="K29" s="16"/>
      <c r="L29" s="16"/>
      <c r="M29" s="16"/>
      <c r="N29" s="16"/>
    </row>
    <row r="30" customFormat="false" ht="21.75" hidden="false" customHeight="true" outlineLevel="0" collapsed="false">
      <c r="B30" s="17" t="n">
        <v>1</v>
      </c>
      <c r="C30" s="5"/>
      <c r="D30" s="9"/>
      <c r="E30" s="18"/>
      <c r="F30" s="18"/>
      <c r="G30" s="18"/>
      <c r="H30" s="18"/>
      <c r="I30" s="19" t="str">
        <f aca="false">IF(AND(C30="",D30="",COUNT(E30:H30)=0),"",COUNT(E30:H30))</f>
        <v/>
      </c>
      <c r="J30" s="29" t="str">
        <f aca="false">IF(COUNT(E30:H30)=0,"",MAX(E30:H30))</f>
        <v/>
      </c>
      <c r="K30" s="23" t="str">
        <f aca="false">IF(AND(D30="",COUNT(E30:H30)=0),"",IF(D30="","Sem tipo",IF(COUNT(E30:H30)=0,"Seco",IF(D30="Fala","Fala com efeito",IF(D30="Grave","Grave com efeito",IF(D30="Mídia","Mídia com efeito",IF(J30&gt;$K$6,"Envio alto","OK")))))))</f>
        <v/>
      </c>
      <c r="L30" s="24" t="str">
        <f aca="false">IF(K30="","",IF(K30="Sem tipo","Escolha o tipo de fonte na lista",IF(K30="Seco","Canal sem efeito",IF(K30="Fala com efeito","Feche o envio: reverb e delay atrapalham o entendimento da fala",IF(K30="Grave com efeito","Feche o envio: efeito em bumbo e baixo embola os graves",IF(K30="Mídia com efeito","Feche o envio: o material já vem com o efeito pronto",IF(K30="Envio alto","Envio acima da referência: confira se o efeito não cobre a fonte",IF(D30="Voz cantada","Manter. Feche o efeito quando este microfone for usado para falar","Manter"))))))))</f>
        <v/>
      </c>
      <c r="M30" s="24"/>
      <c r="N30" s="5"/>
    </row>
    <row r="31" customFormat="false" ht="21.75" hidden="false" customHeight="true" outlineLevel="0" collapsed="false">
      <c r="B31" s="17" t="n">
        <v>2</v>
      </c>
      <c r="C31" s="5"/>
      <c r="D31" s="9"/>
      <c r="E31" s="18"/>
      <c r="F31" s="18"/>
      <c r="G31" s="18"/>
      <c r="H31" s="18"/>
      <c r="I31" s="19" t="str">
        <f aca="false">IF(AND(C31="",D31="",COUNT(E31:H31)=0),"",COUNT(E31:H31))</f>
        <v/>
      </c>
      <c r="J31" s="29" t="str">
        <f aca="false">IF(COUNT(E31:H31)=0,"",MAX(E31:H31))</f>
        <v/>
      </c>
      <c r="K31" s="23" t="str">
        <f aca="false">IF(AND(D31="",COUNT(E31:H31)=0),"",IF(D31="","Sem tipo",IF(COUNT(E31:H31)=0,"Seco",IF(D31="Fala","Fala com efeito",IF(D31="Grave","Grave com efeito",IF(D31="Mídia","Mídia com efeito",IF(J31&gt;$K$6,"Envio alto","OK")))))))</f>
        <v/>
      </c>
      <c r="L31" s="24" t="str">
        <f aca="false">IF(K31="","",IF(K31="Sem tipo","Escolha o tipo de fonte na lista",IF(K31="Seco","Canal sem efeito",IF(K31="Fala com efeito","Feche o envio: reverb e delay atrapalham o entendimento da fala",IF(K31="Grave com efeito","Feche o envio: efeito em bumbo e baixo embola os graves",IF(K31="Mídia com efeito","Feche o envio: o material já vem com o efeito pronto",IF(K31="Envio alto","Envio acima da referência: confira se o efeito não cobre a fonte",IF(D31="Voz cantada","Manter. Feche o efeito quando este microfone for usado para falar","Manter"))))))))</f>
        <v/>
      </c>
      <c r="M31" s="24"/>
      <c r="N31" s="5"/>
    </row>
    <row r="32" customFormat="false" ht="21.75" hidden="false" customHeight="true" outlineLevel="0" collapsed="false">
      <c r="B32" s="17" t="n">
        <v>3</v>
      </c>
      <c r="C32" s="5"/>
      <c r="D32" s="9"/>
      <c r="E32" s="18"/>
      <c r="F32" s="18"/>
      <c r="G32" s="18"/>
      <c r="H32" s="18"/>
      <c r="I32" s="19" t="str">
        <f aca="false">IF(AND(C32="",D32="",COUNT(E32:H32)=0),"",COUNT(E32:H32))</f>
        <v/>
      </c>
      <c r="J32" s="29" t="str">
        <f aca="false">IF(COUNT(E32:H32)=0,"",MAX(E32:H32))</f>
        <v/>
      </c>
      <c r="K32" s="23" t="str">
        <f aca="false">IF(AND(D32="",COUNT(E32:H32)=0),"",IF(D32="","Sem tipo",IF(COUNT(E32:H32)=0,"Seco",IF(D32="Fala","Fala com efeito",IF(D32="Grave","Grave com efeito",IF(D32="Mídia","Mídia com efeito",IF(J32&gt;$K$6,"Envio alto","OK")))))))</f>
        <v/>
      </c>
      <c r="L32" s="24" t="str">
        <f aca="false">IF(K32="","",IF(K32="Sem tipo","Escolha o tipo de fonte na lista",IF(K32="Seco","Canal sem efeito",IF(K32="Fala com efeito","Feche o envio: reverb e delay atrapalham o entendimento da fala",IF(K32="Grave com efeito","Feche o envio: efeito em bumbo e baixo embola os graves",IF(K32="Mídia com efeito","Feche o envio: o material já vem com o efeito pronto",IF(K32="Envio alto","Envio acima da referência: confira se o efeito não cobre a fonte",IF(D32="Voz cantada","Manter. Feche o efeito quando este microfone for usado para falar","Manter"))))))))</f>
        <v/>
      </c>
      <c r="M32" s="24"/>
      <c r="N32" s="5"/>
    </row>
    <row r="33" customFormat="false" ht="21.75" hidden="false" customHeight="true" outlineLevel="0" collapsed="false">
      <c r="B33" s="17" t="n">
        <v>4</v>
      </c>
      <c r="C33" s="5"/>
      <c r="D33" s="9"/>
      <c r="E33" s="18"/>
      <c r="F33" s="18"/>
      <c r="G33" s="18"/>
      <c r="H33" s="18"/>
      <c r="I33" s="19" t="str">
        <f aca="false">IF(AND(C33="",D33="",COUNT(E33:H33)=0),"",COUNT(E33:H33))</f>
        <v/>
      </c>
      <c r="J33" s="29" t="str">
        <f aca="false">IF(COUNT(E33:H33)=0,"",MAX(E33:H33))</f>
        <v/>
      </c>
      <c r="K33" s="23" t="str">
        <f aca="false">IF(AND(D33="",COUNT(E33:H33)=0),"",IF(D33="","Sem tipo",IF(COUNT(E33:H33)=0,"Seco",IF(D33="Fala","Fala com efeito",IF(D33="Grave","Grave com efeito",IF(D33="Mídia","Mídia com efeito",IF(J33&gt;$K$6,"Envio alto","OK")))))))</f>
        <v/>
      </c>
      <c r="L33" s="24" t="str">
        <f aca="false">IF(K33="","",IF(K33="Sem tipo","Escolha o tipo de fonte na lista",IF(K33="Seco","Canal sem efeito",IF(K33="Fala com efeito","Feche o envio: reverb e delay atrapalham o entendimento da fala",IF(K33="Grave com efeito","Feche o envio: efeito em bumbo e baixo embola os graves",IF(K33="Mídia com efeito","Feche o envio: o material já vem com o efeito pronto",IF(K33="Envio alto","Envio acima da referência: confira se o efeito não cobre a fonte",IF(D33="Voz cantada","Manter. Feche o efeito quando este microfone for usado para falar","Manter"))))))))</f>
        <v/>
      </c>
      <c r="M33" s="24"/>
      <c r="N33" s="5"/>
    </row>
    <row r="34" customFormat="false" ht="21.75" hidden="false" customHeight="true" outlineLevel="0" collapsed="false">
      <c r="B34" s="17" t="n">
        <v>5</v>
      </c>
      <c r="C34" s="5"/>
      <c r="D34" s="9"/>
      <c r="E34" s="18"/>
      <c r="F34" s="18"/>
      <c r="G34" s="18"/>
      <c r="H34" s="18"/>
      <c r="I34" s="19" t="str">
        <f aca="false">IF(AND(C34="",D34="",COUNT(E34:H34)=0),"",COUNT(E34:H34))</f>
        <v/>
      </c>
      <c r="J34" s="29" t="str">
        <f aca="false">IF(COUNT(E34:H34)=0,"",MAX(E34:H34))</f>
        <v/>
      </c>
      <c r="K34" s="23" t="str">
        <f aca="false">IF(AND(D34="",COUNT(E34:H34)=0),"",IF(D34="","Sem tipo",IF(COUNT(E34:H34)=0,"Seco",IF(D34="Fala","Fala com efeito",IF(D34="Grave","Grave com efeito",IF(D34="Mídia","Mídia com efeito",IF(J34&gt;$K$6,"Envio alto","OK")))))))</f>
        <v/>
      </c>
      <c r="L34" s="24" t="str">
        <f aca="false">IF(K34="","",IF(K34="Sem tipo","Escolha o tipo de fonte na lista",IF(K34="Seco","Canal sem efeito",IF(K34="Fala com efeito","Feche o envio: reverb e delay atrapalham o entendimento da fala",IF(K34="Grave com efeito","Feche o envio: efeito em bumbo e baixo embola os graves",IF(K34="Mídia com efeito","Feche o envio: o material já vem com o efeito pronto",IF(K34="Envio alto","Envio acima da referência: confira se o efeito não cobre a fonte",IF(D34="Voz cantada","Manter. Feche o efeito quando este microfone for usado para falar","Manter"))))))))</f>
        <v/>
      </c>
      <c r="M34" s="24"/>
      <c r="N34" s="5"/>
    </row>
    <row r="35" customFormat="false" ht="21.75" hidden="false" customHeight="true" outlineLevel="0" collapsed="false">
      <c r="B35" s="17" t="n">
        <v>6</v>
      </c>
      <c r="C35" s="5"/>
      <c r="D35" s="9"/>
      <c r="E35" s="18"/>
      <c r="F35" s="18"/>
      <c r="G35" s="18"/>
      <c r="H35" s="18"/>
      <c r="I35" s="19" t="str">
        <f aca="false">IF(AND(C35="",D35="",COUNT(E35:H35)=0),"",COUNT(E35:H35))</f>
        <v/>
      </c>
      <c r="J35" s="29" t="str">
        <f aca="false">IF(COUNT(E35:H35)=0,"",MAX(E35:H35))</f>
        <v/>
      </c>
      <c r="K35" s="23" t="str">
        <f aca="false">IF(AND(D35="",COUNT(E35:H35)=0),"",IF(D35="","Sem tipo",IF(COUNT(E35:H35)=0,"Seco",IF(D35="Fala","Fala com efeito",IF(D35="Grave","Grave com efeito",IF(D35="Mídia","Mídia com efeito",IF(J35&gt;$K$6,"Envio alto","OK")))))))</f>
        <v/>
      </c>
      <c r="L35" s="24" t="str">
        <f aca="false">IF(K35="","",IF(K35="Sem tipo","Escolha o tipo de fonte na lista",IF(K35="Seco","Canal sem efeito",IF(K35="Fala com efeito","Feche o envio: reverb e delay atrapalham o entendimento da fala",IF(K35="Grave com efeito","Feche o envio: efeito em bumbo e baixo embola os graves",IF(K35="Mídia com efeito","Feche o envio: o material já vem com o efeito pronto",IF(K35="Envio alto","Envio acima da referência: confira se o efeito não cobre a fonte",IF(D35="Voz cantada","Manter. Feche o efeito quando este microfone for usado para falar","Manter"))))))))</f>
        <v/>
      </c>
      <c r="M35" s="24"/>
      <c r="N35" s="5"/>
    </row>
    <row r="36" customFormat="false" ht="21.75" hidden="false" customHeight="true" outlineLevel="0" collapsed="false">
      <c r="B36" s="17" t="n">
        <v>7</v>
      </c>
      <c r="C36" s="5"/>
      <c r="D36" s="9"/>
      <c r="E36" s="18"/>
      <c r="F36" s="18"/>
      <c r="G36" s="18"/>
      <c r="H36" s="18"/>
      <c r="I36" s="19" t="str">
        <f aca="false">IF(AND(C36="",D36="",COUNT(E36:H36)=0),"",COUNT(E36:H36))</f>
        <v/>
      </c>
      <c r="J36" s="29" t="str">
        <f aca="false">IF(COUNT(E36:H36)=0,"",MAX(E36:H36))</f>
        <v/>
      </c>
      <c r="K36" s="23" t="str">
        <f aca="false">IF(AND(D36="",COUNT(E36:H36)=0),"",IF(D36="","Sem tipo",IF(COUNT(E36:H36)=0,"Seco",IF(D36="Fala","Fala com efeito",IF(D36="Grave","Grave com efeito",IF(D36="Mídia","Mídia com efeito",IF(J36&gt;$K$6,"Envio alto","OK")))))))</f>
        <v/>
      </c>
      <c r="L36" s="24" t="str">
        <f aca="false">IF(K36="","",IF(K36="Sem tipo","Escolha o tipo de fonte na lista",IF(K36="Seco","Canal sem efeito",IF(K36="Fala com efeito","Feche o envio: reverb e delay atrapalham o entendimento da fala",IF(K36="Grave com efeito","Feche o envio: efeito em bumbo e baixo embola os graves",IF(K36="Mídia com efeito","Feche o envio: o material já vem com o efeito pronto",IF(K36="Envio alto","Envio acima da referência: confira se o efeito não cobre a fonte",IF(D36="Voz cantada","Manter. Feche o efeito quando este microfone for usado para falar","Manter"))))))))</f>
        <v/>
      </c>
      <c r="M36" s="24"/>
      <c r="N36" s="5"/>
    </row>
    <row r="37" customFormat="false" ht="21.75" hidden="false" customHeight="true" outlineLevel="0" collapsed="false">
      <c r="B37" s="17" t="n">
        <v>8</v>
      </c>
      <c r="C37" s="5"/>
      <c r="D37" s="9"/>
      <c r="E37" s="18"/>
      <c r="F37" s="18"/>
      <c r="G37" s="18"/>
      <c r="H37" s="18"/>
      <c r="I37" s="19" t="str">
        <f aca="false">IF(AND(C37="",D37="",COUNT(E37:H37)=0),"",COUNT(E37:H37))</f>
        <v/>
      </c>
      <c r="J37" s="29" t="str">
        <f aca="false">IF(COUNT(E37:H37)=0,"",MAX(E37:H37))</f>
        <v/>
      </c>
      <c r="K37" s="23" t="str">
        <f aca="false">IF(AND(D37="",COUNT(E37:H37)=0),"",IF(D37="","Sem tipo",IF(COUNT(E37:H37)=0,"Seco",IF(D37="Fala","Fala com efeito",IF(D37="Grave","Grave com efeito",IF(D37="Mídia","Mídia com efeito",IF(J37&gt;$K$6,"Envio alto","OK")))))))</f>
        <v/>
      </c>
      <c r="L37" s="24" t="str">
        <f aca="false">IF(K37="","",IF(K37="Sem tipo","Escolha o tipo de fonte na lista",IF(K37="Seco","Canal sem efeito",IF(K37="Fala com efeito","Feche o envio: reverb e delay atrapalham o entendimento da fala",IF(K37="Grave com efeito","Feche o envio: efeito em bumbo e baixo embola os graves",IF(K37="Mídia com efeito","Feche o envio: o material já vem com o efeito pronto",IF(K37="Envio alto","Envio acima da referência: confira se o efeito não cobre a fonte",IF(D37="Voz cantada","Manter. Feche o efeito quando este microfone for usado para falar","Manter"))))))))</f>
        <v/>
      </c>
      <c r="M37" s="24"/>
      <c r="N37" s="5"/>
    </row>
    <row r="38" customFormat="false" ht="21.75" hidden="false" customHeight="true" outlineLevel="0" collapsed="false">
      <c r="B38" s="17" t="n">
        <v>9</v>
      </c>
      <c r="C38" s="5"/>
      <c r="D38" s="9"/>
      <c r="E38" s="18"/>
      <c r="F38" s="18"/>
      <c r="G38" s="18"/>
      <c r="H38" s="18"/>
      <c r="I38" s="19" t="str">
        <f aca="false">IF(AND(C38="",D38="",COUNT(E38:H38)=0),"",COUNT(E38:H38))</f>
        <v/>
      </c>
      <c r="J38" s="29" t="str">
        <f aca="false">IF(COUNT(E38:H38)=0,"",MAX(E38:H38))</f>
        <v/>
      </c>
      <c r="K38" s="23" t="str">
        <f aca="false">IF(AND(D38="",COUNT(E38:H38)=0),"",IF(D38="","Sem tipo",IF(COUNT(E38:H38)=0,"Seco",IF(D38="Fala","Fala com efeito",IF(D38="Grave","Grave com efeito",IF(D38="Mídia","Mídia com efeito",IF(J38&gt;$K$6,"Envio alto","OK")))))))</f>
        <v/>
      </c>
      <c r="L38" s="24" t="str">
        <f aca="false">IF(K38="","",IF(K38="Sem tipo","Escolha o tipo de fonte na lista",IF(K38="Seco","Canal sem efeito",IF(K38="Fala com efeito","Feche o envio: reverb e delay atrapalham o entendimento da fala",IF(K38="Grave com efeito","Feche o envio: efeito em bumbo e baixo embola os graves",IF(K38="Mídia com efeito","Feche o envio: o material já vem com o efeito pronto",IF(K38="Envio alto","Envio acima da referência: confira se o efeito não cobre a fonte",IF(D38="Voz cantada","Manter. Feche o efeito quando este microfone for usado para falar","Manter"))))))))</f>
        <v/>
      </c>
      <c r="M38" s="24"/>
      <c r="N38" s="5"/>
    </row>
    <row r="39" customFormat="false" ht="21.75" hidden="false" customHeight="true" outlineLevel="0" collapsed="false">
      <c r="B39" s="17" t="n">
        <v>10</v>
      </c>
      <c r="C39" s="5"/>
      <c r="D39" s="9"/>
      <c r="E39" s="18"/>
      <c r="F39" s="18"/>
      <c r="G39" s="18"/>
      <c r="H39" s="18"/>
      <c r="I39" s="19" t="str">
        <f aca="false">IF(AND(C39="",D39="",COUNT(E39:H39)=0),"",COUNT(E39:H39))</f>
        <v/>
      </c>
      <c r="J39" s="29" t="str">
        <f aca="false">IF(COUNT(E39:H39)=0,"",MAX(E39:H39))</f>
        <v/>
      </c>
      <c r="K39" s="23" t="str">
        <f aca="false">IF(AND(D39="",COUNT(E39:H39)=0),"",IF(D39="","Sem tipo",IF(COUNT(E39:H39)=0,"Seco",IF(D39="Fala","Fala com efeito",IF(D39="Grave","Grave com efeito",IF(D39="Mídia","Mídia com efeito",IF(J39&gt;$K$6,"Envio alto","OK")))))))</f>
        <v/>
      </c>
      <c r="L39" s="24" t="str">
        <f aca="false">IF(K39="","",IF(K39="Sem tipo","Escolha o tipo de fonte na lista",IF(K39="Seco","Canal sem efeito",IF(K39="Fala com efeito","Feche o envio: reverb e delay atrapalham o entendimento da fala",IF(K39="Grave com efeito","Feche o envio: efeito em bumbo e baixo embola os graves",IF(K39="Mídia com efeito","Feche o envio: o material já vem com o efeito pronto",IF(K39="Envio alto","Envio acima da referência: confira se o efeito não cobre a fonte",IF(D39="Voz cantada","Manter. Feche o efeito quando este microfone for usado para falar","Manter"))))))))</f>
        <v/>
      </c>
      <c r="M39" s="24"/>
      <c r="N39" s="5"/>
    </row>
    <row r="40" customFormat="false" ht="21.75" hidden="false" customHeight="true" outlineLevel="0" collapsed="false">
      <c r="B40" s="17" t="n">
        <v>11</v>
      </c>
      <c r="C40" s="5"/>
      <c r="D40" s="9"/>
      <c r="E40" s="18"/>
      <c r="F40" s="18"/>
      <c r="G40" s="18"/>
      <c r="H40" s="18"/>
      <c r="I40" s="19" t="str">
        <f aca="false">IF(AND(C40="",D40="",COUNT(E40:H40)=0),"",COUNT(E40:H40))</f>
        <v/>
      </c>
      <c r="J40" s="29" t="str">
        <f aca="false">IF(COUNT(E40:H40)=0,"",MAX(E40:H40))</f>
        <v/>
      </c>
      <c r="K40" s="23" t="str">
        <f aca="false">IF(AND(D40="",COUNT(E40:H40)=0),"",IF(D40="","Sem tipo",IF(COUNT(E40:H40)=0,"Seco",IF(D40="Fala","Fala com efeito",IF(D40="Grave","Grave com efeito",IF(D40="Mídia","Mídia com efeito",IF(J40&gt;$K$6,"Envio alto","OK")))))))</f>
        <v/>
      </c>
      <c r="L40" s="24" t="str">
        <f aca="false">IF(K40="","",IF(K40="Sem tipo","Escolha o tipo de fonte na lista",IF(K40="Seco","Canal sem efeito",IF(K40="Fala com efeito","Feche o envio: reverb e delay atrapalham o entendimento da fala",IF(K40="Grave com efeito","Feche o envio: efeito em bumbo e baixo embola os graves",IF(K40="Mídia com efeito","Feche o envio: o material já vem com o efeito pronto",IF(K40="Envio alto","Envio acima da referência: confira se o efeito não cobre a fonte",IF(D40="Voz cantada","Manter. Feche o efeito quando este microfone for usado para falar","Manter"))))))))</f>
        <v/>
      </c>
      <c r="M40" s="24"/>
      <c r="N40" s="5"/>
    </row>
    <row r="41" customFormat="false" ht="21.75" hidden="false" customHeight="true" outlineLevel="0" collapsed="false">
      <c r="B41" s="17" t="n">
        <v>12</v>
      </c>
      <c r="C41" s="5"/>
      <c r="D41" s="9"/>
      <c r="E41" s="18"/>
      <c r="F41" s="18"/>
      <c r="G41" s="18"/>
      <c r="H41" s="18"/>
      <c r="I41" s="19" t="str">
        <f aca="false">IF(AND(C41="",D41="",COUNT(E41:H41)=0),"",COUNT(E41:H41))</f>
        <v/>
      </c>
      <c r="J41" s="29" t="str">
        <f aca="false">IF(COUNT(E41:H41)=0,"",MAX(E41:H41))</f>
        <v/>
      </c>
      <c r="K41" s="23" t="str">
        <f aca="false">IF(AND(D41="",COUNT(E41:H41)=0),"",IF(D41="","Sem tipo",IF(COUNT(E41:H41)=0,"Seco",IF(D41="Fala","Fala com efeito",IF(D41="Grave","Grave com efeito",IF(D41="Mídia","Mídia com efeito",IF(J41&gt;$K$6,"Envio alto","OK")))))))</f>
        <v/>
      </c>
      <c r="L41" s="24" t="str">
        <f aca="false">IF(K41="","",IF(K41="Sem tipo","Escolha o tipo de fonte na lista",IF(K41="Seco","Canal sem efeito",IF(K41="Fala com efeito","Feche o envio: reverb e delay atrapalham o entendimento da fala",IF(K41="Grave com efeito","Feche o envio: efeito em bumbo e baixo embola os graves",IF(K41="Mídia com efeito","Feche o envio: o material já vem com o efeito pronto",IF(K41="Envio alto","Envio acima da referência: confira se o efeito não cobre a fonte",IF(D41="Voz cantada","Manter. Feche o efeito quando este microfone for usado para falar","Manter"))))))))</f>
        <v/>
      </c>
      <c r="M41" s="24"/>
      <c r="N41" s="5"/>
    </row>
    <row r="42" customFormat="false" ht="21.75" hidden="false" customHeight="true" outlineLevel="0" collapsed="false">
      <c r="B42" s="17" t="n">
        <v>13</v>
      </c>
      <c r="C42" s="5"/>
      <c r="D42" s="9"/>
      <c r="E42" s="18"/>
      <c r="F42" s="18"/>
      <c r="G42" s="18"/>
      <c r="H42" s="18"/>
      <c r="I42" s="19" t="str">
        <f aca="false">IF(AND(C42="",D42="",COUNT(E42:H42)=0),"",COUNT(E42:H42))</f>
        <v/>
      </c>
      <c r="J42" s="29" t="str">
        <f aca="false">IF(COUNT(E42:H42)=0,"",MAX(E42:H42))</f>
        <v/>
      </c>
      <c r="K42" s="23" t="str">
        <f aca="false">IF(AND(D42="",COUNT(E42:H42)=0),"",IF(D42="","Sem tipo",IF(COUNT(E42:H42)=0,"Seco",IF(D42="Fala","Fala com efeito",IF(D42="Grave","Grave com efeito",IF(D42="Mídia","Mídia com efeito",IF(J42&gt;$K$6,"Envio alto","OK")))))))</f>
        <v/>
      </c>
      <c r="L42" s="24" t="str">
        <f aca="false">IF(K42="","",IF(K42="Sem tipo","Escolha o tipo de fonte na lista",IF(K42="Seco","Canal sem efeito",IF(K42="Fala com efeito","Feche o envio: reverb e delay atrapalham o entendimento da fala",IF(K42="Grave com efeito","Feche o envio: efeito em bumbo e baixo embola os graves",IF(K42="Mídia com efeito","Feche o envio: o material já vem com o efeito pronto",IF(K42="Envio alto","Envio acima da referência: confira se o efeito não cobre a fonte",IF(D42="Voz cantada","Manter. Feche o efeito quando este microfone for usado para falar","Manter"))))))))</f>
        <v/>
      </c>
      <c r="M42" s="24"/>
      <c r="N42" s="5"/>
    </row>
    <row r="43" customFormat="false" ht="21.75" hidden="false" customHeight="true" outlineLevel="0" collapsed="false">
      <c r="B43" s="17" t="n">
        <v>14</v>
      </c>
      <c r="C43" s="5"/>
      <c r="D43" s="9"/>
      <c r="E43" s="18"/>
      <c r="F43" s="18"/>
      <c r="G43" s="18"/>
      <c r="H43" s="18"/>
      <c r="I43" s="19" t="str">
        <f aca="false">IF(AND(C43="",D43="",COUNT(E43:H43)=0),"",COUNT(E43:H43))</f>
        <v/>
      </c>
      <c r="J43" s="29" t="str">
        <f aca="false">IF(COUNT(E43:H43)=0,"",MAX(E43:H43))</f>
        <v/>
      </c>
      <c r="K43" s="23" t="str">
        <f aca="false">IF(AND(D43="",COUNT(E43:H43)=0),"",IF(D43="","Sem tipo",IF(COUNT(E43:H43)=0,"Seco",IF(D43="Fala","Fala com efeito",IF(D43="Grave","Grave com efeito",IF(D43="Mídia","Mídia com efeito",IF(J43&gt;$K$6,"Envio alto","OK")))))))</f>
        <v/>
      </c>
      <c r="L43" s="24" t="str">
        <f aca="false">IF(K43="","",IF(K43="Sem tipo","Escolha o tipo de fonte na lista",IF(K43="Seco","Canal sem efeito",IF(K43="Fala com efeito","Feche o envio: reverb e delay atrapalham o entendimento da fala",IF(K43="Grave com efeito","Feche o envio: efeito em bumbo e baixo embola os graves",IF(K43="Mídia com efeito","Feche o envio: o material já vem com o efeito pronto",IF(K43="Envio alto","Envio acima da referência: confira se o efeito não cobre a fonte",IF(D43="Voz cantada","Manter. Feche o efeito quando este microfone for usado para falar","Manter"))))))))</f>
        <v/>
      </c>
      <c r="M43" s="24"/>
      <c r="N43" s="5"/>
    </row>
    <row r="44" customFormat="false" ht="21.75" hidden="false" customHeight="true" outlineLevel="0" collapsed="false">
      <c r="B44" s="17" t="n">
        <v>15</v>
      </c>
      <c r="C44" s="5"/>
      <c r="D44" s="9"/>
      <c r="E44" s="18"/>
      <c r="F44" s="18"/>
      <c r="G44" s="18"/>
      <c r="H44" s="18"/>
      <c r="I44" s="19" t="str">
        <f aca="false">IF(AND(C44="",D44="",COUNT(E44:H44)=0),"",COUNT(E44:H44))</f>
        <v/>
      </c>
      <c r="J44" s="29" t="str">
        <f aca="false">IF(COUNT(E44:H44)=0,"",MAX(E44:H44))</f>
        <v/>
      </c>
      <c r="K44" s="23" t="str">
        <f aca="false">IF(AND(D44="",COUNT(E44:H44)=0),"",IF(D44="","Sem tipo",IF(COUNT(E44:H44)=0,"Seco",IF(D44="Fala","Fala com efeito",IF(D44="Grave","Grave com efeito",IF(D44="Mídia","Mídia com efeito",IF(J44&gt;$K$6,"Envio alto","OK")))))))</f>
        <v/>
      </c>
      <c r="L44" s="24" t="str">
        <f aca="false">IF(K44="","",IF(K44="Sem tipo","Escolha o tipo de fonte na lista",IF(K44="Seco","Canal sem efeito",IF(K44="Fala com efeito","Feche o envio: reverb e delay atrapalham o entendimento da fala",IF(K44="Grave com efeito","Feche o envio: efeito em bumbo e baixo embola os graves",IF(K44="Mídia com efeito","Feche o envio: o material já vem com o efeito pronto",IF(K44="Envio alto","Envio acima da referência: confira se o efeito não cobre a fonte",IF(D44="Voz cantada","Manter. Feche o efeito quando este microfone for usado para falar","Manter"))))))))</f>
        <v/>
      </c>
      <c r="M44" s="24"/>
      <c r="N44" s="5"/>
    </row>
    <row r="45" customFormat="false" ht="21.75" hidden="false" customHeight="true" outlineLevel="0" collapsed="false">
      <c r="B45" s="17" t="n">
        <v>16</v>
      </c>
      <c r="C45" s="5"/>
      <c r="D45" s="9"/>
      <c r="E45" s="18"/>
      <c r="F45" s="18"/>
      <c r="G45" s="18"/>
      <c r="H45" s="18"/>
      <c r="I45" s="19" t="str">
        <f aca="false">IF(AND(C45="",D45="",COUNT(E45:H45)=0),"",COUNT(E45:H45))</f>
        <v/>
      </c>
      <c r="J45" s="29" t="str">
        <f aca="false">IF(COUNT(E45:H45)=0,"",MAX(E45:H45))</f>
        <v/>
      </c>
      <c r="K45" s="23" t="str">
        <f aca="false">IF(AND(D45="",COUNT(E45:H45)=0),"",IF(D45="","Sem tipo",IF(COUNT(E45:H45)=0,"Seco",IF(D45="Fala","Fala com efeito",IF(D45="Grave","Grave com efeito",IF(D45="Mídia","Mídia com efeito",IF(J45&gt;$K$6,"Envio alto","OK")))))))</f>
        <v/>
      </c>
      <c r="L45" s="24" t="str">
        <f aca="false">IF(K45="","",IF(K45="Sem tipo","Escolha o tipo de fonte na lista",IF(K45="Seco","Canal sem efeito",IF(K45="Fala com efeito","Feche o envio: reverb e delay atrapalham o entendimento da fala",IF(K45="Grave com efeito","Feche o envio: efeito em bumbo e baixo embola os graves",IF(K45="Mídia com efeito","Feche o envio: o material já vem com o efeito pronto",IF(K45="Envio alto","Envio acima da referência: confira se o efeito não cobre a fonte",IF(D45="Voz cantada","Manter. Feche o efeito quando este microfone for usado para falar","Manter"))))))))</f>
        <v/>
      </c>
      <c r="M45" s="24"/>
      <c r="N45" s="5"/>
    </row>
    <row r="47" customFormat="false" ht="21.75" hidden="false" customHeight="true" outlineLevel="0" collapsed="false">
      <c r="B47" s="25" t="s">
        <v>188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customFormat="false" ht="19.5" hidden="false" customHeight="true" outlineLevel="0" collapsed="false">
      <c r="B48" s="26" t="s">
        <v>189</v>
      </c>
      <c r="C48" s="26"/>
      <c r="D48" s="26"/>
      <c r="E48" s="8" t="n">
        <f aca="false">COUNT(E30:E45)</f>
        <v>0</v>
      </c>
    </row>
    <row r="49" customFormat="false" ht="19.5" hidden="false" customHeight="true" outlineLevel="0" collapsed="false">
      <c r="B49" s="26" t="s">
        <v>190</v>
      </c>
      <c r="C49" s="26"/>
      <c r="D49" s="26"/>
      <c r="E49" s="8" t="n">
        <f aca="false">COUNT(F30:F45)</f>
        <v>0</v>
      </c>
    </row>
    <row r="50" customFormat="false" ht="19.5" hidden="false" customHeight="true" outlineLevel="0" collapsed="false">
      <c r="B50" s="26" t="s">
        <v>191</v>
      </c>
      <c r="C50" s="26"/>
      <c r="D50" s="26"/>
      <c r="E50" s="8" t="n">
        <f aca="false">COUNT(G30:G45)</f>
        <v>0</v>
      </c>
    </row>
    <row r="51" customFormat="false" ht="19.5" hidden="false" customHeight="true" outlineLevel="0" collapsed="false">
      <c r="B51" s="26" t="s">
        <v>192</v>
      </c>
      <c r="C51" s="26"/>
      <c r="D51" s="26"/>
      <c r="E51" s="8" t="n">
        <f aca="false">COUNT(H30:H45)</f>
        <v>0</v>
      </c>
    </row>
    <row r="52" customFormat="false" ht="19.5" hidden="false" customHeight="true" outlineLevel="0" collapsed="false">
      <c r="B52" s="26" t="s">
        <v>193</v>
      </c>
      <c r="C52" s="26"/>
      <c r="D52" s="26"/>
      <c r="E52" s="8" t="n">
        <f aca="false">COUNTIF(L12:L15,"Incompleto")+COUNTIF(L12:L15,"Tempo longo")+COUNTIF(L12:L15,"Repetição alta")+COUNTIF(L12:L15,"Envio pré")+COUNTIF(L12:L15,"Laço")</f>
        <v>0</v>
      </c>
    </row>
    <row r="53" customFormat="false" ht="19.5" hidden="false" customHeight="true" outlineLevel="0" collapsed="false">
      <c r="B53" s="26" t="s">
        <v>194</v>
      </c>
      <c r="C53" s="26"/>
      <c r="D53" s="26"/>
      <c r="E53" s="8" t="n">
        <f aca="false">COUNTIF(L20:L25,"Fora do tempo")</f>
        <v>0</v>
      </c>
    </row>
    <row r="54" customFormat="false" ht="19.5" hidden="false" customHeight="true" outlineLevel="0" collapsed="false">
      <c r="B54" s="26" t="s">
        <v>195</v>
      </c>
      <c r="C54" s="26"/>
      <c r="D54" s="26"/>
      <c r="E54" s="8" t="n">
        <f aca="false">COUNTIF(K30:K45,"Sem tipo")+COUNTIF(K30:K45,"Envio alto")+COUNTIF(K30:K45,"Fala com efeito")+COUNTIF(K30:K45,"Grave com efeito")+COUNTIF(K30:K45,"Mídia com efeito")</f>
        <v>0</v>
      </c>
    </row>
    <row r="55" customFormat="false" ht="21.75" hidden="false" customHeight="true" outlineLevel="0" collapsed="false">
      <c r="B55" s="26" t="s">
        <v>111</v>
      </c>
      <c r="C55" s="26"/>
      <c r="D55" s="26"/>
      <c r="E55" s="27" t="str">
        <f aca="false">IF(COUNT(K4:K7)&lt;4,"Informe os quatro valores de referência",IF(COUNTA(C12:C15)+COUNTA(C30:C45)+COUNT(D20:D25)=0,"Preencha os processadores, as músicas ou os envios",IF(E52&gt;0,"Há processador com alerta: confira o caminho do efeito",IF(E54&gt;0,"Há canal com alerta de envio",IF(E53&gt;0,"Há música com o delay fora do tempo","OK")))))</f>
        <v>Preencha os processadores, as músicas ou os envios</v>
      </c>
      <c r="F55" s="27"/>
      <c r="G55" s="27"/>
      <c r="H55" s="27"/>
      <c r="I55" s="27"/>
      <c r="J55" s="27"/>
      <c r="K55" s="27"/>
      <c r="L55" s="27"/>
      <c r="M55" s="27"/>
    </row>
    <row r="56" customFormat="false" ht="15" hidden="false" customHeight="true" outlineLevel="0" collapsed="false">
      <c r="B56" s="10" t="s">
        <v>196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</sheetData>
  <mergeCells count="50">
    <mergeCell ref="B1:N1"/>
    <mergeCell ref="B2:N2"/>
    <mergeCell ref="B4:C4"/>
    <mergeCell ref="D4:G4"/>
    <mergeCell ref="H4:J4"/>
    <mergeCell ref="L4:N4"/>
    <mergeCell ref="B5:C5"/>
    <mergeCell ref="D5:G5"/>
    <mergeCell ref="H5:J5"/>
    <mergeCell ref="L5:N5"/>
    <mergeCell ref="B6:C6"/>
    <mergeCell ref="D6:G6"/>
    <mergeCell ref="H6:J6"/>
    <mergeCell ref="L6:N6"/>
    <mergeCell ref="B7:C7"/>
    <mergeCell ref="D7:G7"/>
    <mergeCell ref="H7:J7"/>
    <mergeCell ref="L7:N7"/>
    <mergeCell ref="B9:N9"/>
    <mergeCell ref="B17:N17"/>
    <mergeCell ref="B27:N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B47:N47"/>
    <mergeCell ref="B48:D48"/>
    <mergeCell ref="B49:D49"/>
    <mergeCell ref="B50:D50"/>
    <mergeCell ref="B51:D51"/>
    <mergeCell ref="B52:D52"/>
    <mergeCell ref="B53:D53"/>
    <mergeCell ref="B54:D54"/>
    <mergeCell ref="B55:D55"/>
    <mergeCell ref="E55:M55"/>
    <mergeCell ref="B56:N56"/>
  </mergeCells>
  <conditionalFormatting sqref="L12:L1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"Incompleto"</formula>
    </cfRule>
    <cfRule type="cellIs" priority="4" operator="equal" aboveAverage="0" equalAverage="0" bottom="0" percent="0" rank="0" text="" dxfId="1">
      <formula>"Tempo longo"</formula>
    </cfRule>
    <cfRule type="cellIs" priority="5" operator="equal" aboveAverage="0" equalAverage="0" bottom="0" percent="0" rank="0" text="" dxfId="1">
      <formula>"Repetição alta"</formula>
    </cfRule>
    <cfRule type="cellIs" priority="6" operator="equal" aboveAverage="0" equalAverage="0" bottom="0" percent="0" rank="0" text="" dxfId="2">
      <formula>"Envio pré"</formula>
    </cfRule>
    <cfRule type="cellIs" priority="7" operator="equal" aboveAverage="0" equalAverage="0" bottom="0" percent="0" rank="0" text="" dxfId="2">
      <formula>"Laço"</formula>
    </cfRule>
  </conditionalFormatting>
  <conditionalFormatting sqref="L20:L25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"Fora do tempo"</formula>
    </cfRule>
  </conditionalFormatting>
  <conditionalFormatting sqref="K30:K45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"Sem tipo"</formula>
    </cfRule>
    <cfRule type="cellIs" priority="12" operator="equal" aboveAverage="0" equalAverage="0" bottom="0" percent="0" rank="0" text="" dxfId="1">
      <formula>"Envio alto"</formula>
    </cfRule>
    <cfRule type="cellIs" priority="13" operator="equal" aboveAverage="0" equalAverage="0" bottom="0" percent="0" rank="0" text="" dxfId="2">
      <formula>"Fala com efeito"</formula>
    </cfRule>
    <cfRule type="cellIs" priority="14" operator="equal" aboveAverage="0" equalAverage="0" bottom="0" percent="0" rank="0" text="" dxfId="1">
      <formula>"Grave com efeito"</formula>
    </cfRule>
    <cfRule type="cellIs" priority="15" operator="equal" aboveAverage="0" equalAverage="0" bottom="0" percent="0" rank="0" text="" dxfId="1">
      <formula>"Mídia com efeito"</formula>
    </cfRule>
  </conditionalFormatting>
  <conditionalFormatting sqref="E55:M55">
    <cfRule type="cellIs" priority="16" operator="equal" aboveAverage="0" equalAverage="0" bottom="0" percent="0" rank="0" text="" dxfId="0">
      <formula>"OK"</formula>
    </cfRule>
    <cfRule type="cellIs" priority="17" operator="notEqual" aboveAverage="0" equalAverage="0" bottom="0" percent="0" rank="0" text="" dxfId="1">
      <formula>"OK"</formula>
    </cfRule>
  </conditionalFormatting>
  <dataValidations count="11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7" type="decimal">
      <formula1>-1000000000</formula1>
      <formula2>1000000000</formula2>
    </dataValidation>
    <dataValidation allowBlank="true" error="Escolha uma das opções da lista." errorStyle="stop" errorTitle="Valor inválido" operator="between" prompt="Reverb hall, Reverb plate, Reverb room, Delay ou Outro." promptTitle="Opções" showDropDown="false" showErrorMessage="true" showInputMessage="true" sqref="C12:C15" type="list">
      <formula1>"Reverb hall,Reverb plate,Reverb room,Delay,Outro"</formula1>
      <formula2>0</formula2>
    </dataValidation>
    <dataValidation allowBlank="true" error="Escolha uma das opções da lista." errorStyle="stop" errorTitle="Valor inválido" operator="between" prompt="O auxiliar de envio é pós-fader ou pré-fader?" promptTitle="Opções" showDropDown="false" showErrorMessage="true" showInputMessage="true" sqref="H12:H15" type="list">
      <formula1>"Pós-fader,Pré-fader"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J12:K15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12:F15" type="decimal">
      <formula1>-1000000000</formula1>
      <formula2>1000000000</formula2>
    </dataValidation>
    <dataValidation allowBlank="true" error="Escolha uma das opções da lista." errorStyle="stop" errorTitle="Valor inválido" operator="between" prompt="Semínima, Colcheia, Colcheia pontuada ou Semicolcheia." promptTitle="Opções" showDropDown="false" showErrorMessage="true" showInputMessage="true" sqref="I20:I25" type="list">
      <formula1>"Semínima,Colcheia,Colcheia pontuada,Semicolcheia"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20:D2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20:K25" type="decimal">
      <formula1>-1000000000</formula1>
      <formula2>1000000000</formula2>
    </dataValidation>
    <dataValidation allowBlank="true" error="Escolha uma das opções da lista." errorStyle="stop" errorTitle="Valor inválido" operator="between" prompt="Fala, Voz cantada, Instrumento, Bateria, Grave (bumbo e baixo) ou Mídia." promptTitle="Opções" showDropDown="false" showErrorMessage="true" showInputMessage="true" sqref="D30:D45" type="list">
      <formula1>"Fala,Voz cantada,Instrumento,Bateria,Grave,Mídia"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30:H45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7" min="7" style="0" width="62"/>
    <col collapsed="false" customWidth="true" hidden="false" outlineLevel="0" max="8" min="8" style="0" width="2"/>
  </cols>
  <sheetData>
    <row r="1" customFormat="false" ht="31.5" hidden="false" customHeight="true" outlineLevel="0" collapsed="false">
      <c r="B1" s="1" t="s">
        <v>197</v>
      </c>
      <c r="C1" s="1"/>
      <c r="D1" s="1"/>
      <c r="E1" s="1"/>
      <c r="F1" s="1"/>
      <c r="G1" s="1"/>
    </row>
    <row r="2" customFormat="false" ht="19.5" hidden="false" customHeight="true" outlineLevel="0" collapsed="false">
      <c r="B2" s="2" t="s">
        <v>198</v>
      </c>
      <c r="C2" s="2"/>
      <c r="D2" s="2"/>
      <c r="E2" s="2"/>
      <c r="F2" s="2"/>
      <c r="G2" s="2"/>
    </row>
    <row r="4" customFormat="false" ht="21.75" hidden="false" customHeight="true" outlineLevel="0" collapsed="false">
      <c r="B4" s="12" t="s">
        <v>199</v>
      </c>
      <c r="C4" s="12"/>
      <c r="D4" s="12"/>
      <c r="E4" s="12"/>
      <c r="F4" s="12"/>
      <c r="G4" s="12"/>
    </row>
    <row r="5" customFormat="false" ht="21.75" hidden="false" customHeight="true" outlineLevel="0" collapsed="false">
      <c r="B5" s="8" t="s">
        <v>78</v>
      </c>
      <c r="C5" s="8" t="s">
        <v>80</v>
      </c>
      <c r="D5" s="8" t="s">
        <v>81</v>
      </c>
      <c r="E5" s="8" t="s">
        <v>82</v>
      </c>
      <c r="F5" s="8" t="s">
        <v>200</v>
      </c>
      <c r="G5" s="8" t="s">
        <v>91</v>
      </c>
    </row>
    <row r="6" customFormat="false" ht="31.5" hidden="false" customHeight="true" outlineLevel="0" collapsed="false">
      <c r="B6" s="33" t="s">
        <v>201</v>
      </c>
      <c r="C6" s="34" t="s">
        <v>202</v>
      </c>
      <c r="D6" s="34" t="s">
        <v>203</v>
      </c>
      <c r="E6" s="34" t="s">
        <v>204</v>
      </c>
      <c r="F6" s="34" t="s">
        <v>205</v>
      </c>
      <c r="G6" s="7" t="s">
        <v>206</v>
      </c>
    </row>
    <row r="7" customFormat="false" ht="31.5" hidden="false" customHeight="true" outlineLevel="0" collapsed="false">
      <c r="B7" s="33" t="s">
        <v>207</v>
      </c>
      <c r="C7" s="34" t="s">
        <v>208</v>
      </c>
      <c r="D7" s="34" t="s">
        <v>209</v>
      </c>
      <c r="E7" s="34" t="s">
        <v>210</v>
      </c>
      <c r="F7" s="34" t="s">
        <v>205</v>
      </c>
      <c r="G7" s="7" t="s">
        <v>211</v>
      </c>
    </row>
    <row r="8" customFormat="false" ht="31.5" hidden="false" customHeight="true" outlineLevel="0" collapsed="false">
      <c r="B8" s="33" t="s">
        <v>212</v>
      </c>
      <c r="C8" s="34" t="s">
        <v>213</v>
      </c>
      <c r="D8" s="34" t="s">
        <v>203</v>
      </c>
      <c r="E8" s="34" t="s">
        <v>210</v>
      </c>
      <c r="F8" s="34" t="s">
        <v>214</v>
      </c>
      <c r="G8" s="7" t="s">
        <v>215</v>
      </c>
    </row>
    <row r="9" customFormat="false" ht="31.5" hidden="false" customHeight="true" outlineLevel="0" collapsed="false">
      <c r="B9" s="33" t="s">
        <v>216</v>
      </c>
      <c r="C9" s="34" t="s">
        <v>217</v>
      </c>
      <c r="D9" s="34" t="s">
        <v>218</v>
      </c>
      <c r="E9" s="34" t="s">
        <v>219</v>
      </c>
      <c r="F9" s="34" t="s">
        <v>220</v>
      </c>
      <c r="G9" s="7" t="s">
        <v>221</v>
      </c>
    </row>
    <row r="10" customFormat="false" ht="31.5" hidden="false" customHeight="true" outlineLevel="0" collapsed="false">
      <c r="B10" s="33" t="s">
        <v>222</v>
      </c>
      <c r="C10" s="34" t="s">
        <v>223</v>
      </c>
      <c r="D10" s="34" t="s">
        <v>203</v>
      </c>
      <c r="E10" s="34" t="s">
        <v>224</v>
      </c>
      <c r="F10" s="34" t="s">
        <v>205</v>
      </c>
      <c r="G10" s="7" t="s">
        <v>225</v>
      </c>
    </row>
    <row r="11" customFormat="false" ht="31.5" hidden="false" customHeight="true" outlineLevel="0" collapsed="false">
      <c r="B11" s="33" t="s">
        <v>226</v>
      </c>
      <c r="C11" s="34" t="s">
        <v>208</v>
      </c>
      <c r="D11" s="34" t="s">
        <v>209</v>
      </c>
      <c r="E11" s="34" t="s">
        <v>224</v>
      </c>
      <c r="F11" s="34" t="s">
        <v>205</v>
      </c>
      <c r="G11" s="7" t="s">
        <v>227</v>
      </c>
    </row>
    <row r="12" customFormat="false" ht="31.5" hidden="false" customHeight="true" outlineLevel="0" collapsed="false">
      <c r="B12" s="33" t="s">
        <v>228</v>
      </c>
      <c r="C12" s="34" t="s">
        <v>229</v>
      </c>
      <c r="D12" s="34" t="s">
        <v>218</v>
      </c>
      <c r="E12" s="34" t="s">
        <v>230</v>
      </c>
      <c r="F12" s="34" t="s">
        <v>231</v>
      </c>
      <c r="G12" s="7" t="s">
        <v>232</v>
      </c>
    </row>
    <row r="13" customFormat="false" ht="31.5" hidden="false" customHeight="true" outlineLevel="0" collapsed="false">
      <c r="B13" s="33" t="s">
        <v>233</v>
      </c>
      <c r="C13" s="34" t="s">
        <v>234</v>
      </c>
      <c r="D13" s="34"/>
      <c r="E13" s="34"/>
      <c r="F13" s="34"/>
      <c r="G13" s="7" t="s">
        <v>235</v>
      </c>
    </row>
    <row r="14" customFormat="false" ht="31.5" hidden="false" customHeight="true" outlineLevel="0" collapsed="false">
      <c r="B14" s="33" t="s">
        <v>236</v>
      </c>
      <c r="C14" s="34" t="s">
        <v>234</v>
      </c>
      <c r="D14" s="34"/>
      <c r="E14" s="34"/>
      <c r="F14" s="34"/>
      <c r="G14" s="7" t="s">
        <v>237</v>
      </c>
    </row>
    <row r="16" customFormat="false" ht="21.75" hidden="false" customHeight="true" outlineLevel="0" collapsed="false">
      <c r="B16" s="12" t="s">
        <v>238</v>
      </c>
      <c r="C16" s="12"/>
      <c r="D16" s="12"/>
      <c r="E16" s="12"/>
      <c r="F16" s="12"/>
      <c r="G16" s="12"/>
    </row>
    <row r="17" customFormat="false" ht="21.75" hidden="false" customHeight="true" outlineLevel="0" collapsed="false">
      <c r="B17" s="8" t="s">
        <v>80</v>
      </c>
      <c r="C17" s="8" t="s">
        <v>239</v>
      </c>
      <c r="D17" s="8" t="s">
        <v>240</v>
      </c>
      <c r="E17" s="8" t="s">
        <v>241</v>
      </c>
      <c r="F17" s="8" t="s">
        <v>242</v>
      </c>
      <c r="G17" s="8" t="s">
        <v>243</v>
      </c>
    </row>
    <row r="18" customFormat="false" ht="21.75" hidden="false" customHeight="true" outlineLevel="0" collapsed="false">
      <c r="B18" s="33" t="s">
        <v>244</v>
      </c>
      <c r="C18" s="34" t="s">
        <v>245</v>
      </c>
      <c r="D18" s="34" t="s">
        <v>246</v>
      </c>
      <c r="E18" s="34" t="s">
        <v>247</v>
      </c>
      <c r="F18" s="34" t="s">
        <v>248</v>
      </c>
      <c r="G18" s="7" t="s">
        <v>249</v>
      </c>
    </row>
    <row r="19" customFormat="false" ht="21.75" hidden="false" customHeight="true" outlineLevel="0" collapsed="false">
      <c r="B19" s="33" t="s">
        <v>229</v>
      </c>
      <c r="C19" s="34" t="s">
        <v>250</v>
      </c>
      <c r="D19" s="34" t="s">
        <v>251</v>
      </c>
      <c r="E19" s="34" t="s">
        <v>251</v>
      </c>
      <c r="F19" s="34" t="s">
        <v>252</v>
      </c>
      <c r="G19" s="7" t="s">
        <v>253</v>
      </c>
    </row>
    <row r="20" customFormat="false" ht="21.75" hidden="false" customHeight="true" outlineLevel="0" collapsed="false">
      <c r="B20" s="33" t="s">
        <v>223</v>
      </c>
      <c r="C20" s="34" t="s">
        <v>254</v>
      </c>
      <c r="D20" s="34" t="s">
        <v>255</v>
      </c>
      <c r="E20" s="34" t="s">
        <v>256</v>
      </c>
      <c r="F20" s="34" t="s">
        <v>252</v>
      </c>
      <c r="G20" s="7" t="s">
        <v>257</v>
      </c>
    </row>
    <row r="21" customFormat="false" ht="21.75" hidden="false" customHeight="true" outlineLevel="0" collapsed="false">
      <c r="B21" s="33" t="s">
        <v>258</v>
      </c>
      <c r="C21" s="34" t="s">
        <v>259</v>
      </c>
      <c r="D21" s="34" t="s">
        <v>260</v>
      </c>
      <c r="E21" s="34" t="s">
        <v>261</v>
      </c>
      <c r="F21" s="34" t="s">
        <v>262</v>
      </c>
      <c r="G21" s="7" t="s">
        <v>263</v>
      </c>
    </row>
    <row r="22" customFormat="false" ht="21.75" hidden="false" customHeight="true" outlineLevel="0" collapsed="false">
      <c r="B22" s="33" t="s">
        <v>264</v>
      </c>
      <c r="C22" s="34" t="s">
        <v>265</v>
      </c>
      <c r="D22" s="34" t="s">
        <v>266</v>
      </c>
      <c r="E22" s="34" t="s">
        <v>267</v>
      </c>
      <c r="F22" s="34" t="s">
        <v>268</v>
      </c>
      <c r="G22" s="7" t="s">
        <v>269</v>
      </c>
    </row>
    <row r="24" customFormat="false" ht="21.75" hidden="false" customHeight="true" outlineLevel="0" collapsed="false">
      <c r="B24" s="12" t="s">
        <v>270</v>
      </c>
      <c r="C24" s="12"/>
      <c r="D24" s="12"/>
      <c r="E24" s="12"/>
      <c r="F24" s="12"/>
      <c r="G24" s="12"/>
    </row>
    <row r="25" customFormat="false" ht="21.75" hidden="false" customHeight="true" outlineLevel="0" collapsed="false">
      <c r="B25" s="8" t="s">
        <v>271</v>
      </c>
      <c r="C25" s="8" t="s">
        <v>272</v>
      </c>
      <c r="D25" s="8" t="s">
        <v>273</v>
      </c>
      <c r="E25" s="8" t="s">
        <v>274</v>
      </c>
      <c r="F25" s="8" t="s">
        <v>275</v>
      </c>
      <c r="G25" s="8" t="s">
        <v>276</v>
      </c>
    </row>
    <row r="26" customFormat="false" ht="31.5" hidden="false" customHeight="true" outlineLevel="0" collapsed="false">
      <c r="B26" s="33" t="s">
        <v>81</v>
      </c>
      <c r="C26" s="34" t="s">
        <v>277</v>
      </c>
      <c r="D26" s="34" t="s">
        <v>278</v>
      </c>
      <c r="E26" s="34" t="s">
        <v>279</v>
      </c>
      <c r="F26" s="34" t="s">
        <v>280</v>
      </c>
      <c r="G26" s="7" t="s">
        <v>281</v>
      </c>
    </row>
    <row r="27" customFormat="false" ht="31.5" hidden="false" customHeight="true" outlineLevel="0" collapsed="false">
      <c r="B27" s="33" t="s">
        <v>82</v>
      </c>
      <c r="C27" s="34" t="s">
        <v>282</v>
      </c>
      <c r="D27" s="34" t="s">
        <v>283</v>
      </c>
      <c r="E27" s="34" t="s">
        <v>284</v>
      </c>
      <c r="F27" s="34" t="s">
        <v>285</v>
      </c>
      <c r="G27" s="7" t="s">
        <v>286</v>
      </c>
    </row>
    <row r="29" customFormat="false" ht="21.75" hidden="false" customHeight="true" outlineLevel="0" collapsed="false">
      <c r="B29" s="28" t="s">
        <v>287</v>
      </c>
      <c r="C29" s="28"/>
      <c r="D29" s="28"/>
      <c r="E29" s="28"/>
      <c r="F29" s="28"/>
      <c r="G29" s="28"/>
    </row>
    <row r="30" customFormat="false" ht="21.75" hidden="false" customHeight="true" outlineLevel="0" collapsed="false">
      <c r="B30" s="8" t="s">
        <v>288</v>
      </c>
      <c r="C30" s="8" t="s">
        <v>113</v>
      </c>
      <c r="D30" s="8" t="s">
        <v>81</v>
      </c>
      <c r="E30" s="8" t="s">
        <v>114</v>
      </c>
      <c r="F30" s="8" t="s">
        <v>82</v>
      </c>
      <c r="G30" s="8" t="s">
        <v>79</v>
      </c>
    </row>
    <row r="31" customFormat="false" ht="31.5" hidden="false" customHeight="true" outlineLevel="0" collapsed="false">
      <c r="B31" s="33" t="s">
        <v>222</v>
      </c>
      <c r="C31" s="34" t="s">
        <v>289</v>
      </c>
      <c r="D31" s="34" t="s">
        <v>290</v>
      </c>
      <c r="E31" s="34" t="s">
        <v>291</v>
      </c>
      <c r="F31" s="34" t="s">
        <v>292</v>
      </c>
      <c r="G31" s="7" t="s">
        <v>293</v>
      </c>
    </row>
    <row r="32" customFormat="false" ht="31.5" hidden="false" customHeight="true" outlineLevel="0" collapsed="false">
      <c r="B32" s="33" t="s">
        <v>294</v>
      </c>
      <c r="C32" s="34" t="s">
        <v>295</v>
      </c>
      <c r="D32" s="34" t="s">
        <v>290</v>
      </c>
      <c r="E32" s="34" t="s">
        <v>296</v>
      </c>
      <c r="F32" s="34" t="s">
        <v>210</v>
      </c>
      <c r="G32" s="7" t="s">
        <v>297</v>
      </c>
    </row>
    <row r="33" customFormat="false" ht="31.5" hidden="false" customHeight="true" outlineLevel="0" collapsed="false">
      <c r="B33" s="33" t="s">
        <v>298</v>
      </c>
      <c r="C33" s="34" t="s">
        <v>289</v>
      </c>
      <c r="D33" s="34" t="s">
        <v>290</v>
      </c>
      <c r="E33" s="34" t="s">
        <v>224</v>
      </c>
      <c r="F33" s="34" t="s">
        <v>230</v>
      </c>
      <c r="G33" s="7" t="s">
        <v>299</v>
      </c>
    </row>
    <row r="34" customFormat="false" ht="31.5" hidden="false" customHeight="true" outlineLevel="0" collapsed="false">
      <c r="B34" s="33" t="s">
        <v>300</v>
      </c>
      <c r="C34" s="34" t="s">
        <v>301</v>
      </c>
      <c r="D34" s="34"/>
      <c r="E34" s="34"/>
      <c r="F34" s="34"/>
      <c r="G34" s="7" t="s">
        <v>302</v>
      </c>
    </row>
    <row r="36" customFormat="false" ht="21.75" hidden="false" customHeight="true" outlineLevel="0" collapsed="false">
      <c r="B36" s="31" t="s">
        <v>303</v>
      </c>
      <c r="C36" s="31"/>
      <c r="D36" s="31"/>
      <c r="E36" s="31"/>
      <c r="F36" s="31"/>
      <c r="G36" s="31"/>
    </row>
    <row r="37" customFormat="false" ht="21.75" hidden="false" customHeight="true" outlineLevel="0" collapsed="false">
      <c r="B37" s="8" t="s">
        <v>141</v>
      </c>
      <c r="C37" s="8" t="s">
        <v>304</v>
      </c>
      <c r="D37" s="8" t="s">
        <v>143</v>
      </c>
      <c r="E37" s="8" t="s">
        <v>305</v>
      </c>
      <c r="F37" s="8" t="s">
        <v>306</v>
      </c>
      <c r="G37" s="8" t="s">
        <v>307</v>
      </c>
    </row>
    <row r="38" customFormat="false" ht="31.5" hidden="false" customHeight="true" outlineLevel="0" collapsed="false">
      <c r="B38" s="33" t="s">
        <v>308</v>
      </c>
      <c r="C38" s="34" t="s">
        <v>309</v>
      </c>
      <c r="D38" s="34" t="s">
        <v>310</v>
      </c>
      <c r="E38" s="34" t="s">
        <v>311</v>
      </c>
      <c r="F38" s="34" t="s">
        <v>312</v>
      </c>
      <c r="G38" s="7" t="s">
        <v>313</v>
      </c>
    </row>
    <row r="39" customFormat="false" ht="31.5" hidden="false" customHeight="true" outlineLevel="0" collapsed="false">
      <c r="B39" s="33" t="s">
        <v>314</v>
      </c>
      <c r="C39" s="34" t="s">
        <v>315</v>
      </c>
      <c r="D39" s="34" t="s">
        <v>316</v>
      </c>
      <c r="E39" s="34" t="s">
        <v>311</v>
      </c>
      <c r="F39" s="34" t="s">
        <v>312</v>
      </c>
      <c r="G39" s="7" t="s">
        <v>317</v>
      </c>
    </row>
    <row r="40" customFormat="false" ht="31.5" hidden="false" customHeight="true" outlineLevel="0" collapsed="false">
      <c r="B40" s="33" t="s">
        <v>318</v>
      </c>
      <c r="C40" s="34" t="s">
        <v>319</v>
      </c>
      <c r="D40" s="34" t="s">
        <v>320</v>
      </c>
      <c r="E40" s="34" t="s">
        <v>311</v>
      </c>
      <c r="F40" s="34" t="s">
        <v>312</v>
      </c>
      <c r="G40" s="7" t="s">
        <v>321</v>
      </c>
    </row>
    <row r="41" customFormat="false" ht="31.5" hidden="false" customHeight="true" outlineLevel="0" collapsed="false">
      <c r="B41" s="33" t="s">
        <v>322</v>
      </c>
      <c r="C41" s="34" t="s">
        <v>323</v>
      </c>
      <c r="D41" s="34"/>
      <c r="E41" s="34"/>
      <c r="F41" s="34"/>
      <c r="G41" s="7" t="s">
        <v>324</v>
      </c>
    </row>
    <row r="43" customFormat="false" ht="21.75" hidden="false" customHeight="true" outlineLevel="0" collapsed="false">
      <c r="B43" s="31" t="s">
        <v>325</v>
      </c>
      <c r="C43" s="31"/>
      <c r="D43" s="31"/>
      <c r="E43" s="31"/>
      <c r="F43" s="31"/>
      <c r="G43" s="31"/>
    </row>
    <row r="44" customFormat="false" ht="21.75" hidden="false" customHeight="true" outlineLevel="0" collapsed="false">
      <c r="B44" s="8" t="s">
        <v>164</v>
      </c>
      <c r="C44" s="8" t="s">
        <v>165</v>
      </c>
      <c r="D44" s="8" t="s">
        <v>166</v>
      </c>
      <c r="E44" s="8" t="s">
        <v>167</v>
      </c>
      <c r="F44" s="8" t="s">
        <v>168</v>
      </c>
      <c r="G44" s="8" t="s">
        <v>326</v>
      </c>
    </row>
    <row r="45" customFormat="false" ht="21.75" hidden="false" customHeight="true" outlineLevel="0" collapsed="false">
      <c r="B45" s="33" t="s">
        <v>327</v>
      </c>
      <c r="C45" s="34" t="s">
        <v>328</v>
      </c>
      <c r="D45" s="34" t="s">
        <v>329</v>
      </c>
      <c r="E45" s="34" t="s">
        <v>330</v>
      </c>
      <c r="F45" s="34" t="s">
        <v>331</v>
      </c>
      <c r="G45" s="7" t="s">
        <v>332</v>
      </c>
    </row>
    <row r="46" customFormat="false" ht="21.75" hidden="false" customHeight="true" outlineLevel="0" collapsed="false">
      <c r="B46" s="33" t="s">
        <v>333</v>
      </c>
      <c r="C46" s="34" t="s">
        <v>334</v>
      </c>
      <c r="D46" s="34" t="s">
        <v>335</v>
      </c>
      <c r="E46" s="34" t="s">
        <v>336</v>
      </c>
      <c r="F46" s="34" t="s">
        <v>337</v>
      </c>
      <c r="G46" s="7" t="s">
        <v>338</v>
      </c>
    </row>
    <row r="47" customFormat="false" ht="21.75" hidden="false" customHeight="true" outlineLevel="0" collapsed="false">
      <c r="B47" s="33" t="s">
        <v>339</v>
      </c>
      <c r="C47" s="34" t="s">
        <v>340</v>
      </c>
      <c r="D47" s="34" t="s">
        <v>341</v>
      </c>
      <c r="E47" s="34" t="s">
        <v>329</v>
      </c>
      <c r="F47" s="34" t="s">
        <v>342</v>
      </c>
      <c r="G47" s="7" t="s">
        <v>343</v>
      </c>
    </row>
    <row r="48" customFormat="false" ht="21.75" hidden="false" customHeight="true" outlineLevel="0" collapsed="false">
      <c r="B48" s="33" t="s">
        <v>344</v>
      </c>
      <c r="C48" s="34" t="s">
        <v>345</v>
      </c>
      <c r="D48" s="34" t="s">
        <v>346</v>
      </c>
      <c r="E48" s="34" t="s">
        <v>347</v>
      </c>
      <c r="F48" s="34" t="s">
        <v>348</v>
      </c>
      <c r="G48" s="7" t="s">
        <v>343</v>
      </c>
    </row>
    <row r="49" customFormat="false" ht="21.75" hidden="false" customHeight="true" outlineLevel="0" collapsed="false">
      <c r="B49" s="33" t="s">
        <v>349</v>
      </c>
      <c r="C49" s="34" t="s">
        <v>329</v>
      </c>
      <c r="D49" s="34" t="s">
        <v>331</v>
      </c>
      <c r="E49" s="34" t="s">
        <v>350</v>
      </c>
      <c r="F49" s="34" t="s">
        <v>351</v>
      </c>
      <c r="G49" s="7" t="s">
        <v>352</v>
      </c>
    </row>
    <row r="50" customFormat="false" ht="21.75" hidden="false" customHeight="true" outlineLevel="0" collapsed="false">
      <c r="B50" s="33" t="s">
        <v>353</v>
      </c>
      <c r="C50" s="34" t="s">
        <v>354</v>
      </c>
      <c r="D50" s="34" t="s">
        <v>355</v>
      </c>
      <c r="E50" s="34" t="s">
        <v>356</v>
      </c>
      <c r="F50" s="34" t="s">
        <v>357</v>
      </c>
      <c r="G50" s="7" t="s">
        <v>358</v>
      </c>
    </row>
    <row r="51" customFormat="false" ht="21.75" hidden="false" customHeight="true" outlineLevel="0" collapsed="false">
      <c r="B51" s="33" t="s">
        <v>359</v>
      </c>
      <c r="C51" s="34" t="s">
        <v>360</v>
      </c>
      <c r="D51" s="34"/>
      <c r="E51" s="34"/>
      <c r="F51" s="34"/>
      <c r="G51" s="7" t="s">
        <v>361</v>
      </c>
    </row>
    <row r="52" customFormat="false" ht="15" hidden="false" customHeight="true" outlineLevel="0" collapsed="false">
      <c r="B52" s="10" t="s">
        <v>362</v>
      </c>
      <c r="C52" s="10"/>
      <c r="D52" s="10"/>
      <c r="E52" s="10"/>
      <c r="F52" s="10"/>
      <c r="G52" s="10"/>
    </row>
  </sheetData>
  <mergeCells count="14">
    <mergeCell ref="B1:G1"/>
    <mergeCell ref="B2:G2"/>
    <mergeCell ref="B4:G4"/>
    <mergeCell ref="C13:F13"/>
    <mergeCell ref="C14:F14"/>
    <mergeCell ref="B16:G16"/>
    <mergeCell ref="B24:G24"/>
    <mergeCell ref="B29:G29"/>
    <mergeCell ref="C34:F34"/>
    <mergeCell ref="B36:G36"/>
    <mergeCell ref="C41:F41"/>
    <mergeCell ref="B43:G43"/>
    <mergeCell ref="C51:F51"/>
    <mergeCell ref="B52:G5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363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364</v>
      </c>
      <c r="C2" s="2"/>
      <c r="D2" s="2"/>
      <c r="E2" s="2"/>
      <c r="F2" s="2"/>
    </row>
    <row r="4" customFormat="false" ht="21.75" hidden="false" customHeight="true" outlineLevel="0" collapsed="false">
      <c r="B4" s="13" t="s">
        <v>365</v>
      </c>
      <c r="C4" s="13" t="s">
        <v>366</v>
      </c>
      <c r="D4" s="13" t="s">
        <v>367</v>
      </c>
      <c r="E4" s="13" t="s">
        <v>89</v>
      </c>
      <c r="F4" s="13" t="s">
        <v>91</v>
      </c>
    </row>
    <row r="5" customFormat="false" ht="31.5" hidden="false" customHeight="true" outlineLevel="0" collapsed="false">
      <c r="B5" s="17" t="n">
        <v>1</v>
      </c>
      <c r="C5" s="6" t="s">
        <v>368</v>
      </c>
      <c r="D5" s="7" t="s">
        <v>369</v>
      </c>
      <c r="E5" s="9"/>
      <c r="F5" s="5"/>
    </row>
    <row r="6" customFormat="false" ht="31.5" hidden="false" customHeight="true" outlineLevel="0" collapsed="false">
      <c r="B6" s="17" t="n">
        <v>2</v>
      </c>
      <c r="C6" s="6" t="s">
        <v>370</v>
      </c>
      <c r="D6" s="7" t="s">
        <v>371</v>
      </c>
      <c r="E6" s="9"/>
      <c r="F6" s="5"/>
    </row>
    <row r="7" customFormat="false" ht="31.5" hidden="false" customHeight="true" outlineLevel="0" collapsed="false">
      <c r="B7" s="17" t="n">
        <v>3</v>
      </c>
      <c r="C7" s="6" t="s">
        <v>370</v>
      </c>
      <c r="D7" s="7" t="s">
        <v>372</v>
      </c>
      <c r="E7" s="9"/>
      <c r="F7" s="5"/>
    </row>
    <row r="8" customFormat="false" ht="31.5" hidden="false" customHeight="true" outlineLevel="0" collapsed="false">
      <c r="B8" s="17" t="n">
        <v>4</v>
      </c>
      <c r="C8" s="6" t="s">
        <v>370</v>
      </c>
      <c r="D8" s="7" t="s">
        <v>373</v>
      </c>
      <c r="E8" s="9"/>
      <c r="F8" s="5"/>
    </row>
    <row r="9" customFormat="false" ht="31.5" hidden="false" customHeight="true" outlineLevel="0" collapsed="false">
      <c r="B9" s="17" t="n">
        <v>5</v>
      </c>
      <c r="C9" s="6" t="s">
        <v>370</v>
      </c>
      <c r="D9" s="7" t="s">
        <v>374</v>
      </c>
      <c r="E9" s="9"/>
      <c r="F9" s="5"/>
    </row>
    <row r="10" customFormat="false" ht="31.5" hidden="false" customHeight="true" outlineLevel="0" collapsed="false">
      <c r="B10" s="17" t="n">
        <v>6</v>
      </c>
      <c r="C10" s="6" t="s">
        <v>52</v>
      </c>
      <c r="D10" s="7" t="s">
        <v>375</v>
      </c>
      <c r="E10" s="9"/>
      <c r="F10" s="5"/>
    </row>
    <row r="11" customFormat="false" ht="19.5" hidden="false" customHeight="true" outlineLevel="0" collapsed="false">
      <c r="B11" s="17" t="n">
        <v>7</v>
      </c>
      <c r="C11" s="6" t="s">
        <v>52</v>
      </c>
      <c r="D11" s="7" t="s">
        <v>376</v>
      </c>
      <c r="E11" s="9"/>
      <c r="F11" s="5"/>
    </row>
    <row r="12" customFormat="false" ht="31.5" hidden="false" customHeight="true" outlineLevel="0" collapsed="false">
      <c r="B12" s="17" t="n">
        <v>8</v>
      </c>
      <c r="C12" s="6" t="s">
        <v>377</v>
      </c>
      <c r="D12" s="7" t="s">
        <v>378</v>
      </c>
      <c r="E12" s="9"/>
      <c r="F12" s="5"/>
    </row>
    <row r="13" customFormat="false" ht="31.5" hidden="false" customHeight="true" outlineLevel="0" collapsed="false">
      <c r="B13" s="17" t="n">
        <v>9</v>
      </c>
      <c r="C13" s="6" t="s">
        <v>33</v>
      </c>
      <c r="D13" s="7" t="s">
        <v>379</v>
      </c>
      <c r="E13" s="9"/>
      <c r="F13" s="5"/>
    </row>
    <row r="14" customFormat="false" ht="19.5" hidden="false" customHeight="true" outlineLevel="0" collapsed="false">
      <c r="B14" s="17" t="n">
        <v>10</v>
      </c>
      <c r="C14" s="6" t="s">
        <v>33</v>
      </c>
      <c r="D14" s="7" t="s">
        <v>380</v>
      </c>
      <c r="E14" s="9"/>
      <c r="F14" s="5"/>
    </row>
    <row r="15" customFormat="false" ht="31.5" hidden="false" customHeight="true" outlineLevel="0" collapsed="false">
      <c r="B15" s="17" t="n">
        <v>11</v>
      </c>
      <c r="C15" s="6" t="s">
        <v>33</v>
      </c>
      <c r="D15" s="7" t="s">
        <v>381</v>
      </c>
      <c r="E15" s="9"/>
      <c r="F15" s="5"/>
    </row>
    <row r="16" customFormat="false" ht="31.5" hidden="false" customHeight="true" outlineLevel="0" collapsed="false">
      <c r="B16" s="17" t="n">
        <v>12</v>
      </c>
      <c r="C16" s="6" t="s">
        <v>33</v>
      </c>
      <c r="D16" s="7" t="s">
        <v>382</v>
      </c>
      <c r="E16" s="9"/>
      <c r="F16" s="5"/>
    </row>
    <row r="18" customFormat="false" ht="19.5" hidden="false" customHeight="true" outlineLevel="0" collapsed="false">
      <c r="B18" s="26" t="s">
        <v>383</v>
      </c>
      <c r="C18" s="26"/>
      <c r="D18" s="26"/>
      <c r="E18" s="8" t="n">
        <f aca="false">COUNTA(E5:E16)</f>
        <v>0</v>
      </c>
    </row>
    <row r="19" customFormat="false" ht="19.5" hidden="false" customHeight="true" outlineLevel="0" collapsed="false">
      <c r="B19" s="26" t="s">
        <v>384</v>
      </c>
      <c r="C19" s="26"/>
      <c r="D19" s="26"/>
      <c r="E19" s="35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6" t="s">
        <v>89</v>
      </c>
      <c r="C20" s="26"/>
      <c r="D20" s="26"/>
      <c r="E20" s="23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1"/>
    <col collapsed="false" customWidth="true" hidden="false" outlineLevel="0" max="4" min="4" style="0" width="11"/>
    <col collapsed="false" customWidth="true" hidden="false" outlineLevel="0" max="7" min="5" style="0" width="9"/>
    <col collapsed="false" customWidth="true" hidden="false" outlineLevel="0" max="8" min="8" style="0" width="10"/>
    <col collapsed="false" customWidth="true" hidden="false" outlineLevel="0" max="14" min="9" style="0" width="11"/>
    <col collapsed="false" customWidth="true" hidden="false" outlineLevel="0" max="15" min="15" style="0" width="14"/>
    <col collapsed="false" customWidth="true" hidden="false" outlineLevel="0" max="16" min="16" style="0" width="56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59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385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B4" s="4" t="s">
        <v>61</v>
      </c>
      <c r="C4" s="4"/>
      <c r="D4" s="36" t="s">
        <v>386</v>
      </c>
      <c r="E4" s="36"/>
      <c r="F4" s="36"/>
      <c r="G4" s="36"/>
      <c r="H4" s="36"/>
      <c r="I4" s="4" t="s">
        <v>62</v>
      </c>
      <c r="J4" s="4"/>
      <c r="K4" s="4"/>
      <c r="L4" s="4"/>
      <c r="M4" s="37" t="n">
        <v>3</v>
      </c>
      <c r="N4" s="10" t="s">
        <v>63</v>
      </c>
      <c r="O4" s="10"/>
      <c r="P4" s="10"/>
      <c r="Q4" s="10"/>
    </row>
    <row r="5" customFormat="false" ht="21.75" hidden="false" customHeight="true" outlineLevel="0" collapsed="false">
      <c r="B5" s="4" t="s">
        <v>64</v>
      </c>
      <c r="C5" s="4"/>
      <c r="D5" s="36" t="s">
        <v>387</v>
      </c>
      <c r="E5" s="36"/>
      <c r="F5" s="36"/>
      <c r="G5" s="36"/>
      <c r="H5" s="36"/>
      <c r="I5" s="4" t="s">
        <v>65</v>
      </c>
      <c r="J5" s="4"/>
      <c r="K5" s="4"/>
      <c r="L5" s="4"/>
      <c r="M5" s="37" t="n">
        <v>6</v>
      </c>
      <c r="N5" s="10" t="s">
        <v>66</v>
      </c>
      <c r="O5" s="10"/>
      <c r="P5" s="10"/>
      <c r="Q5" s="10"/>
    </row>
    <row r="6" customFormat="false" ht="21.75" hidden="false" customHeight="true" outlineLevel="0" collapsed="false">
      <c r="B6" s="4" t="s">
        <v>67</v>
      </c>
      <c r="C6" s="4"/>
      <c r="D6" s="38" t="n">
        <v>46299</v>
      </c>
      <c r="E6" s="38"/>
      <c r="F6" s="38"/>
      <c r="G6" s="38"/>
      <c r="H6" s="38"/>
      <c r="I6" s="4" t="s">
        <v>68</v>
      </c>
      <c r="J6" s="4"/>
      <c r="K6" s="4"/>
      <c r="L6" s="4"/>
      <c r="M6" s="37" t="n">
        <v>10</v>
      </c>
      <c r="N6" s="10" t="s">
        <v>69</v>
      </c>
      <c r="O6" s="10"/>
      <c r="P6" s="10"/>
      <c r="Q6" s="10"/>
    </row>
    <row r="7" customFormat="false" ht="21.75" hidden="false" customHeight="true" outlineLevel="0" collapsed="false">
      <c r="B7" s="4" t="s">
        <v>70</v>
      </c>
      <c r="C7" s="4"/>
      <c r="D7" s="36" t="s">
        <v>388</v>
      </c>
      <c r="E7" s="36"/>
      <c r="F7" s="36"/>
      <c r="G7" s="36"/>
      <c r="H7" s="36"/>
      <c r="I7" s="4" t="s">
        <v>71</v>
      </c>
      <c r="J7" s="4"/>
      <c r="K7" s="4"/>
      <c r="L7" s="4"/>
      <c r="M7" s="37" t="n">
        <v>1</v>
      </c>
      <c r="N7" s="10" t="s">
        <v>72</v>
      </c>
      <c r="O7" s="10"/>
      <c r="P7" s="10"/>
      <c r="Q7" s="10"/>
    </row>
    <row r="8" customFormat="false" ht="21.75" hidden="false" customHeight="true" outlineLevel="0" collapsed="false">
      <c r="B8" s="4" t="s">
        <v>73</v>
      </c>
      <c r="C8" s="4"/>
      <c r="D8" s="36" t="s">
        <v>389</v>
      </c>
      <c r="E8" s="36"/>
      <c r="F8" s="36"/>
      <c r="G8" s="36"/>
      <c r="H8" s="36"/>
      <c r="I8" s="4" t="s">
        <v>74</v>
      </c>
      <c r="J8" s="4"/>
      <c r="K8" s="4"/>
      <c r="L8" s="4"/>
      <c r="M8" s="37" t="n">
        <v>3</v>
      </c>
      <c r="N8" s="10" t="s">
        <v>75</v>
      </c>
      <c r="O8" s="10"/>
      <c r="P8" s="10"/>
      <c r="Q8" s="10"/>
    </row>
    <row r="10" customFormat="false" ht="21.75" hidden="false" customHeight="true" outlineLevel="0" collapsed="false">
      <c r="B10" s="12" t="s">
        <v>76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customFormat="false" ht="30" hidden="false" customHeight="true" outlineLevel="0" collapsed="false">
      <c r="B11" s="13" t="s">
        <v>77</v>
      </c>
      <c r="C11" s="13" t="s">
        <v>78</v>
      </c>
      <c r="D11" s="14" t="s">
        <v>79</v>
      </c>
      <c r="E11" s="14" t="s">
        <v>80</v>
      </c>
      <c r="F11" s="14" t="s">
        <v>81</v>
      </c>
      <c r="G11" s="14" t="s">
        <v>82</v>
      </c>
      <c r="H11" s="14" t="s">
        <v>50</v>
      </c>
      <c r="I11" s="14" t="s">
        <v>83</v>
      </c>
      <c r="J11" s="14" t="s">
        <v>84</v>
      </c>
      <c r="K11" s="15" t="s">
        <v>85</v>
      </c>
      <c r="L11" s="15" t="s">
        <v>86</v>
      </c>
      <c r="M11" s="15" t="s">
        <v>87</v>
      </c>
      <c r="N11" s="15" t="s">
        <v>88</v>
      </c>
      <c r="O11" s="15" t="s">
        <v>89</v>
      </c>
      <c r="P11" s="15" t="s">
        <v>90</v>
      </c>
      <c r="Q11" s="13" t="s">
        <v>91</v>
      </c>
    </row>
    <row r="12" customFormat="false" ht="27" hidden="false" customHeight="true" outlineLevel="0" collapsed="false">
      <c r="B12" s="16" t="s">
        <v>92</v>
      </c>
      <c r="C12" s="16" t="s">
        <v>93</v>
      </c>
      <c r="D12" s="16" t="s">
        <v>94</v>
      </c>
      <c r="E12" s="16" t="s">
        <v>95</v>
      </c>
      <c r="F12" s="16" t="s">
        <v>96</v>
      </c>
      <c r="G12" s="16" t="s">
        <v>96</v>
      </c>
      <c r="H12" s="16" t="s">
        <v>94</v>
      </c>
      <c r="I12" s="16" t="s">
        <v>97</v>
      </c>
      <c r="J12" s="16" t="s">
        <v>98</v>
      </c>
      <c r="K12" s="16" t="s">
        <v>94</v>
      </c>
      <c r="L12" s="16" t="s">
        <v>94</v>
      </c>
      <c r="M12" s="16" t="s">
        <v>99</v>
      </c>
      <c r="N12" s="16" t="s">
        <v>94</v>
      </c>
      <c r="O12" s="16"/>
      <c r="P12" s="16"/>
      <c r="Q12" s="16"/>
    </row>
    <row r="13" customFormat="false" ht="24" hidden="false" customHeight="true" outlineLevel="0" collapsed="false">
      <c r="B13" s="10" t="s">
        <v>390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customFormat="false" ht="21.75" hidden="false" customHeight="true" outlineLevel="0" collapsed="false">
      <c r="B14" s="17" t="n">
        <v>1</v>
      </c>
      <c r="C14" s="36" t="s">
        <v>391</v>
      </c>
      <c r="D14" s="39" t="n">
        <v>-30</v>
      </c>
      <c r="E14" s="37" t="n">
        <v>8</v>
      </c>
      <c r="F14" s="37" t="n">
        <v>1</v>
      </c>
      <c r="G14" s="37" t="n">
        <v>50</v>
      </c>
      <c r="H14" s="39" t="n">
        <v>10</v>
      </c>
      <c r="I14" s="39" t="n">
        <v>-8</v>
      </c>
      <c r="J14" s="37" t="n">
        <v>18</v>
      </c>
      <c r="K14" s="19" t="n">
        <f aca="false">IF(OR(D14="",I14=""),"",MAX(0,I14-D14))</f>
        <v>22</v>
      </c>
      <c r="L14" s="20" t="n">
        <f aca="false">IF(AND(D14&lt;&gt;"",E14&lt;&gt;"",I14&lt;&gt;""),IF(E14&lt;1,"",ROUND(K14*(1-1/E14),1)),"")</f>
        <v>19.3</v>
      </c>
      <c r="M14" s="21" t="n">
        <f aca="false">IF(L14="","",ROUND(I14-L14+IF(H14="",0,H14),1))</f>
        <v>-17.3</v>
      </c>
      <c r="N14" s="22" t="n">
        <f aca="false">IF(OR(J14="",L14=""),"",ROUND(J14-L14,1))</f>
        <v>-1.3</v>
      </c>
      <c r="O14" s="23" t="str">
        <f aca="false">IF(AND(E14&lt;&gt;"",E14&lt;1),"Razão inválida",IF(AND(J14="",L14=""),"",IF(IF(J14&lt;&gt;"",J14,L14)&gt;$M$6,"Excesso",IF(IF(H14="",0,H14)&gt;IF(J14&lt;&gt;"",J14,L14)+$M$7,"Make-up alto",IF(IF(J14&lt;&gt;"",J14,L14)&lt;0.5,"Sem ação",IF(IF(J14&lt;&gt;"",J14,L14)&lt;$M$4,"Leve",IF(IF(J14&lt;&gt;"",J14,L14)&gt;$M$5,"Forte","OK")))))))</f>
        <v>Excesso</v>
      </c>
      <c r="P14" s="24" t="str">
        <f aca="false">IF(O14="","",IF(O14="Razão inválida","A razão começa em 1. Digite 4 para 4:1",IF(O14="Excesso","Compressão em excesso: suba o threshold, baixe a razão e reduza o make-up",IF(O14="Make-up alto","Make-up acima da redução: baixe-o. Nas pausas, o canal fica mais perto de apitar",IF(O14="Sem ação","O sinal não chega ao threshold: baixe o threshold ou desligue o compressor",IF(O14="Leve","Atuação leve. Se a fonte ainda varia demais, baixe o threshold alguns dB",IF(O14="Forte","Redução forte: suba o threshold ou baixe a razão","Manter")))))))</f>
        <v>Compressão em excesso: suba o threshold, baixe a razão e reduza o make-up</v>
      </c>
      <c r="Q14" s="36"/>
    </row>
    <row r="15" customFormat="false" ht="21.75" hidden="false" customHeight="true" outlineLevel="0" collapsed="false">
      <c r="B15" s="17" t="n">
        <v>2</v>
      </c>
      <c r="C15" s="36" t="s">
        <v>101</v>
      </c>
      <c r="D15" s="39" t="n">
        <v>-30</v>
      </c>
      <c r="E15" s="37" t="n">
        <v>8</v>
      </c>
      <c r="F15" s="37" t="n">
        <v>1</v>
      </c>
      <c r="G15" s="37" t="n">
        <v>50</v>
      </c>
      <c r="H15" s="39" t="n">
        <v>10</v>
      </c>
      <c r="I15" s="39" t="n">
        <v>-6</v>
      </c>
      <c r="J15" s="37" t="n">
        <v>20</v>
      </c>
      <c r="K15" s="19" t="n">
        <f aca="false">IF(OR(D15="",I15=""),"",MAX(0,I15-D15))</f>
        <v>24</v>
      </c>
      <c r="L15" s="20" t="n">
        <f aca="false">IF(AND(D15&lt;&gt;"",E15&lt;&gt;"",I15&lt;&gt;""),IF(E15&lt;1,"",ROUND(K15*(1-1/E15),1)),"")</f>
        <v>21</v>
      </c>
      <c r="M15" s="21" t="n">
        <f aca="false">IF(L15="","",ROUND(I15-L15+IF(H15="",0,H15),1))</f>
        <v>-17</v>
      </c>
      <c r="N15" s="22" t="n">
        <f aca="false">IF(OR(J15="",L15=""),"",ROUND(J15-L15,1))</f>
        <v>-1</v>
      </c>
      <c r="O15" s="23" t="str">
        <f aca="false">IF(AND(E15&lt;&gt;"",E15&lt;1),"Razão inválida",IF(AND(J15="",L15=""),"",IF(IF(J15&lt;&gt;"",J15,L15)&gt;$M$6,"Excesso",IF(IF(H15="",0,H15)&gt;IF(J15&lt;&gt;"",J15,L15)+$M$7,"Make-up alto",IF(IF(J15&lt;&gt;"",J15,L15)&lt;0.5,"Sem ação",IF(IF(J15&lt;&gt;"",J15,L15)&lt;$M$4,"Leve",IF(IF(J15&lt;&gt;"",J15,L15)&gt;$M$5,"Forte","OK")))))))</f>
        <v>Excesso</v>
      </c>
      <c r="P15" s="24" t="str">
        <f aca="false">IF(O15="","",IF(O15="Razão inválida","A razão começa em 1. Digite 4 para 4:1",IF(O15="Excesso","Compressão em excesso: suba o threshold, baixe a razão e reduza o make-up",IF(O15="Make-up alto","Make-up acima da redução: baixe-o. Nas pausas, o canal fica mais perto de apitar",IF(O15="Sem ação","O sinal não chega ao threshold: baixe o threshold ou desligue o compressor",IF(O15="Leve","Atuação leve. Se a fonte ainda varia demais, baixe o threshold alguns dB",IF(O15="Forte","Redução forte: suba o threshold ou baixe a razão","Manter")))))))</f>
        <v>Compressão em excesso: suba o threshold, baixe a razão e reduza o make-up</v>
      </c>
      <c r="Q15" s="36"/>
    </row>
    <row r="16" customFormat="false" ht="21.75" hidden="false" customHeight="true" outlineLevel="0" collapsed="false">
      <c r="B16" s="17" t="n">
        <v>3</v>
      </c>
      <c r="C16" s="36" t="s">
        <v>392</v>
      </c>
      <c r="D16" s="39" t="n">
        <v>-20</v>
      </c>
      <c r="E16" s="37" t="n">
        <v>3</v>
      </c>
      <c r="F16" s="37" t="n">
        <v>10</v>
      </c>
      <c r="G16" s="37" t="n">
        <v>150</v>
      </c>
      <c r="H16" s="39" t="n">
        <v>3</v>
      </c>
      <c r="I16" s="39" t="n">
        <v>-10</v>
      </c>
      <c r="J16" s="37" t="n">
        <v>7</v>
      </c>
      <c r="K16" s="19" t="n">
        <f aca="false">IF(OR(D16="",I16=""),"",MAX(0,I16-D16))</f>
        <v>10</v>
      </c>
      <c r="L16" s="20" t="n">
        <f aca="false">IF(AND(D16&lt;&gt;"",E16&lt;&gt;"",I16&lt;&gt;""),IF(E16&lt;1,"",ROUND(K16*(1-1/E16),1)),"")</f>
        <v>6.7</v>
      </c>
      <c r="M16" s="21" t="n">
        <f aca="false">IF(L16="","",ROUND(I16-L16+IF(H16="",0,H16),1))</f>
        <v>-13.7</v>
      </c>
      <c r="N16" s="22" t="n">
        <f aca="false">IF(OR(J16="",L16=""),"",ROUND(J16-L16,1))</f>
        <v>0.3</v>
      </c>
      <c r="O16" s="23" t="str">
        <f aca="false">IF(AND(E16&lt;&gt;"",E16&lt;1),"Razão inválida",IF(AND(J16="",L16=""),"",IF(IF(J16&lt;&gt;"",J16,L16)&gt;$M$6,"Excesso",IF(IF(H16="",0,H16)&gt;IF(J16&lt;&gt;"",J16,L16)+$M$7,"Make-up alto",IF(IF(J16&lt;&gt;"",J16,L16)&lt;0.5,"Sem ação",IF(IF(J16&lt;&gt;"",J16,L16)&lt;$M$4,"Leve",IF(IF(J16&lt;&gt;"",J16,L16)&gt;$M$5,"Forte","OK")))))))</f>
        <v>Forte</v>
      </c>
      <c r="P16" s="24" t="str">
        <f aca="false">IF(O16="","",IF(O16="Razão inválida","A razão começa em 1. Digite 4 para 4:1",IF(O16="Excesso","Compressão em excesso: suba o threshold, baixe a razão e reduza o make-up",IF(O16="Make-up alto","Make-up acima da redução: baixe-o. Nas pausas, o canal fica mais perto de apitar",IF(O16="Sem ação","O sinal não chega ao threshold: baixe o threshold ou desligue o compressor",IF(O16="Leve","Atuação leve. Se a fonte ainda varia demais, baixe o threshold alguns dB",IF(O16="Forte","Redução forte: suba o threshold ou baixe a razão","Manter")))))))</f>
        <v>Redução forte: suba o threshold ou baixe a razão</v>
      </c>
      <c r="Q16" s="36"/>
    </row>
    <row r="17" customFormat="false" ht="21.75" hidden="false" customHeight="true" outlineLevel="0" collapsed="false">
      <c r="B17" s="17" t="n">
        <v>4</v>
      </c>
      <c r="C17" s="36" t="s">
        <v>393</v>
      </c>
      <c r="D17" s="39" t="n">
        <v>-18</v>
      </c>
      <c r="E17" s="37" t="n">
        <v>2.5</v>
      </c>
      <c r="F17" s="37" t="n">
        <v>20</v>
      </c>
      <c r="G17" s="37" t="n">
        <v>150</v>
      </c>
      <c r="H17" s="39" t="n">
        <v>2</v>
      </c>
      <c r="I17" s="39" t="n">
        <v>-10</v>
      </c>
      <c r="J17" s="37" t="n">
        <v>5</v>
      </c>
      <c r="K17" s="19" t="n">
        <f aca="false">IF(OR(D17="",I17=""),"",MAX(0,I17-D17))</f>
        <v>8</v>
      </c>
      <c r="L17" s="20" t="n">
        <f aca="false">IF(AND(D17&lt;&gt;"",E17&lt;&gt;"",I17&lt;&gt;""),IF(E17&lt;1,"",ROUND(K17*(1-1/E17),1)),"")</f>
        <v>4.8</v>
      </c>
      <c r="M17" s="21" t="n">
        <f aca="false">IF(L17="","",ROUND(I17-L17+IF(H17="",0,H17),1))</f>
        <v>-12.8</v>
      </c>
      <c r="N17" s="22" t="n">
        <f aca="false">IF(OR(J17="",L17=""),"",ROUND(J17-L17,1))</f>
        <v>0.2</v>
      </c>
      <c r="O17" s="23" t="str">
        <f aca="false">IF(AND(E17&lt;&gt;"",E17&lt;1),"Razão inválida",IF(AND(J17="",L17=""),"",IF(IF(J17&lt;&gt;"",J17,L17)&gt;$M$6,"Excesso",IF(IF(H17="",0,H17)&gt;IF(J17&lt;&gt;"",J17,L17)+$M$7,"Make-up alto",IF(IF(J17&lt;&gt;"",J17,L17)&lt;0.5,"Sem ação",IF(IF(J17&lt;&gt;"",J17,L17)&lt;$M$4,"Leve",IF(IF(J17&lt;&gt;"",J17,L17)&gt;$M$5,"Forte","OK")))))))</f>
        <v>OK</v>
      </c>
      <c r="P17" s="24" t="str">
        <f aca="false">IF(O17="","",IF(O17="Razão inválida","A razão começa em 1. Digite 4 para 4:1",IF(O17="Excesso","Compressão em excesso: suba o threshold, baixe a razão e reduza o make-up",IF(O17="Make-up alto","Make-up acima da redução: baixe-o. Nas pausas, o canal fica mais perto de apitar",IF(O17="Sem ação","O sinal não chega ao threshold: baixe o threshold ou desligue o compressor",IF(O17="Leve","Atuação leve. Se a fonte ainda varia demais, baixe o threshold alguns dB",IF(O17="Forte","Redução forte: suba o threshold ou baixe a razão","Manter")))))))</f>
        <v>Manter</v>
      </c>
      <c r="Q17" s="36"/>
    </row>
    <row r="18" customFormat="false" ht="21.75" hidden="false" customHeight="true" outlineLevel="0" collapsed="false">
      <c r="B18" s="17" t="n">
        <v>5</v>
      </c>
      <c r="C18" s="36" t="s">
        <v>216</v>
      </c>
      <c r="D18" s="39" t="n">
        <v>-20</v>
      </c>
      <c r="E18" s="37" t="n">
        <v>4</v>
      </c>
      <c r="F18" s="37" t="n">
        <v>30</v>
      </c>
      <c r="G18" s="37" t="n">
        <v>200</v>
      </c>
      <c r="H18" s="39" t="n">
        <v>3</v>
      </c>
      <c r="I18" s="39" t="n">
        <v>-12</v>
      </c>
      <c r="J18" s="37" t="n">
        <v>6</v>
      </c>
      <c r="K18" s="19" t="n">
        <f aca="false">IF(OR(D18="",I18=""),"",MAX(0,I18-D18))</f>
        <v>8</v>
      </c>
      <c r="L18" s="20" t="n">
        <f aca="false">IF(AND(D18&lt;&gt;"",E18&lt;&gt;"",I18&lt;&gt;""),IF(E18&lt;1,"",ROUND(K18*(1-1/E18),1)),"")</f>
        <v>6</v>
      </c>
      <c r="M18" s="21" t="n">
        <f aca="false">IF(L18="","",ROUND(I18-L18+IF(H18="",0,H18),1))</f>
        <v>-15</v>
      </c>
      <c r="N18" s="22" t="n">
        <f aca="false">IF(OR(J18="",L18=""),"",ROUND(J18-L18,1))</f>
        <v>0</v>
      </c>
      <c r="O18" s="23" t="str">
        <f aca="false">IF(AND(E18&lt;&gt;"",E18&lt;1),"Razão inválida",IF(AND(J18="",L18=""),"",IF(IF(J18&lt;&gt;"",J18,L18)&gt;$M$6,"Excesso",IF(IF(H18="",0,H18)&gt;IF(J18&lt;&gt;"",J18,L18)+$M$7,"Make-up alto",IF(IF(J18&lt;&gt;"",J18,L18)&lt;0.5,"Sem ação",IF(IF(J18&lt;&gt;"",J18,L18)&lt;$M$4,"Leve",IF(IF(J18&lt;&gt;"",J18,L18)&gt;$M$5,"Forte","OK")))))))</f>
        <v>OK</v>
      </c>
      <c r="P18" s="24" t="str">
        <f aca="false">IF(O18="","",IF(O18="Razão inválida","A razão começa em 1. Digite 4 para 4:1",IF(O18="Excesso","Compressão em excesso: suba o threshold, baixe a razão e reduza o make-up",IF(O18="Make-up alto","Make-up acima da redução: baixe-o. Nas pausas, o canal fica mais perto de apitar",IF(O18="Sem ação","O sinal não chega ao threshold: baixe o threshold ou desligue o compressor",IF(O18="Leve","Atuação leve. Se a fonte ainda varia demais, baixe o threshold alguns dB",IF(O18="Forte","Redução forte: suba o threshold ou baixe a razão","Manter")))))))</f>
        <v>Manter</v>
      </c>
      <c r="Q18" s="36"/>
    </row>
    <row r="19" customFormat="false" ht="21.75" hidden="false" customHeight="true" outlineLevel="0" collapsed="false">
      <c r="B19" s="17" t="n">
        <v>6</v>
      </c>
      <c r="C19" s="36" t="s">
        <v>228</v>
      </c>
      <c r="D19" s="39" t="n">
        <v>-10</v>
      </c>
      <c r="E19" s="37" t="n">
        <v>2</v>
      </c>
      <c r="F19" s="37" t="n">
        <v>30</v>
      </c>
      <c r="G19" s="37" t="n">
        <v>300</v>
      </c>
      <c r="H19" s="39" t="n">
        <v>0</v>
      </c>
      <c r="I19" s="39" t="n">
        <v>-12</v>
      </c>
      <c r="J19" s="37" t="n">
        <v>0</v>
      </c>
      <c r="K19" s="19" t="n">
        <f aca="false">IF(OR(D19="",I19=""),"",MAX(0,I19-D19))</f>
        <v>0</v>
      </c>
      <c r="L19" s="20" t="n">
        <f aca="false">IF(AND(D19&lt;&gt;"",E19&lt;&gt;"",I19&lt;&gt;""),IF(E19&lt;1,"",ROUND(K19*(1-1/E19),1)),"")</f>
        <v>0</v>
      </c>
      <c r="M19" s="21" t="n">
        <f aca="false">IF(L19="","",ROUND(I19-L19+IF(H19="",0,H19),1))</f>
        <v>-12</v>
      </c>
      <c r="N19" s="22" t="n">
        <f aca="false">IF(OR(J19="",L19=""),"",ROUND(J19-L19,1))</f>
        <v>0</v>
      </c>
      <c r="O19" s="23" t="str">
        <f aca="false">IF(AND(E19&lt;&gt;"",E19&lt;1),"Razão inválida",IF(AND(J19="",L19=""),"",IF(IF(J19&lt;&gt;"",J19,L19)&gt;$M$6,"Excesso",IF(IF(H19="",0,H19)&gt;IF(J19&lt;&gt;"",J19,L19)+$M$7,"Make-up alto",IF(IF(J19&lt;&gt;"",J19,L19)&lt;0.5,"Sem ação",IF(IF(J19&lt;&gt;"",J19,L19)&lt;$M$4,"Leve",IF(IF(J19&lt;&gt;"",J19,L19)&gt;$M$5,"Forte","OK")))))))</f>
        <v>Sem ação</v>
      </c>
      <c r="P19" s="24" t="str">
        <f aca="false">IF(O19="","",IF(O19="Razão inválida","A razão começa em 1. Digite 4 para 4:1",IF(O19="Excesso","Compressão em excesso: suba o threshold, baixe a razão e reduza o make-up",IF(O19="Make-up alto","Make-up acima da redução: baixe-o. Nas pausas, o canal fica mais perto de apitar",IF(O19="Sem ação","O sinal não chega ao threshold: baixe o threshold ou desligue o compressor",IF(O19="Leve","Atuação leve. Se a fonte ainda varia demais, baixe o threshold alguns dB",IF(O19="Forte","Redução forte: suba o threshold ou baixe a razão","Manter")))))))</f>
        <v>O sinal não chega ao threshold: baixe o threshold ou desligue o compressor</v>
      </c>
      <c r="Q19" s="36"/>
    </row>
    <row r="20" customFormat="false" ht="21.75" hidden="false" customHeight="true" outlineLevel="0" collapsed="false">
      <c r="B20" s="17" t="n">
        <v>7</v>
      </c>
      <c r="C20" s="36" t="s">
        <v>222</v>
      </c>
      <c r="D20" s="39" t="n">
        <v>-14</v>
      </c>
      <c r="E20" s="37" t="n">
        <v>4</v>
      </c>
      <c r="F20" s="37" t="n">
        <v>20</v>
      </c>
      <c r="G20" s="37" t="n">
        <v>100</v>
      </c>
      <c r="H20" s="39" t="n">
        <v>2</v>
      </c>
      <c r="I20" s="39" t="n">
        <v>-6</v>
      </c>
      <c r="J20" s="37" t="n">
        <v>6</v>
      </c>
      <c r="K20" s="19" t="n">
        <f aca="false">IF(OR(D20="",I20=""),"",MAX(0,I20-D20))</f>
        <v>8</v>
      </c>
      <c r="L20" s="20" t="n">
        <f aca="false">IF(AND(D20&lt;&gt;"",E20&lt;&gt;"",I20&lt;&gt;""),IF(E20&lt;1,"",ROUND(K20*(1-1/E20),1)),"")</f>
        <v>6</v>
      </c>
      <c r="M20" s="21" t="n">
        <f aca="false">IF(L20="","",ROUND(I20-L20+IF(H20="",0,H20),1))</f>
        <v>-10</v>
      </c>
      <c r="N20" s="22" t="n">
        <f aca="false">IF(OR(J20="",L20=""),"",ROUND(J20-L20,1))</f>
        <v>0</v>
      </c>
      <c r="O20" s="23" t="str">
        <f aca="false">IF(AND(E20&lt;&gt;"",E20&lt;1),"Razão inválida",IF(AND(J20="",L20=""),"",IF(IF(J20&lt;&gt;"",J20,L20)&gt;$M$6,"Excesso",IF(IF(H20="",0,H20)&gt;IF(J20&lt;&gt;"",J20,L20)+$M$7,"Make-up alto",IF(IF(J20&lt;&gt;"",J20,L20)&lt;0.5,"Sem ação",IF(IF(J20&lt;&gt;"",J20,L20)&lt;$M$4,"Leve",IF(IF(J20&lt;&gt;"",J20,L20)&gt;$M$5,"Forte","OK")))))))</f>
        <v>OK</v>
      </c>
      <c r="P20" s="24" t="str">
        <f aca="false">IF(O20="","",IF(O20="Razão inválida","A razão começa em 1. Digite 4 para 4:1",IF(O20="Excesso","Compressão em excesso: suba o threshold, baixe a razão e reduza o make-up",IF(O20="Make-up alto","Make-up acima da redução: baixe-o. Nas pausas, o canal fica mais perto de apitar",IF(O20="Sem ação","O sinal não chega ao threshold: baixe o threshold ou desligue o compressor",IF(O20="Leve","Atuação leve. Se a fonte ainda varia demais, baixe o threshold alguns dB",IF(O20="Forte","Redução forte: suba o threshold ou baixe a razão","Manter")))))))</f>
        <v>Manter</v>
      </c>
      <c r="Q20" s="36"/>
    </row>
    <row r="21" customFormat="false" ht="21.75" hidden="false" customHeight="true" outlineLevel="0" collapsed="false">
      <c r="B21" s="17" t="n">
        <v>8</v>
      </c>
      <c r="C21" s="36" t="s">
        <v>394</v>
      </c>
      <c r="D21" s="39" t="n">
        <v>-30</v>
      </c>
      <c r="E21" s="37" t="n">
        <v>4</v>
      </c>
      <c r="F21" s="37" t="n">
        <v>10</v>
      </c>
      <c r="G21" s="37" t="n">
        <v>200</v>
      </c>
      <c r="H21" s="39" t="n">
        <v>8</v>
      </c>
      <c r="I21" s="39" t="n">
        <v>-22</v>
      </c>
      <c r="J21" s="37" t="n">
        <v>6</v>
      </c>
      <c r="K21" s="19" t="n">
        <f aca="false">IF(OR(D21="",I21=""),"",MAX(0,I21-D21))</f>
        <v>8</v>
      </c>
      <c r="L21" s="20" t="n">
        <f aca="false">IF(AND(D21&lt;&gt;"",E21&lt;&gt;"",I21&lt;&gt;""),IF(E21&lt;1,"",ROUND(K21*(1-1/E21),1)),"")</f>
        <v>6</v>
      </c>
      <c r="M21" s="21" t="n">
        <f aca="false">IF(L21="","",ROUND(I21-L21+IF(H21="",0,H21),1))</f>
        <v>-20</v>
      </c>
      <c r="N21" s="22" t="n">
        <f aca="false">IF(OR(J21="",L21=""),"",ROUND(J21-L21,1))</f>
        <v>0</v>
      </c>
      <c r="O21" s="23" t="str">
        <f aca="false">IF(AND(E21&lt;&gt;"",E21&lt;1),"Razão inválida",IF(AND(J21="",L21=""),"",IF(IF(J21&lt;&gt;"",J21,L21)&gt;$M$6,"Excesso",IF(IF(H21="",0,H21)&gt;IF(J21&lt;&gt;"",J21,L21)+$M$7,"Make-up alto",IF(IF(J21&lt;&gt;"",J21,L21)&lt;0.5,"Sem ação",IF(IF(J21&lt;&gt;"",J21,L21)&lt;$M$4,"Leve",IF(IF(J21&lt;&gt;"",J21,L21)&gt;$M$5,"Forte","OK")))))))</f>
        <v>Make-up alto</v>
      </c>
      <c r="P21" s="24" t="str">
        <f aca="false">IF(O21="","",IF(O21="Razão inválida","A razão começa em 1. Digite 4 para 4:1",IF(O21="Excesso","Compressão em excesso: suba o threshold, baixe a razão e reduza o make-up",IF(O21="Make-up alto","Make-up acima da redução: baixe-o. Nas pausas, o canal fica mais perto de apitar",IF(O21="Sem ação","O sinal não chega ao threshold: baixe o threshold ou desligue o compressor",IF(O21="Leve","Atuação leve. Se a fonte ainda varia demais, baixe o threshold alguns dB",IF(O21="Forte","Redução forte: suba o threshold ou baixe a razão","Manter")))))))</f>
        <v>Make-up acima da redução: baixe-o. Nas pausas, o canal fica mais perto de apitar</v>
      </c>
      <c r="Q21" s="36"/>
    </row>
    <row r="22" customFormat="false" ht="21.75" hidden="false" customHeight="true" outlineLevel="0" collapsed="false">
      <c r="B22" s="17" t="n">
        <v>9</v>
      </c>
      <c r="C22" s="36"/>
      <c r="D22" s="39"/>
      <c r="E22" s="37"/>
      <c r="F22" s="37"/>
      <c r="G22" s="37"/>
      <c r="H22" s="39"/>
      <c r="I22" s="39"/>
      <c r="J22" s="37"/>
      <c r="K22" s="19" t="str">
        <f aca="false">IF(OR(D22="",I22=""),"",MAX(0,I22-D22))</f>
        <v/>
      </c>
      <c r="L22" s="20" t="str">
        <f aca="false">IF(AND(D22&lt;&gt;"",E22&lt;&gt;"",I22&lt;&gt;""),IF(E22&lt;1,"",ROUND(K22*(1-1/E22),1)),"")</f>
        <v/>
      </c>
      <c r="M22" s="21" t="str">
        <f aca="false">IF(L22="","",ROUND(I22-L22+IF(H22="",0,H22),1))</f>
        <v/>
      </c>
      <c r="N22" s="22" t="str">
        <f aca="false">IF(OR(J22="",L22=""),"",ROUND(J22-L22,1))</f>
        <v/>
      </c>
      <c r="O22" s="23" t="str">
        <f aca="false">IF(AND(E22&lt;&gt;"",E22&lt;1),"Razão inválida",IF(AND(J22="",L22=""),"",IF(IF(J22&lt;&gt;"",J22,L22)&gt;$M$6,"Excesso",IF(IF(H22="",0,H22)&gt;IF(J22&lt;&gt;"",J22,L22)+$M$7,"Make-up alto",IF(IF(J22&lt;&gt;"",J22,L22)&lt;0.5,"Sem ação",IF(IF(J22&lt;&gt;"",J22,L22)&lt;$M$4,"Leve",IF(IF(J22&lt;&gt;"",J22,L22)&gt;$M$5,"Forte","OK")))))))</f>
        <v/>
      </c>
      <c r="P22" s="24" t="str">
        <f aca="false">IF(O22="","",IF(O22="Razão inválida","A razão começa em 1. Digite 4 para 4:1",IF(O22="Excesso","Compressão em excesso: suba o threshold, baixe a razão e reduza o make-up",IF(O22="Make-up alto","Make-up acima da redução: baixe-o. Nas pausas, o canal fica mais perto de apitar",IF(O22="Sem ação","O sinal não chega ao threshold: baixe o threshold ou desligue o compressor",IF(O22="Leve","Atuação leve. Se a fonte ainda varia demais, baixe o threshold alguns dB",IF(O22="Forte","Redução forte: suba o threshold ou baixe a razão","Manter")))))))</f>
        <v/>
      </c>
      <c r="Q22" s="36"/>
    </row>
    <row r="23" customFormat="false" ht="21.75" hidden="false" customHeight="true" outlineLevel="0" collapsed="false">
      <c r="B23" s="17" t="n">
        <v>10</v>
      </c>
      <c r="C23" s="36"/>
      <c r="D23" s="39"/>
      <c r="E23" s="37"/>
      <c r="F23" s="37"/>
      <c r="G23" s="37"/>
      <c r="H23" s="39"/>
      <c r="I23" s="39"/>
      <c r="J23" s="37"/>
      <c r="K23" s="19" t="str">
        <f aca="false">IF(OR(D23="",I23=""),"",MAX(0,I23-D23))</f>
        <v/>
      </c>
      <c r="L23" s="20" t="str">
        <f aca="false">IF(AND(D23&lt;&gt;"",E23&lt;&gt;"",I23&lt;&gt;""),IF(E23&lt;1,"",ROUND(K23*(1-1/E23),1)),"")</f>
        <v/>
      </c>
      <c r="M23" s="21" t="str">
        <f aca="false">IF(L23="","",ROUND(I23-L23+IF(H23="",0,H23),1))</f>
        <v/>
      </c>
      <c r="N23" s="22" t="str">
        <f aca="false">IF(OR(J23="",L23=""),"",ROUND(J23-L23,1))</f>
        <v/>
      </c>
      <c r="O23" s="23" t="str">
        <f aca="false">IF(AND(E23&lt;&gt;"",E23&lt;1),"Razão inválida",IF(AND(J23="",L23=""),"",IF(IF(J23&lt;&gt;"",J23,L23)&gt;$M$6,"Excesso",IF(IF(H23="",0,H23)&gt;IF(J23&lt;&gt;"",J23,L23)+$M$7,"Make-up alto",IF(IF(J23&lt;&gt;"",J23,L23)&lt;0.5,"Sem ação",IF(IF(J23&lt;&gt;"",J23,L23)&lt;$M$4,"Leve",IF(IF(J23&lt;&gt;"",J23,L23)&gt;$M$5,"Forte","OK")))))))</f>
        <v/>
      </c>
      <c r="P23" s="24" t="str">
        <f aca="false">IF(O23="","",IF(O23="Razão inválida","A razão começa em 1. Digite 4 para 4:1",IF(O23="Excesso","Compressão em excesso: suba o threshold, baixe a razão e reduza o make-up",IF(O23="Make-up alto","Make-up acima da redução: baixe-o. Nas pausas, o canal fica mais perto de apitar",IF(O23="Sem ação","O sinal não chega ao threshold: baixe o threshold ou desligue o compressor",IF(O23="Leve","Atuação leve. Se a fonte ainda varia demais, baixe o threshold alguns dB",IF(O23="Forte","Redução forte: suba o threshold ou baixe a razão","Manter")))))))</f>
        <v/>
      </c>
      <c r="Q23" s="36"/>
    </row>
    <row r="24" customFormat="false" ht="21.75" hidden="false" customHeight="true" outlineLevel="0" collapsed="false">
      <c r="B24" s="17" t="n">
        <v>11</v>
      </c>
      <c r="C24" s="36"/>
      <c r="D24" s="39"/>
      <c r="E24" s="37"/>
      <c r="F24" s="37"/>
      <c r="G24" s="37"/>
      <c r="H24" s="39"/>
      <c r="I24" s="39"/>
      <c r="J24" s="37"/>
      <c r="K24" s="19" t="str">
        <f aca="false">IF(OR(D24="",I24=""),"",MAX(0,I24-D24))</f>
        <v/>
      </c>
      <c r="L24" s="20" t="str">
        <f aca="false">IF(AND(D24&lt;&gt;"",E24&lt;&gt;"",I24&lt;&gt;""),IF(E24&lt;1,"",ROUND(K24*(1-1/E24),1)),"")</f>
        <v/>
      </c>
      <c r="M24" s="21" t="str">
        <f aca="false">IF(L24="","",ROUND(I24-L24+IF(H24="",0,H24),1))</f>
        <v/>
      </c>
      <c r="N24" s="22" t="str">
        <f aca="false">IF(OR(J24="",L24=""),"",ROUND(J24-L24,1))</f>
        <v/>
      </c>
      <c r="O24" s="23" t="str">
        <f aca="false">IF(AND(E24&lt;&gt;"",E24&lt;1),"Razão inválida",IF(AND(J24="",L24=""),"",IF(IF(J24&lt;&gt;"",J24,L24)&gt;$M$6,"Excesso",IF(IF(H24="",0,H24)&gt;IF(J24&lt;&gt;"",J24,L24)+$M$7,"Make-up alto",IF(IF(J24&lt;&gt;"",J24,L24)&lt;0.5,"Sem ação",IF(IF(J24&lt;&gt;"",J24,L24)&lt;$M$4,"Leve",IF(IF(J24&lt;&gt;"",J24,L24)&gt;$M$5,"Forte","OK")))))))</f>
        <v/>
      </c>
      <c r="P24" s="24" t="str">
        <f aca="false">IF(O24="","",IF(O24="Razão inválida","A razão começa em 1. Digite 4 para 4:1",IF(O24="Excesso","Compressão em excesso: suba o threshold, baixe a razão e reduza o make-up",IF(O24="Make-up alto","Make-up acima da redução: baixe-o. Nas pausas, o canal fica mais perto de apitar",IF(O24="Sem ação","O sinal não chega ao threshold: baixe o threshold ou desligue o compressor",IF(O24="Leve","Atuação leve. Se a fonte ainda varia demais, baixe o threshold alguns dB",IF(O24="Forte","Redução forte: suba o threshold ou baixe a razão","Manter")))))))</f>
        <v/>
      </c>
      <c r="Q24" s="36"/>
    </row>
    <row r="25" customFormat="false" ht="21.75" hidden="false" customHeight="true" outlineLevel="0" collapsed="false">
      <c r="B25" s="17" t="n">
        <v>12</v>
      </c>
      <c r="C25" s="36"/>
      <c r="D25" s="39"/>
      <c r="E25" s="37"/>
      <c r="F25" s="37"/>
      <c r="G25" s="37"/>
      <c r="H25" s="39"/>
      <c r="I25" s="39"/>
      <c r="J25" s="37"/>
      <c r="K25" s="19" t="str">
        <f aca="false">IF(OR(D25="",I25=""),"",MAX(0,I25-D25))</f>
        <v/>
      </c>
      <c r="L25" s="20" t="str">
        <f aca="false">IF(AND(D25&lt;&gt;"",E25&lt;&gt;"",I25&lt;&gt;""),IF(E25&lt;1,"",ROUND(K25*(1-1/E25),1)),"")</f>
        <v/>
      </c>
      <c r="M25" s="21" t="str">
        <f aca="false">IF(L25="","",ROUND(I25-L25+IF(H25="",0,H25),1))</f>
        <v/>
      </c>
      <c r="N25" s="22" t="str">
        <f aca="false">IF(OR(J25="",L25=""),"",ROUND(J25-L25,1))</f>
        <v/>
      </c>
      <c r="O25" s="23" t="str">
        <f aca="false">IF(AND(E25&lt;&gt;"",E25&lt;1),"Razão inválida",IF(AND(J25="",L25=""),"",IF(IF(J25&lt;&gt;"",J25,L25)&gt;$M$6,"Excesso",IF(IF(H25="",0,H25)&gt;IF(J25&lt;&gt;"",J25,L25)+$M$7,"Make-up alto",IF(IF(J25&lt;&gt;"",J25,L25)&lt;0.5,"Sem ação",IF(IF(J25&lt;&gt;"",J25,L25)&lt;$M$4,"Leve",IF(IF(J25&lt;&gt;"",J25,L25)&gt;$M$5,"Forte","OK")))))))</f>
        <v/>
      </c>
      <c r="P25" s="24" t="str">
        <f aca="false">IF(O25="","",IF(O25="Razão inválida","A razão começa em 1. Digite 4 para 4:1",IF(O25="Excesso","Compressão em excesso: suba o threshold, baixe a razão e reduza o make-up",IF(O25="Make-up alto","Make-up acima da redução: baixe-o. Nas pausas, o canal fica mais perto de apitar",IF(O25="Sem ação","O sinal não chega ao threshold: baixe o threshold ou desligue o compressor",IF(O25="Leve","Atuação leve. Se a fonte ainda varia demais, baixe o threshold alguns dB",IF(O25="Forte","Redução forte: suba o threshold ou baixe a razão","Manter")))))))</f>
        <v/>
      </c>
      <c r="Q25" s="36"/>
    </row>
    <row r="26" customFormat="false" ht="21.75" hidden="false" customHeight="true" outlineLevel="0" collapsed="false">
      <c r="B26" s="17" t="n">
        <v>13</v>
      </c>
      <c r="C26" s="36"/>
      <c r="D26" s="39"/>
      <c r="E26" s="37"/>
      <c r="F26" s="37"/>
      <c r="G26" s="37"/>
      <c r="H26" s="39"/>
      <c r="I26" s="39"/>
      <c r="J26" s="37"/>
      <c r="K26" s="19" t="str">
        <f aca="false">IF(OR(D26="",I26=""),"",MAX(0,I26-D26))</f>
        <v/>
      </c>
      <c r="L26" s="20" t="str">
        <f aca="false">IF(AND(D26&lt;&gt;"",E26&lt;&gt;"",I26&lt;&gt;""),IF(E26&lt;1,"",ROUND(K26*(1-1/E26),1)),"")</f>
        <v/>
      </c>
      <c r="M26" s="21" t="str">
        <f aca="false">IF(L26="","",ROUND(I26-L26+IF(H26="",0,H26),1))</f>
        <v/>
      </c>
      <c r="N26" s="22" t="str">
        <f aca="false">IF(OR(J26="",L26=""),"",ROUND(J26-L26,1))</f>
        <v/>
      </c>
      <c r="O26" s="23" t="str">
        <f aca="false">IF(AND(E26&lt;&gt;"",E26&lt;1),"Razão inválida",IF(AND(J26="",L26=""),"",IF(IF(J26&lt;&gt;"",J26,L26)&gt;$M$6,"Excesso",IF(IF(H26="",0,H26)&gt;IF(J26&lt;&gt;"",J26,L26)+$M$7,"Make-up alto",IF(IF(J26&lt;&gt;"",J26,L26)&lt;0.5,"Sem ação",IF(IF(J26&lt;&gt;"",J26,L26)&lt;$M$4,"Leve",IF(IF(J26&lt;&gt;"",J26,L26)&gt;$M$5,"Forte","OK")))))))</f>
        <v/>
      </c>
      <c r="P26" s="24" t="str">
        <f aca="false">IF(O26="","",IF(O26="Razão inválida","A razão começa em 1. Digite 4 para 4:1",IF(O26="Excesso","Compressão em excesso: suba o threshold, baixe a razão e reduza o make-up",IF(O26="Make-up alto","Make-up acima da redução: baixe-o. Nas pausas, o canal fica mais perto de apitar",IF(O26="Sem ação","O sinal não chega ao threshold: baixe o threshold ou desligue o compressor",IF(O26="Leve","Atuação leve. Se a fonte ainda varia demais, baixe o threshold alguns dB",IF(O26="Forte","Redução forte: suba o threshold ou baixe a razão","Manter")))))))</f>
        <v/>
      </c>
      <c r="Q26" s="36"/>
    </row>
    <row r="27" customFormat="false" ht="21.75" hidden="false" customHeight="true" outlineLevel="0" collapsed="false">
      <c r="B27" s="17" t="n">
        <v>14</v>
      </c>
      <c r="C27" s="36"/>
      <c r="D27" s="39"/>
      <c r="E27" s="37"/>
      <c r="F27" s="37"/>
      <c r="G27" s="37"/>
      <c r="H27" s="39"/>
      <c r="I27" s="39"/>
      <c r="J27" s="37"/>
      <c r="K27" s="19" t="str">
        <f aca="false">IF(OR(D27="",I27=""),"",MAX(0,I27-D27))</f>
        <v/>
      </c>
      <c r="L27" s="20" t="str">
        <f aca="false">IF(AND(D27&lt;&gt;"",E27&lt;&gt;"",I27&lt;&gt;""),IF(E27&lt;1,"",ROUND(K27*(1-1/E27),1)),"")</f>
        <v/>
      </c>
      <c r="M27" s="21" t="str">
        <f aca="false">IF(L27="","",ROUND(I27-L27+IF(H27="",0,H27),1))</f>
        <v/>
      </c>
      <c r="N27" s="22" t="str">
        <f aca="false">IF(OR(J27="",L27=""),"",ROUND(J27-L27,1))</f>
        <v/>
      </c>
      <c r="O27" s="23" t="str">
        <f aca="false">IF(AND(E27&lt;&gt;"",E27&lt;1),"Razão inválida",IF(AND(J27="",L27=""),"",IF(IF(J27&lt;&gt;"",J27,L27)&gt;$M$6,"Excesso",IF(IF(H27="",0,H27)&gt;IF(J27&lt;&gt;"",J27,L27)+$M$7,"Make-up alto",IF(IF(J27&lt;&gt;"",J27,L27)&lt;0.5,"Sem ação",IF(IF(J27&lt;&gt;"",J27,L27)&lt;$M$4,"Leve",IF(IF(J27&lt;&gt;"",J27,L27)&gt;$M$5,"Forte","OK")))))))</f>
        <v/>
      </c>
      <c r="P27" s="24" t="str">
        <f aca="false">IF(O27="","",IF(O27="Razão inválida","A razão começa em 1. Digite 4 para 4:1",IF(O27="Excesso","Compressão em excesso: suba o threshold, baixe a razão e reduza o make-up",IF(O27="Make-up alto","Make-up acima da redução: baixe-o. Nas pausas, o canal fica mais perto de apitar",IF(O27="Sem ação","O sinal não chega ao threshold: baixe o threshold ou desligue o compressor",IF(O27="Leve","Atuação leve. Se a fonte ainda varia demais, baixe o threshold alguns dB",IF(O27="Forte","Redução forte: suba o threshold ou baixe a razão","Manter")))))))</f>
        <v/>
      </c>
      <c r="Q27" s="36"/>
    </row>
    <row r="28" customFormat="false" ht="21.75" hidden="false" customHeight="true" outlineLevel="0" collapsed="false">
      <c r="B28" s="17" t="n">
        <v>15</v>
      </c>
      <c r="C28" s="36"/>
      <c r="D28" s="39"/>
      <c r="E28" s="37"/>
      <c r="F28" s="37"/>
      <c r="G28" s="37"/>
      <c r="H28" s="39"/>
      <c r="I28" s="39"/>
      <c r="J28" s="37"/>
      <c r="K28" s="19" t="str">
        <f aca="false">IF(OR(D28="",I28=""),"",MAX(0,I28-D28))</f>
        <v/>
      </c>
      <c r="L28" s="20" t="str">
        <f aca="false">IF(AND(D28&lt;&gt;"",E28&lt;&gt;"",I28&lt;&gt;""),IF(E28&lt;1,"",ROUND(K28*(1-1/E28),1)),"")</f>
        <v/>
      </c>
      <c r="M28" s="21" t="str">
        <f aca="false">IF(L28="","",ROUND(I28-L28+IF(H28="",0,H28),1))</f>
        <v/>
      </c>
      <c r="N28" s="22" t="str">
        <f aca="false">IF(OR(J28="",L28=""),"",ROUND(J28-L28,1))</f>
        <v/>
      </c>
      <c r="O28" s="23" t="str">
        <f aca="false">IF(AND(E28&lt;&gt;"",E28&lt;1),"Razão inválida",IF(AND(J28="",L28=""),"",IF(IF(J28&lt;&gt;"",J28,L28)&gt;$M$6,"Excesso",IF(IF(H28="",0,H28)&gt;IF(J28&lt;&gt;"",J28,L28)+$M$7,"Make-up alto",IF(IF(J28&lt;&gt;"",J28,L28)&lt;0.5,"Sem ação",IF(IF(J28&lt;&gt;"",J28,L28)&lt;$M$4,"Leve",IF(IF(J28&lt;&gt;"",J28,L28)&gt;$M$5,"Forte","OK")))))))</f>
        <v/>
      </c>
      <c r="P28" s="24" t="str">
        <f aca="false">IF(O28="","",IF(O28="Razão inválida","A razão começa em 1. Digite 4 para 4:1",IF(O28="Excesso","Compressão em excesso: suba o threshold, baixe a razão e reduza o make-up",IF(O28="Make-up alto","Make-up acima da redução: baixe-o. Nas pausas, o canal fica mais perto de apitar",IF(O28="Sem ação","O sinal não chega ao threshold: baixe o threshold ou desligue o compressor",IF(O28="Leve","Atuação leve. Se a fonte ainda varia demais, baixe o threshold alguns dB",IF(O28="Forte","Redução forte: suba o threshold ou baixe a razão","Manter")))))))</f>
        <v/>
      </c>
      <c r="Q28" s="36"/>
    </row>
    <row r="29" customFormat="false" ht="21.75" hidden="false" customHeight="true" outlineLevel="0" collapsed="false">
      <c r="B29" s="17" t="n">
        <v>16</v>
      </c>
      <c r="C29" s="36"/>
      <c r="D29" s="39"/>
      <c r="E29" s="37"/>
      <c r="F29" s="37"/>
      <c r="G29" s="37"/>
      <c r="H29" s="39"/>
      <c r="I29" s="39"/>
      <c r="J29" s="37"/>
      <c r="K29" s="19" t="str">
        <f aca="false">IF(OR(D29="",I29=""),"",MAX(0,I29-D29))</f>
        <v/>
      </c>
      <c r="L29" s="20" t="str">
        <f aca="false">IF(AND(D29&lt;&gt;"",E29&lt;&gt;"",I29&lt;&gt;""),IF(E29&lt;1,"",ROUND(K29*(1-1/E29),1)),"")</f>
        <v/>
      </c>
      <c r="M29" s="21" t="str">
        <f aca="false">IF(L29="","",ROUND(I29-L29+IF(H29="",0,H29),1))</f>
        <v/>
      </c>
      <c r="N29" s="22" t="str">
        <f aca="false">IF(OR(J29="",L29=""),"",ROUND(J29-L29,1))</f>
        <v/>
      </c>
      <c r="O29" s="23" t="str">
        <f aca="false">IF(AND(E29&lt;&gt;"",E29&lt;1),"Razão inválida",IF(AND(J29="",L29=""),"",IF(IF(J29&lt;&gt;"",J29,L29)&gt;$M$6,"Excesso",IF(IF(H29="",0,H29)&gt;IF(J29&lt;&gt;"",J29,L29)+$M$7,"Make-up alto",IF(IF(J29&lt;&gt;"",J29,L29)&lt;0.5,"Sem ação",IF(IF(J29&lt;&gt;"",J29,L29)&lt;$M$4,"Leve",IF(IF(J29&lt;&gt;"",J29,L29)&gt;$M$5,"Forte","OK")))))))</f>
        <v/>
      </c>
      <c r="P29" s="24" t="str">
        <f aca="false">IF(O29="","",IF(O29="Razão inválida","A razão começa em 1. Digite 4 para 4:1",IF(O29="Excesso","Compressão em excesso: suba o threshold, baixe a razão e reduza o make-up",IF(O29="Make-up alto","Make-up acima da redução: baixe-o. Nas pausas, o canal fica mais perto de apitar",IF(O29="Sem ação","O sinal não chega ao threshold: baixe o threshold ou desligue o compressor",IF(O29="Leve","Atuação leve. Se a fonte ainda varia demais, baixe o threshold alguns dB",IF(O29="Forte","Redução forte: suba o threshold ou baixe a razão","Manter")))))))</f>
        <v/>
      </c>
      <c r="Q29" s="36"/>
    </row>
    <row r="31" customFormat="false" ht="21.75" hidden="false" customHeight="true" outlineLevel="0" collapsed="false">
      <c r="B31" s="25" t="s">
        <v>104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customFormat="false" ht="19.5" hidden="false" customHeight="true" outlineLevel="0" collapsed="false">
      <c r="B32" s="26" t="s">
        <v>105</v>
      </c>
      <c r="C32" s="26"/>
      <c r="D32" s="26"/>
      <c r="E32" s="26"/>
      <c r="F32" s="23" t="n">
        <f aca="false">COUNTA(C14:C29)</f>
        <v>8</v>
      </c>
      <c r="G32" s="23"/>
      <c r="H32" s="23"/>
    </row>
    <row r="33" customFormat="false" ht="19.5" hidden="false" customHeight="true" outlineLevel="0" collapsed="false">
      <c r="B33" s="26" t="s">
        <v>106</v>
      </c>
      <c r="C33" s="26"/>
      <c r="D33" s="26"/>
      <c r="E33" s="26"/>
      <c r="F33" s="23" t="n">
        <f aca="false">COUNTIF(O14:O29,"OK")+COUNTIF(O14:O29,"Leve")+COUNTIF(O14:O29,"Sem ação")+COUNTIF(O14:O29,"Forte")+COUNTIF(O14:O29,"Make-up alto")+COUNTIF(O14:O29,"Excesso")+COUNTIF(O14:O29,"Razão inválida")</f>
        <v>8</v>
      </c>
      <c r="G33" s="23"/>
      <c r="H33" s="23"/>
    </row>
    <row r="34" customFormat="false" ht="19.5" hidden="false" customHeight="true" outlineLevel="0" collapsed="false">
      <c r="B34" s="26" t="s">
        <v>107</v>
      </c>
      <c r="C34" s="26"/>
      <c r="D34" s="26"/>
      <c r="E34" s="26"/>
      <c r="F34" s="23" t="n">
        <f aca="false">COUNTIF(O14:O29,"OK")</f>
        <v>3</v>
      </c>
      <c r="G34" s="23"/>
      <c r="H34" s="23"/>
    </row>
    <row r="35" customFormat="false" ht="19.5" hidden="false" customHeight="true" outlineLevel="0" collapsed="false">
      <c r="B35" s="26" t="s">
        <v>108</v>
      </c>
      <c r="C35" s="26"/>
      <c r="D35" s="26"/>
      <c r="E35" s="26"/>
      <c r="F35" s="23" t="n">
        <f aca="false">COUNTIF(O14:O29,"Leve")+COUNTIF(O14:O29,"Sem ação")</f>
        <v>1</v>
      </c>
      <c r="G35" s="23"/>
      <c r="H35" s="23"/>
    </row>
    <row r="36" customFormat="false" ht="19.5" hidden="false" customHeight="true" outlineLevel="0" collapsed="false">
      <c r="B36" s="26" t="s">
        <v>109</v>
      </c>
      <c r="C36" s="26"/>
      <c r="D36" s="26"/>
      <c r="E36" s="26"/>
      <c r="F36" s="23" t="n">
        <f aca="false">COUNTIF(O14:O29,"Forte")+COUNTIF(O14:O29,"Make-up alto")</f>
        <v>2</v>
      </c>
      <c r="G36" s="23"/>
      <c r="H36" s="23"/>
    </row>
    <row r="37" customFormat="false" ht="19.5" hidden="false" customHeight="true" outlineLevel="0" collapsed="false">
      <c r="B37" s="26" t="s">
        <v>110</v>
      </c>
      <c r="C37" s="26"/>
      <c r="D37" s="26"/>
      <c r="E37" s="26"/>
      <c r="F37" s="23" t="n">
        <f aca="false">COUNTIF(O14:O29,"Excesso")</f>
        <v>2</v>
      </c>
      <c r="G37" s="23"/>
      <c r="H37" s="23"/>
    </row>
    <row r="38" customFormat="false" ht="21.75" hidden="false" customHeight="true" outlineLevel="0" collapsed="false">
      <c r="B38" s="26" t="s">
        <v>111</v>
      </c>
      <c r="C38" s="26"/>
      <c r="D38" s="26"/>
      <c r="E38" s="26"/>
      <c r="F38" s="27" t="str">
        <f aca="false">IF(COUNT(M4:M8)&lt;5,"Informe os cinco valores de referência",IF(F33=0,"Preencha threshold, razão e pico de entrada, ou a redução lida",IF(F37+COUNTIF(O14:O29,"Razão inválida")&gt;0,"Há compressão em excesso: corrija antes do evento",IF(F36&gt;0,"Há compressor forte ou com make-up alto: confira",IF(F35&gt;0,"Há compressor que quase não atua: veja se ele é necessário","OK")))))</f>
        <v>Há compressão em excesso: corrija antes do evento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40" customFormat="false" ht="21.75" hidden="false" customHeight="true" outlineLevel="0" collapsed="false">
      <c r="B40" s="28" t="s">
        <v>112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</row>
    <row r="41" customFormat="false" ht="30" hidden="false" customHeight="true" outlineLevel="0" collapsed="false">
      <c r="B41" s="13" t="s">
        <v>77</v>
      </c>
      <c r="C41" s="13" t="s">
        <v>78</v>
      </c>
      <c r="D41" s="15" t="s">
        <v>79</v>
      </c>
      <c r="E41" s="15" t="s">
        <v>113</v>
      </c>
      <c r="F41" s="15" t="s">
        <v>81</v>
      </c>
      <c r="G41" s="15" t="s">
        <v>114</v>
      </c>
      <c r="H41" s="15" t="s">
        <v>82</v>
      </c>
      <c r="I41" s="15" t="s">
        <v>115</v>
      </c>
      <c r="J41" s="15" t="s">
        <v>116</v>
      </c>
      <c r="K41" s="13" t="s">
        <v>117</v>
      </c>
      <c r="L41" s="13" t="s">
        <v>118</v>
      </c>
      <c r="M41" s="13" t="s">
        <v>119</v>
      </c>
      <c r="N41" s="13" t="s">
        <v>120</v>
      </c>
      <c r="O41" s="13" t="s">
        <v>89</v>
      </c>
      <c r="P41" s="13" t="s">
        <v>90</v>
      </c>
      <c r="Q41" s="13" t="s">
        <v>91</v>
      </c>
    </row>
    <row r="42" customFormat="false" ht="27" hidden="false" customHeight="true" outlineLevel="0" collapsed="false">
      <c r="B42" s="16" t="s">
        <v>92</v>
      </c>
      <c r="C42" s="16" t="s">
        <v>121</v>
      </c>
      <c r="D42" s="16" t="s">
        <v>94</v>
      </c>
      <c r="E42" s="16" t="s">
        <v>94</v>
      </c>
      <c r="F42" s="16" t="s">
        <v>96</v>
      </c>
      <c r="G42" s="16" t="s">
        <v>96</v>
      </c>
      <c r="H42" s="16" t="s">
        <v>96</v>
      </c>
      <c r="I42" s="16" t="s">
        <v>122</v>
      </c>
      <c r="J42" s="16" t="s">
        <v>122</v>
      </c>
      <c r="K42" s="16" t="s">
        <v>123</v>
      </c>
      <c r="L42" s="16" t="s">
        <v>124</v>
      </c>
      <c r="M42" s="16" t="s">
        <v>125</v>
      </c>
      <c r="N42" s="16" t="s">
        <v>126</v>
      </c>
      <c r="O42" s="16"/>
      <c r="P42" s="16"/>
      <c r="Q42" s="16"/>
    </row>
    <row r="43" customFormat="false" ht="21.75" hidden="false" customHeight="true" outlineLevel="0" collapsed="false">
      <c r="B43" s="17" t="n">
        <v>1</v>
      </c>
      <c r="C43" s="36" t="s">
        <v>222</v>
      </c>
      <c r="D43" s="39" t="n">
        <v>-30</v>
      </c>
      <c r="E43" s="37" t="n">
        <v>20</v>
      </c>
      <c r="F43" s="37" t="n">
        <v>0.5</v>
      </c>
      <c r="G43" s="37" t="n">
        <v>60</v>
      </c>
      <c r="H43" s="37" t="n">
        <v>150</v>
      </c>
      <c r="I43" s="39" t="n">
        <v>-36</v>
      </c>
      <c r="J43" s="39" t="n">
        <v>-14</v>
      </c>
      <c r="K43" s="19" t="n">
        <f aca="false">IF(AND(I43&lt;&gt;"",J43&lt;&gt;""),J43-I43,"")</f>
        <v>22</v>
      </c>
      <c r="L43" s="29" t="n">
        <f aca="false">IF(AND(D43&lt;&gt;"",I43&lt;&gt;""),D43-I43,"")</f>
        <v>6</v>
      </c>
      <c r="M43" s="29" t="n">
        <f aca="false">IF(AND(D43&lt;&gt;"",J43&lt;&gt;""),J43-D43,"")</f>
        <v>16</v>
      </c>
      <c r="N43" s="30" t="n">
        <f aca="false">IF(AND(I43&lt;&gt;"",J43&lt;&gt;""),IF(K43&lt;2*$M$8,"",ROUND((I43+J43)/2,0)),"")</f>
        <v>-25</v>
      </c>
      <c r="O43" s="23" t="str">
        <f aca="false">IF(AND(I43&lt;&gt;"",J43&lt;&gt;""),IF(K43&lt;2*$M$8,"Sem janela",IF(D43="","Defina",IF(D43&lt;=I43,"Abre à toa",IF(D43&gt;=J43,"Corta o som",IF(OR(D43-I43&lt;$M$8,J43-D43&lt;$M$8),"Margem curta","OK"))))),"")</f>
        <v>OK</v>
      </c>
      <c r="P43" s="24" t="str">
        <f aca="false">IF(O43="","",IF(O43="Sem janela","O vazamento é quase tão forte quanto a fonte: aproxime o microfone ou fique sem gate",IF(O43="Defina","Comece pelo threshold sugerido e confirme de ouvido",IF(O43="Abre à toa","O vazamento abre o gate: suba o threshold para perto de "&amp;N43&amp;" dB",IF(O43="Corta o som","O gate engole os golpes fracos: baixe o threshold para perto de "&amp;N43&amp;" dB",IF(O43="Margem curta","Threshold perto demais de um dos lados: leve para perto de "&amp;N43&amp;" dB","Manter"))))))</f>
        <v>Manter</v>
      </c>
      <c r="Q43" s="36"/>
    </row>
    <row r="44" customFormat="false" ht="21.75" hidden="false" customHeight="true" outlineLevel="0" collapsed="false">
      <c r="B44" s="17" t="n">
        <v>2</v>
      </c>
      <c r="C44" s="36" t="s">
        <v>395</v>
      </c>
      <c r="D44" s="39" t="n">
        <v>-30</v>
      </c>
      <c r="E44" s="37" t="n">
        <v>15</v>
      </c>
      <c r="F44" s="37" t="n">
        <v>0.5</v>
      </c>
      <c r="G44" s="37" t="n">
        <v>100</v>
      </c>
      <c r="H44" s="37" t="n">
        <v>300</v>
      </c>
      <c r="I44" s="39" t="n">
        <v>-24</v>
      </c>
      <c r="J44" s="39" t="n">
        <v>-12</v>
      </c>
      <c r="K44" s="19" t="n">
        <f aca="false">IF(AND(I44&lt;&gt;"",J44&lt;&gt;""),J44-I44,"")</f>
        <v>12</v>
      </c>
      <c r="L44" s="29" t="n">
        <f aca="false">IF(AND(D44&lt;&gt;"",I44&lt;&gt;""),D44-I44,"")</f>
        <v>-6</v>
      </c>
      <c r="M44" s="29" t="n">
        <f aca="false">IF(AND(D44&lt;&gt;"",J44&lt;&gt;""),J44-D44,"")</f>
        <v>18</v>
      </c>
      <c r="N44" s="30" t="n">
        <f aca="false">IF(AND(I44&lt;&gt;"",J44&lt;&gt;""),IF(K44&lt;2*$M$8,"",ROUND((I44+J44)/2,0)),"")</f>
        <v>-18</v>
      </c>
      <c r="O44" s="23" t="str">
        <f aca="false">IF(AND(I44&lt;&gt;"",J44&lt;&gt;""),IF(K44&lt;2*$M$8,"Sem janela",IF(D44="","Defina",IF(D44&lt;=I44,"Abre à toa",IF(D44&gt;=J44,"Corta o som",IF(OR(D44-I44&lt;$M$8,J44-D44&lt;$M$8),"Margem curta","OK"))))),"")</f>
        <v>Abre à toa</v>
      </c>
      <c r="P44" s="24" t="str">
        <f aca="false">IF(O44="","",IF(O44="Sem janela","O vazamento é quase tão forte quanto a fonte: aproxime o microfone ou fique sem gate",IF(O44="Defina","Comece pelo threshold sugerido e confirme de ouvido",IF(O44="Abre à toa","O vazamento abre o gate: suba o threshold para perto de "&amp;N44&amp;" dB",IF(O44="Corta o som","O gate engole os golpes fracos: baixe o threshold para perto de "&amp;N44&amp;" dB",IF(O44="Margem curta","Threshold perto demais de um dos lados: leve para perto de "&amp;N44&amp;" dB","Manter"))))))</f>
        <v>O vazamento abre o gate: suba o threshold para perto de -18 dB</v>
      </c>
      <c r="Q44" s="36"/>
    </row>
    <row r="45" customFormat="false" ht="21.75" hidden="false" customHeight="true" outlineLevel="0" collapsed="false">
      <c r="B45" s="17" t="n">
        <v>3</v>
      </c>
      <c r="C45" s="36" t="s">
        <v>396</v>
      </c>
      <c r="D45" s="39" t="n">
        <v>-10</v>
      </c>
      <c r="E45" s="37" t="n">
        <v>15</v>
      </c>
      <c r="F45" s="37" t="n">
        <v>0.5</v>
      </c>
      <c r="G45" s="37" t="n">
        <v>100</v>
      </c>
      <c r="H45" s="37" t="n">
        <v>350</v>
      </c>
      <c r="I45" s="39" t="n">
        <v>-26</v>
      </c>
      <c r="J45" s="39" t="n">
        <v>-12</v>
      </c>
      <c r="K45" s="19" t="n">
        <f aca="false">IF(AND(I45&lt;&gt;"",J45&lt;&gt;""),J45-I45,"")</f>
        <v>14</v>
      </c>
      <c r="L45" s="29" t="n">
        <f aca="false">IF(AND(D45&lt;&gt;"",I45&lt;&gt;""),D45-I45,"")</f>
        <v>16</v>
      </c>
      <c r="M45" s="29" t="n">
        <f aca="false">IF(AND(D45&lt;&gt;"",J45&lt;&gt;""),J45-D45,"")</f>
        <v>-2</v>
      </c>
      <c r="N45" s="30" t="n">
        <f aca="false">IF(AND(I45&lt;&gt;"",J45&lt;&gt;""),IF(K45&lt;2*$M$8,"",ROUND((I45+J45)/2,0)),"")</f>
        <v>-19</v>
      </c>
      <c r="O45" s="23" t="str">
        <f aca="false">IF(AND(I45&lt;&gt;"",J45&lt;&gt;""),IF(K45&lt;2*$M$8,"Sem janela",IF(D45="","Defina",IF(D45&lt;=I45,"Abre à toa",IF(D45&gt;=J45,"Corta o som",IF(OR(D45-I45&lt;$M$8,J45-D45&lt;$M$8),"Margem curta","OK"))))),"")</f>
        <v>Corta o som</v>
      </c>
      <c r="P45" s="24" t="str">
        <f aca="false">IF(O45="","",IF(O45="Sem janela","O vazamento é quase tão forte quanto a fonte: aproxime o microfone ou fique sem gate",IF(O45="Defina","Comece pelo threshold sugerido e confirme de ouvido",IF(O45="Abre à toa","O vazamento abre o gate: suba o threshold para perto de "&amp;N45&amp;" dB",IF(O45="Corta o som","O gate engole os golpes fracos: baixe o threshold para perto de "&amp;N45&amp;" dB",IF(O45="Margem curta","Threshold perto demais de um dos lados: leve para perto de "&amp;N45&amp;" dB","Manter"))))))</f>
        <v>O gate engole os golpes fracos: baixe o threshold para perto de -19 dB</v>
      </c>
      <c r="Q45" s="36"/>
    </row>
    <row r="46" customFormat="false" ht="21.75" hidden="false" customHeight="true" outlineLevel="0" collapsed="false">
      <c r="B46" s="17" t="n">
        <v>4</v>
      </c>
      <c r="C46" s="36"/>
      <c r="D46" s="39"/>
      <c r="E46" s="37"/>
      <c r="F46" s="37"/>
      <c r="G46" s="37"/>
      <c r="H46" s="37"/>
      <c r="I46" s="39"/>
      <c r="J46" s="39"/>
      <c r="K46" s="19" t="str">
        <f aca="false">IF(AND(I46&lt;&gt;"",J46&lt;&gt;""),J46-I46,"")</f>
        <v/>
      </c>
      <c r="L46" s="29" t="str">
        <f aca="false">IF(AND(D46&lt;&gt;"",I46&lt;&gt;""),D46-I46,"")</f>
        <v/>
      </c>
      <c r="M46" s="29" t="str">
        <f aca="false">IF(AND(D46&lt;&gt;"",J46&lt;&gt;""),J46-D46,"")</f>
        <v/>
      </c>
      <c r="N46" s="30" t="str">
        <f aca="false">IF(AND(I46&lt;&gt;"",J46&lt;&gt;""),IF(K46&lt;2*$M$8,"",ROUND((I46+J46)/2,0)),"")</f>
        <v/>
      </c>
      <c r="O46" s="23" t="str">
        <f aca="false">IF(AND(I46&lt;&gt;"",J46&lt;&gt;""),IF(K46&lt;2*$M$8,"Sem janela",IF(D46="","Defina",IF(D46&lt;=I46,"Abre à toa",IF(D46&gt;=J46,"Corta o som",IF(OR(D46-I46&lt;$M$8,J46-D46&lt;$M$8),"Margem curta","OK"))))),"")</f>
        <v/>
      </c>
      <c r="P46" s="24" t="str">
        <f aca="false">IF(O46="","",IF(O46="Sem janela","O vazamento é quase tão forte quanto a fonte: aproxime o microfone ou fique sem gate",IF(O46="Defina","Comece pelo threshold sugerido e confirme de ouvido",IF(O46="Abre à toa","O vazamento abre o gate: suba o threshold para perto de "&amp;N46&amp;" dB",IF(O46="Corta o som","O gate engole os golpes fracos: baixe o threshold para perto de "&amp;N46&amp;" dB",IF(O46="Margem curta","Threshold perto demais de um dos lados: leve para perto de "&amp;N46&amp;" dB","Manter"))))))</f>
        <v/>
      </c>
      <c r="Q46" s="36"/>
    </row>
    <row r="47" customFormat="false" ht="21.75" hidden="false" customHeight="true" outlineLevel="0" collapsed="false">
      <c r="B47" s="17" t="n">
        <v>5</v>
      </c>
      <c r="C47" s="36"/>
      <c r="D47" s="39"/>
      <c r="E47" s="37"/>
      <c r="F47" s="37"/>
      <c r="G47" s="37"/>
      <c r="H47" s="37"/>
      <c r="I47" s="39"/>
      <c r="J47" s="39"/>
      <c r="K47" s="19" t="str">
        <f aca="false">IF(AND(I47&lt;&gt;"",J47&lt;&gt;""),J47-I47,"")</f>
        <v/>
      </c>
      <c r="L47" s="29" t="str">
        <f aca="false">IF(AND(D47&lt;&gt;"",I47&lt;&gt;""),D47-I47,"")</f>
        <v/>
      </c>
      <c r="M47" s="29" t="str">
        <f aca="false">IF(AND(D47&lt;&gt;"",J47&lt;&gt;""),J47-D47,"")</f>
        <v/>
      </c>
      <c r="N47" s="30" t="str">
        <f aca="false">IF(AND(I47&lt;&gt;"",J47&lt;&gt;""),IF(K47&lt;2*$M$8,"",ROUND((I47+J47)/2,0)),"")</f>
        <v/>
      </c>
      <c r="O47" s="23" t="str">
        <f aca="false">IF(AND(I47&lt;&gt;"",J47&lt;&gt;""),IF(K47&lt;2*$M$8,"Sem janela",IF(D47="","Defina",IF(D47&lt;=I47,"Abre à toa",IF(D47&gt;=J47,"Corta o som",IF(OR(D47-I47&lt;$M$8,J47-D47&lt;$M$8),"Margem curta","OK"))))),"")</f>
        <v/>
      </c>
      <c r="P47" s="24" t="str">
        <f aca="false">IF(O47="","",IF(O47="Sem janela","O vazamento é quase tão forte quanto a fonte: aproxime o microfone ou fique sem gate",IF(O47="Defina","Comece pelo threshold sugerido e confirme de ouvido",IF(O47="Abre à toa","O vazamento abre o gate: suba o threshold para perto de "&amp;N47&amp;" dB",IF(O47="Corta o som","O gate engole os golpes fracos: baixe o threshold para perto de "&amp;N47&amp;" dB",IF(O47="Margem curta","Threshold perto demais de um dos lados: leve para perto de "&amp;N47&amp;" dB","Manter"))))))</f>
        <v/>
      </c>
      <c r="Q47" s="36"/>
    </row>
    <row r="48" customFormat="false" ht="21.75" hidden="false" customHeight="true" outlineLevel="0" collapsed="false">
      <c r="B48" s="17" t="n">
        <v>6</v>
      </c>
      <c r="C48" s="36"/>
      <c r="D48" s="39"/>
      <c r="E48" s="37"/>
      <c r="F48" s="37"/>
      <c r="G48" s="37"/>
      <c r="H48" s="37"/>
      <c r="I48" s="39"/>
      <c r="J48" s="39"/>
      <c r="K48" s="19" t="str">
        <f aca="false">IF(AND(I48&lt;&gt;"",J48&lt;&gt;""),J48-I48,"")</f>
        <v/>
      </c>
      <c r="L48" s="29" t="str">
        <f aca="false">IF(AND(D48&lt;&gt;"",I48&lt;&gt;""),D48-I48,"")</f>
        <v/>
      </c>
      <c r="M48" s="29" t="str">
        <f aca="false">IF(AND(D48&lt;&gt;"",J48&lt;&gt;""),J48-D48,"")</f>
        <v/>
      </c>
      <c r="N48" s="30" t="str">
        <f aca="false">IF(AND(I48&lt;&gt;"",J48&lt;&gt;""),IF(K48&lt;2*$M$8,"",ROUND((I48+J48)/2,0)),"")</f>
        <v/>
      </c>
      <c r="O48" s="23" t="str">
        <f aca="false">IF(AND(I48&lt;&gt;"",J48&lt;&gt;""),IF(K48&lt;2*$M$8,"Sem janela",IF(D48="","Defina",IF(D48&lt;=I48,"Abre à toa",IF(D48&gt;=J48,"Corta o som",IF(OR(D48-I48&lt;$M$8,J48-D48&lt;$M$8),"Margem curta","OK"))))),"")</f>
        <v/>
      </c>
      <c r="P48" s="24" t="str">
        <f aca="false">IF(O48="","",IF(O48="Sem janela","O vazamento é quase tão forte quanto a fonte: aproxime o microfone ou fique sem gate",IF(O48="Defina","Comece pelo threshold sugerido e confirme de ouvido",IF(O48="Abre à toa","O vazamento abre o gate: suba o threshold para perto de "&amp;N48&amp;" dB",IF(O48="Corta o som","O gate engole os golpes fracos: baixe o threshold para perto de "&amp;N48&amp;" dB",IF(O48="Margem curta","Threshold perto demais de um dos lados: leve para perto de "&amp;N48&amp;" dB","Manter"))))))</f>
        <v/>
      </c>
      <c r="Q48" s="36"/>
    </row>
    <row r="49" customFormat="false" ht="21.75" hidden="false" customHeight="true" outlineLevel="0" collapsed="false">
      <c r="B49" s="17" t="n">
        <v>7</v>
      </c>
      <c r="C49" s="36"/>
      <c r="D49" s="39"/>
      <c r="E49" s="37"/>
      <c r="F49" s="37"/>
      <c r="G49" s="37"/>
      <c r="H49" s="37"/>
      <c r="I49" s="39"/>
      <c r="J49" s="39"/>
      <c r="K49" s="19" t="str">
        <f aca="false">IF(AND(I49&lt;&gt;"",J49&lt;&gt;""),J49-I49,"")</f>
        <v/>
      </c>
      <c r="L49" s="29" t="str">
        <f aca="false">IF(AND(D49&lt;&gt;"",I49&lt;&gt;""),D49-I49,"")</f>
        <v/>
      </c>
      <c r="M49" s="29" t="str">
        <f aca="false">IF(AND(D49&lt;&gt;"",J49&lt;&gt;""),J49-D49,"")</f>
        <v/>
      </c>
      <c r="N49" s="30" t="str">
        <f aca="false">IF(AND(I49&lt;&gt;"",J49&lt;&gt;""),IF(K49&lt;2*$M$8,"",ROUND((I49+J49)/2,0)),"")</f>
        <v/>
      </c>
      <c r="O49" s="23" t="str">
        <f aca="false">IF(AND(I49&lt;&gt;"",J49&lt;&gt;""),IF(K49&lt;2*$M$8,"Sem janela",IF(D49="","Defina",IF(D49&lt;=I49,"Abre à toa",IF(D49&gt;=J49,"Corta o som",IF(OR(D49-I49&lt;$M$8,J49-D49&lt;$M$8),"Margem curta","OK"))))),"")</f>
        <v/>
      </c>
      <c r="P49" s="24" t="str">
        <f aca="false">IF(O49="","",IF(O49="Sem janela","O vazamento é quase tão forte quanto a fonte: aproxime o microfone ou fique sem gate",IF(O49="Defina","Comece pelo threshold sugerido e confirme de ouvido",IF(O49="Abre à toa","O vazamento abre o gate: suba o threshold para perto de "&amp;N49&amp;" dB",IF(O49="Corta o som","O gate engole os golpes fracos: baixe o threshold para perto de "&amp;N49&amp;" dB",IF(O49="Margem curta","Threshold perto demais de um dos lados: leve para perto de "&amp;N49&amp;" dB","Manter"))))))</f>
        <v/>
      </c>
      <c r="Q49" s="36"/>
    </row>
    <row r="50" customFormat="false" ht="21.75" hidden="false" customHeight="true" outlineLevel="0" collapsed="false">
      <c r="B50" s="17" t="n">
        <v>8</v>
      </c>
      <c r="C50" s="36"/>
      <c r="D50" s="39"/>
      <c r="E50" s="37"/>
      <c r="F50" s="37"/>
      <c r="G50" s="37"/>
      <c r="H50" s="37"/>
      <c r="I50" s="39"/>
      <c r="J50" s="39"/>
      <c r="K50" s="19" t="str">
        <f aca="false">IF(AND(I50&lt;&gt;"",J50&lt;&gt;""),J50-I50,"")</f>
        <v/>
      </c>
      <c r="L50" s="29" t="str">
        <f aca="false">IF(AND(D50&lt;&gt;"",I50&lt;&gt;""),D50-I50,"")</f>
        <v/>
      </c>
      <c r="M50" s="29" t="str">
        <f aca="false">IF(AND(D50&lt;&gt;"",J50&lt;&gt;""),J50-D50,"")</f>
        <v/>
      </c>
      <c r="N50" s="30" t="str">
        <f aca="false">IF(AND(I50&lt;&gt;"",J50&lt;&gt;""),IF(K50&lt;2*$M$8,"",ROUND((I50+J50)/2,0)),"")</f>
        <v/>
      </c>
      <c r="O50" s="23" t="str">
        <f aca="false">IF(AND(I50&lt;&gt;"",J50&lt;&gt;""),IF(K50&lt;2*$M$8,"Sem janela",IF(D50="","Defina",IF(D50&lt;=I50,"Abre à toa",IF(D50&gt;=J50,"Corta o som",IF(OR(D50-I50&lt;$M$8,J50-D50&lt;$M$8),"Margem curta","OK"))))),"")</f>
        <v/>
      </c>
      <c r="P50" s="24" t="str">
        <f aca="false">IF(O50="","",IF(O50="Sem janela","O vazamento é quase tão forte quanto a fonte: aproxime o microfone ou fique sem gate",IF(O50="Defina","Comece pelo threshold sugerido e confirme de ouvido",IF(O50="Abre à toa","O vazamento abre o gate: suba o threshold para perto de "&amp;N50&amp;" dB",IF(O50="Corta o som","O gate engole os golpes fracos: baixe o threshold para perto de "&amp;N50&amp;" dB",IF(O50="Margem curta","Threshold perto demais de um dos lados: leve para perto de "&amp;N50&amp;" dB","Manter"))))))</f>
        <v/>
      </c>
      <c r="Q50" s="36"/>
    </row>
    <row r="51" customFormat="false" ht="15" hidden="false" customHeight="true" outlineLevel="0" collapsed="false">
      <c r="B51" s="10" t="s">
        <v>127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3" customFormat="false" ht="21.75" hidden="false" customHeight="true" outlineLevel="0" collapsed="false">
      <c r="B53" s="25" t="s">
        <v>397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customFormat="false" ht="21.75" hidden="false" customHeight="true" outlineLevel="0" collapsed="false">
      <c r="B54" s="8" t="s">
        <v>77</v>
      </c>
      <c r="C54" s="8"/>
      <c r="D54" s="8" t="s">
        <v>398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 t="s">
        <v>399</v>
      </c>
      <c r="Q54" s="8"/>
    </row>
    <row r="55" customFormat="false" ht="21.75" hidden="false" customHeight="true" outlineLevel="0" collapsed="false">
      <c r="B55" s="4" t="s">
        <v>400</v>
      </c>
      <c r="C55" s="4"/>
      <c r="D55" s="7" t="s">
        <v>401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 t="s">
        <v>402</v>
      </c>
      <c r="Q55" s="7"/>
    </row>
    <row r="56" customFormat="false" ht="21.75" hidden="false" customHeight="true" outlineLevel="0" collapsed="false">
      <c r="B56" s="4" t="s">
        <v>403</v>
      </c>
      <c r="C56" s="4"/>
      <c r="D56" s="7" t="s">
        <v>404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 t="s">
        <v>405</v>
      </c>
      <c r="Q56" s="7"/>
    </row>
    <row r="57" customFormat="false" ht="21.75" hidden="false" customHeight="true" outlineLevel="0" collapsed="false">
      <c r="B57" s="4" t="s">
        <v>406</v>
      </c>
      <c r="C57" s="4"/>
      <c r="D57" s="7" t="s">
        <v>407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 t="s">
        <v>402</v>
      </c>
      <c r="Q57" s="7"/>
    </row>
    <row r="58" customFormat="false" ht="21.75" hidden="false" customHeight="true" outlineLevel="0" collapsed="false">
      <c r="B58" s="4" t="s">
        <v>228</v>
      </c>
      <c r="C58" s="4"/>
      <c r="D58" s="7" t="s">
        <v>408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 t="s">
        <v>409</v>
      </c>
      <c r="Q58" s="7"/>
    </row>
    <row r="59" customFormat="false" ht="21.75" hidden="false" customHeight="true" outlineLevel="0" collapsed="false">
      <c r="B59" s="4" t="s">
        <v>410</v>
      </c>
      <c r="C59" s="4"/>
      <c r="D59" s="7" t="s">
        <v>411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 t="s">
        <v>409</v>
      </c>
      <c r="Q59" s="7"/>
    </row>
    <row r="60" customFormat="false" ht="21.75" hidden="false" customHeight="true" outlineLevel="0" collapsed="false">
      <c r="B60" s="4" t="s">
        <v>395</v>
      </c>
      <c r="C60" s="4"/>
      <c r="D60" s="7" t="s">
        <v>412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 t="s">
        <v>413</v>
      </c>
      <c r="Q60" s="7"/>
    </row>
    <row r="61" customFormat="false" ht="21.75" hidden="false" customHeight="true" outlineLevel="0" collapsed="false">
      <c r="B61" s="4" t="s">
        <v>396</v>
      </c>
      <c r="C61" s="4"/>
      <c r="D61" s="7" t="s">
        <v>414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 t="s">
        <v>415</v>
      </c>
      <c r="Q61" s="7"/>
    </row>
  </sheetData>
  <mergeCells count="66">
    <mergeCell ref="B1:Q1"/>
    <mergeCell ref="B2:Q2"/>
    <mergeCell ref="B4:C4"/>
    <mergeCell ref="D4:H4"/>
    <mergeCell ref="I4:L4"/>
    <mergeCell ref="N4:Q4"/>
    <mergeCell ref="B5:C5"/>
    <mergeCell ref="D5:H5"/>
    <mergeCell ref="I5:L5"/>
    <mergeCell ref="N5:Q5"/>
    <mergeCell ref="B6:C6"/>
    <mergeCell ref="D6:H6"/>
    <mergeCell ref="I6:L6"/>
    <mergeCell ref="N6:Q6"/>
    <mergeCell ref="B7:C7"/>
    <mergeCell ref="D7:H7"/>
    <mergeCell ref="I7:L7"/>
    <mergeCell ref="N7:Q7"/>
    <mergeCell ref="B8:C8"/>
    <mergeCell ref="D8:H8"/>
    <mergeCell ref="I8:L8"/>
    <mergeCell ref="N8:Q8"/>
    <mergeCell ref="B10:Q10"/>
    <mergeCell ref="B13:Q13"/>
    <mergeCell ref="B31:Q31"/>
    <mergeCell ref="B32:E32"/>
    <mergeCell ref="F32:H32"/>
    <mergeCell ref="B33:E33"/>
    <mergeCell ref="F33:H33"/>
    <mergeCell ref="B34:E34"/>
    <mergeCell ref="F34:H34"/>
    <mergeCell ref="B35:E35"/>
    <mergeCell ref="F35:H35"/>
    <mergeCell ref="B36:E36"/>
    <mergeCell ref="F36:H36"/>
    <mergeCell ref="B37:E37"/>
    <mergeCell ref="F37:H37"/>
    <mergeCell ref="B38:E38"/>
    <mergeCell ref="F38:P38"/>
    <mergeCell ref="B40:Q40"/>
    <mergeCell ref="B51:Q51"/>
    <mergeCell ref="B53:Q53"/>
    <mergeCell ref="B54:C54"/>
    <mergeCell ref="D54:O54"/>
    <mergeCell ref="P54:Q54"/>
    <mergeCell ref="B55:C55"/>
    <mergeCell ref="D55:O55"/>
    <mergeCell ref="P55:Q55"/>
    <mergeCell ref="B56:C56"/>
    <mergeCell ref="D56:O56"/>
    <mergeCell ref="P56:Q56"/>
    <mergeCell ref="B57:C57"/>
    <mergeCell ref="D57:O57"/>
    <mergeCell ref="P57:Q57"/>
    <mergeCell ref="B58:C58"/>
    <mergeCell ref="D58:O58"/>
    <mergeCell ref="P58:Q58"/>
    <mergeCell ref="B59:C59"/>
    <mergeCell ref="D59:O59"/>
    <mergeCell ref="P59:Q59"/>
    <mergeCell ref="B60:C60"/>
    <mergeCell ref="D60:O60"/>
    <mergeCell ref="P60:Q60"/>
    <mergeCell ref="B61:C61"/>
    <mergeCell ref="D61:O61"/>
    <mergeCell ref="P61:Q61"/>
  </mergeCells>
  <conditionalFormatting sqref="O14:O2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"Leve"</formula>
    </cfRule>
    <cfRule type="cellIs" priority="4" operator="equal" aboveAverage="0" equalAverage="0" bottom="0" percent="0" rank="0" text="" dxfId="1">
      <formula>"Forte"</formula>
    </cfRule>
    <cfRule type="cellIs" priority="5" operator="equal" aboveAverage="0" equalAverage="0" bottom="0" percent="0" rank="0" text="" dxfId="1">
      <formula>"Sem ação"</formula>
    </cfRule>
    <cfRule type="cellIs" priority="6" operator="equal" aboveAverage="0" equalAverage="0" bottom="0" percent="0" rank="0" text="" dxfId="1">
      <formula>"Make-up alto"</formula>
    </cfRule>
    <cfRule type="cellIs" priority="7" operator="equal" aboveAverage="0" equalAverage="0" bottom="0" percent="0" rank="0" text="" dxfId="2">
      <formula>"Excesso"</formula>
    </cfRule>
    <cfRule type="cellIs" priority="8" operator="equal" aboveAverage="0" equalAverage="0" bottom="0" percent="0" rank="0" text="" dxfId="2">
      <formula>"Razão inválida"</formula>
    </cfRule>
  </conditionalFormatting>
  <conditionalFormatting sqref="F38:P38">
    <cfRule type="cellIs" priority="9" operator="equal" aboveAverage="0" equalAverage="0" bottom="0" percent="0" rank="0" text="" dxfId="0">
      <formula>"OK"</formula>
    </cfRule>
    <cfRule type="cellIs" priority="10" operator="notEqual" aboveAverage="0" equalAverage="0" bottom="0" percent="0" rank="0" text="" dxfId="1">
      <formula>"OK"</formula>
    </cfRule>
  </conditionalFormatting>
  <conditionalFormatting sqref="O43:O50">
    <cfRule type="cellIs" priority="11" operator="equal" aboveAverage="0" equalAverage="0" bottom="0" percent="0" rank="0" text="" dxfId="0">
      <formula>"OK"</formula>
    </cfRule>
    <cfRule type="cellIs" priority="12" operator="equal" aboveAverage="0" equalAverage="0" bottom="0" percent="0" rank="0" text="" dxfId="1">
      <formula>"Margem curta"</formula>
    </cfRule>
    <cfRule type="cellIs" priority="13" operator="equal" aboveAverage="0" equalAverage="0" bottom="0" percent="0" rank="0" text="" dxfId="1">
      <formula>"Defina"</formula>
    </cfRule>
    <cfRule type="cellIs" priority="14" operator="equal" aboveAverage="0" equalAverage="0" bottom="0" percent="0" rank="0" text="" dxfId="2">
      <formula>"Abre à toa"</formula>
    </cfRule>
    <cfRule type="cellIs" priority="15" operator="equal" aboveAverage="0" equalAverage="0" bottom="0" percent="0" rank="0" text="" dxfId="2">
      <formula>"Corta o som"</formula>
    </cfRule>
    <cfRule type="cellIs" priority="16" operator="equal" aboveAverage="0" equalAverage="0" bottom="0" percent="0" rank="0" text="" dxfId="2">
      <formula>"Sem janela"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M4:M8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14:J2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D43:J5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58"/>
    <col collapsed="false" customWidth="true" hidden="false" outlineLevel="0" max="14" min="14" style="0" width="2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416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61</v>
      </c>
      <c r="C4" s="4"/>
      <c r="D4" s="36" t="s">
        <v>386</v>
      </c>
      <c r="E4" s="36"/>
      <c r="F4" s="36"/>
      <c r="G4" s="36"/>
      <c r="H4" s="4" t="s">
        <v>130</v>
      </c>
      <c r="I4" s="4"/>
      <c r="J4" s="4"/>
      <c r="K4" s="37" t="n">
        <v>2.5</v>
      </c>
      <c r="L4" s="10" t="s">
        <v>131</v>
      </c>
      <c r="M4" s="10"/>
      <c r="N4" s="10"/>
    </row>
    <row r="5" customFormat="false" ht="21.75" hidden="false" customHeight="true" outlineLevel="0" collapsed="false">
      <c r="B5" s="4" t="s">
        <v>132</v>
      </c>
      <c r="C5" s="4"/>
      <c r="D5" s="36" t="s">
        <v>417</v>
      </c>
      <c r="E5" s="36"/>
      <c r="F5" s="36"/>
      <c r="G5" s="36"/>
      <c r="H5" s="4" t="s">
        <v>133</v>
      </c>
      <c r="I5" s="4"/>
      <c r="J5" s="4"/>
      <c r="K5" s="37" t="n">
        <v>40</v>
      </c>
      <c r="L5" s="10" t="s">
        <v>134</v>
      </c>
      <c r="M5" s="10"/>
      <c r="N5" s="10"/>
    </row>
    <row r="6" customFormat="false" ht="21.75" hidden="false" customHeight="true" outlineLevel="0" collapsed="false">
      <c r="B6" s="4" t="s">
        <v>67</v>
      </c>
      <c r="C6" s="4"/>
      <c r="D6" s="38" t="n">
        <v>46299</v>
      </c>
      <c r="E6" s="38"/>
      <c r="F6" s="38"/>
      <c r="G6" s="38"/>
      <c r="H6" s="4" t="s">
        <v>135</v>
      </c>
      <c r="I6" s="4"/>
      <c r="J6" s="4"/>
      <c r="K6" s="37" t="n">
        <v>0</v>
      </c>
      <c r="L6" s="10" t="s">
        <v>136</v>
      </c>
      <c r="M6" s="10"/>
      <c r="N6" s="10"/>
    </row>
    <row r="7" customFormat="false" ht="21.75" hidden="false" customHeight="true" outlineLevel="0" collapsed="false">
      <c r="B7" s="4" t="s">
        <v>70</v>
      </c>
      <c r="C7" s="4"/>
      <c r="D7" s="36" t="s">
        <v>388</v>
      </c>
      <c r="E7" s="36"/>
      <c r="F7" s="36"/>
      <c r="G7" s="36"/>
      <c r="H7" s="4" t="s">
        <v>137</v>
      </c>
      <c r="I7" s="4"/>
      <c r="J7" s="4"/>
      <c r="K7" s="37" t="n">
        <v>5</v>
      </c>
      <c r="L7" s="10" t="s">
        <v>138</v>
      </c>
      <c r="M7" s="10"/>
      <c r="N7" s="10"/>
    </row>
    <row r="9" customFormat="false" ht="21.75" hidden="false" customHeight="true" outlineLevel="0" collapsed="false">
      <c r="B9" s="31" t="s">
        <v>139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customFormat="false" ht="30" hidden="false" customHeight="true" outlineLevel="0" collapsed="false">
      <c r="B10" s="13" t="s">
        <v>140</v>
      </c>
      <c r="C10" s="32" t="s">
        <v>141</v>
      </c>
      <c r="D10" s="32" t="s">
        <v>142</v>
      </c>
      <c r="E10" s="32" t="s">
        <v>143</v>
      </c>
      <c r="F10" s="32" t="s">
        <v>144</v>
      </c>
      <c r="G10" s="32" t="s">
        <v>145</v>
      </c>
      <c r="H10" s="32" t="s">
        <v>146</v>
      </c>
      <c r="I10" s="32" t="s">
        <v>147</v>
      </c>
      <c r="J10" s="32" t="s">
        <v>148</v>
      </c>
      <c r="K10" s="32" t="s">
        <v>149</v>
      </c>
      <c r="L10" s="15" t="s">
        <v>89</v>
      </c>
      <c r="M10" s="15" t="s">
        <v>90</v>
      </c>
      <c r="N10" s="13" t="s">
        <v>91</v>
      </c>
    </row>
    <row r="11" customFormat="false" ht="27" hidden="false" customHeight="true" outlineLevel="0" collapsed="false">
      <c r="B11" s="16" t="s">
        <v>92</v>
      </c>
      <c r="C11" s="16" t="s">
        <v>150</v>
      </c>
      <c r="D11" s="16" t="s">
        <v>151</v>
      </c>
      <c r="E11" s="16" t="s">
        <v>96</v>
      </c>
      <c r="F11" s="16" t="s">
        <v>152</v>
      </c>
      <c r="G11" s="16" t="s">
        <v>153</v>
      </c>
      <c r="H11" s="16" t="s">
        <v>154</v>
      </c>
      <c r="I11" s="16" t="s">
        <v>155</v>
      </c>
      <c r="J11" s="16" t="s">
        <v>156</v>
      </c>
      <c r="K11" s="16" t="s">
        <v>156</v>
      </c>
      <c r="L11" s="16"/>
      <c r="M11" s="16"/>
      <c r="N11" s="16"/>
    </row>
    <row r="12" customFormat="false" ht="21.75" hidden="false" customHeight="true" outlineLevel="0" collapsed="false">
      <c r="B12" s="17" t="s">
        <v>157</v>
      </c>
      <c r="C12" s="36" t="s">
        <v>418</v>
      </c>
      <c r="D12" s="37" t="n">
        <v>2.8</v>
      </c>
      <c r="E12" s="37" t="n">
        <v>0</v>
      </c>
      <c r="F12" s="37"/>
      <c r="G12" s="36" t="s">
        <v>419</v>
      </c>
      <c r="H12" s="37" t="s">
        <v>420</v>
      </c>
      <c r="I12" s="36" t="s">
        <v>421</v>
      </c>
      <c r="J12" s="37" t="s">
        <v>422</v>
      </c>
      <c r="K12" s="37" t="s">
        <v>422</v>
      </c>
      <c r="L12" s="23" t="str">
        <f aca="false">IF(C12="","",IF(J12="Sim","Laço",IF(H12="Pré-fader","Envio pré",IF(AND(OR(C12="Reverb hall",C12="Reverb plate",C12="Reverb room"),D12&lt;&gt;"",D12&gt;$K$4),"Tempo longo",IF(AND(C12="Delay",F12&lt;&gt;"",F12&gt;$K$5),"Repetição alta",IF(OR(H12="",J12=""),"Incompleto","OK"))))))</f>
        <v>Tempo longo</v>
      </c>
      <c r="M12" s="24" t="str">
        <f aca="false">IF(L12="","",IF(L12="Laço","Feche o envio do canal de retorno para o próprio efeito: ele realimenta a si mesmo",IF(L12="Envio pré","Passe o auxiliar para pós-fader: o efeito continua soando com o fader fechado",IF(L12="Tempo longo","Cauda longa para esta sala: reduza o tempo ou troque o tipo de reverb",IF(L12="Repetição alta","Reduza a repetição: o eco demora a morrer e embola",IF(L12="Incompleto","Informe o tipo de envio e se o retorno volta ao envio",IF(K12="Sim","Manter. Efeito no retorno de palco: pouco, e atenção à microfonia","Manter")))))))</f>
        <v>Cauda longa para esta sala: reduza o tempo ou troque o tipo de reverb</v>
      </c>
      <c r="N12" s="36"/>
    </row>
    <row r="13" customFormat="false" ht="21.75" hidden="false" customHeight="true" outlineLevel="0" collapsed="false">
      <c r="B13" s="17" t="s">
        <v>158</v>
      </c>
      <c r="C13" s="36" t="s">
        <v>423</v>
      </c>
      <c r="D13" s="37" t="n">
        <v>500</v>
      </c>
      <c r="E13" s="37"/>
      <c r="F13" s="37" t="n">
        <v>35</v>
      </c>
      <c r="G13" s="36" t="s">
        <v>424</v>
      </c>
      <c r="H13" s="37" t="s">
        <v>425</v>
      </c>
      <c r="I13" s="36" t="s">
        <v>426</v>
      </c>
      <c r="J13" s="37" t="s">
        <v>422</v>
      </c>
      <c r="K13" s="37" t="s">
        <v>422</v>
      </c>
      <c r="L13" s="23" t="str">
        <f aca="false">IF(C13="","",IF(J13="Sim","Laço",IF(H13="Pré-fader","Envio pré",IF(AND(OR(C13="Reverb hall",C13="Reverb plate",C13="Reverb room"),D13&lt;&gt;"",D13&gt;$K$4),"Tempo longo",IF(AND(C13="Delay",F13&lt;&gt;"",F13&gt;$K$5),"Repetição alta",IF(OR(H13="",J13=""),"Incompleto","OK"))))))</f>
        <v>Envio pré</v>
      </c>
      <c r="M13" s="24" t="str">
        <f aca="false">IF(L13="","",IF(L13="Laço","Feche o envio do canal de retorno para o próprio efeito: ele realimenta a si mesmo",IF(L13="Envio pré","Passe o auxiliar para pós-fader: o efeito continua soando com o fader fechado",IF(L13="Tempo longo","Cauda longa para esta sala: reduza o tempo ou troque o tipo de reverb",IF(L13="Repetição alta","Reduza a repetição: o eco demora a morrer e embola",IF(L13="Incompleto","Informe o tipo de envio e se o retorno volta ao envio",IF(K13="Sim","Manter. Efeito no retorno de palco: pouco, e atenção à microfonia","Manter")))))))</f>
        <v>Passe o auxiliar para pós-fader: o efeito continua soando com o fader fechado</v>
      </c>
      <c r="N13" s="36"/>
    </row>
    <row r="14" customFormat="false" ht="21.75" hidden="false" customHeight="true" outlineLevel="0" collapsed="false">
      <c r="B14" s="17" t="s">
        <v>159</v>
      </c>
      <c r="C14" s="36"/>
      <c r="D14" s="37"/>
      <c r="E14" s="37"/>
      <c r="F14" s="37"/>
      <c r="G14" s="36"/>
      <c r="H14" s="37"/>
      <c r="I14" s="36"/>
      <c r="J14" s="37"/>
      <c r="K14" s="37"/>
      <c r="L14" s="23" t="str">
        <f aca="false">IF(C14="","",IF(J14="Sim","Laço",IF(H14="Pré-fader","Envio pré",IF(AND(OR(C14="Reverb hall",C14="Reverb plate",C14="Reverb room"),D14&lt;&gt;"",D14&gt;$K$4),"Tempo longo",IF(AND(C14="Delay",F14&lt;&gt;"",F14&gt;$K$5),"Repetição alta",IF(OR(H14="",J14=""),"Incompleto","OK"))))))</f>
        <v/>
      </c>
      <c r="M14" s="24" t="str">
        <f aca="false">IF(L14="","",IF(L14="Laço","Feche o envio do canal de retorno para o próprio efeito: ele realimenta a si mesmo",IF(L14="Envio pré","Passe o auxiliar para pós-fader: o efeito continua soando com o fader fechado",IF(L14="Tempo longo","Cauda longa para esta sala: reduza o tempo ou troque o tipo de reverb",IF(L14="Repetição alta","Reduza a repetição: o eco demora a morrer e embola",IF(L14="Incompleto","Informe o tipo de envio e se o retorno volta ao envio",IF(K14="Sim","Manter. Efeito no retorno de palco: pouco, e atenção à microfonia","Manter")))))))</f>
        <v/>
      </c>
      <c r="N14" s="36"/>
    </row>
    <row r="15" customFormat="false" ht="21.75" hidden="false" customHeight="true" outlineLevel="0" collapsed="false">
      <c r="B15" s="17" t="s">
        <v>160</v>
      </c>
      <c r="C15" s="36"/>
      <c r="D15" s="37"/>
      <c r="E15" s="37"/>
      <c r="F15" s="37"/>
      <c r="G15" s="36"/>
      <c r="H15" s="37"/>
      <c r="I15" s="36"/>
      <c r="J15" s="37"/>
      <c r="K15" s="37"/>
      <c r="L15" s="23" t="str">
        <f aca="false">IF(C15="","",IF(J15="Sim","Laço",IF(H15="Pré-fader","Envio pré",IF(AND(OR(C15="Reverb hall",C15="Reverb plate",C15="Reverb room"),D15&lt;&gt;"",D15&gt;$K$4),"Tempo longo",IF(AND(C15="Delay",F15&lt;&gt;"",F15&gt;$K$5),"Repetição alta",IF(OR(H15="",J15=""),"Incompleto","OK"))))))</f>
        <v/>
      </c>
      <c r="M15" s="24" t="str">
        <f aca="false">IF(L15="","",IF(L15="Laço","Feche o envio do canal de retorno para o próprio efeito: ele realimenta a si mesmo",IF(L15="Envio pré","Passe o auxiliar para pós-fader: o efeito continua soando com o fader fechado",IF(L15="Tempo longo","Cauda longa para esta sala: reduza o tempo ou troque o tipo de reverb",IF(L15="Repetição alta","Reduza a repetição: o eco demora a morrer e embola",IF(L15="Incompleto","Informe o tipo de envio e se o retorno volta ao envio",IF(K15="Sim","Manter. Efeito no retorno de palco: pouco, e atenção à microfonia","Manter")))))))</f>
        <v/>
      </c>
      <c r="N15" s="36"/>
    </row>
    <row r="17" customFormat="false" ht="21.75" hidden="false" customHeight="true" outlineLevel="0" collapsed="false">
      <c r="B17" s="31" t="s">
        <v>161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customFormat="false" ht="30" hidden="false" customHeight="true" outlineLevel="0" collapsed="false">
      <c r="B18" s="13" t="s">
        <v>162</v>
      </c>
      <c r="C18" s="32" t="s">
        <v>163</v>
      </c>
      <c r="D18" s="32" t="s">
        <v>164</v>
      </c>
      <c r="E18" s="15" t="s">
        <v>165</v>
      </c>
      <c r="F18" s="15" t="s">
        <v>166</v>
      </c>
      <c r="G18" s="15" t="s">
        <v>167</v>
      </c>
      <c r="H18" s="15" t="s">
        <v>168</v>
      </c>
      <c r="I18" s="32" t="s">
        <v>169</v>
      </c>
      <c r="J18" s="15" t="s">
        <v>170</v>
      </c>
      <c r="K18" s="32" t="s">
        <v>171</v>
      </c>
      <c r="L18" s="15" t="s">
        <v>89</v>
      </c>
      <c r="M18" s="15" t="s">
        <v>90</v>
      </c>
      <c r="N18" s="13" t="s">
        <v>91</v>
      </c>
    </row>
    <row r="19" customFormat="false" ht="27" hidden="false" customHeight="true" outlineLevel="0" collapsed="false">
      <c r="B19" s="16" t="s">
        <v>92</v>
      </c>
      <c r="C19" s="16" t="s">
        <v>172</v>
      </c>
      <c r="D19" s="16" t="s">
        <v>173</v>
      </c>
      <c r="E19" s="16" t="s">
        <v>174</v>
      </c>
      <c r="F19" s="16" t="s">
        <v>175</v>
      </c>
      <c r="G19" s="16" t="s">
        <v>176</v>
      </c>
      <c r="H19" s="16" t="s">
        <v>177</v>
      </c>
      <c r="I19" s="16" t="s">
        <v>150</v>
      </c>
      <c r="J19" s="16" t="s">
        <v>96</v>
      </c>
      <c r="K19" s="16" t="s">
        <v>178</v>
      </c>
      <c r="L19" s="16"/>
      <c r="M19" s="16"/>
      <c r="N19" s="16"/>
    </row>
    <row r="20" customFormat="false" ht="21.75" hidden="false" customHeight="true" outlineLevel="0" collapsed="false">
      <c r="B20" s="17" t="n">
        <v>1</v>
      </c>
      <c r="C20" s="36" t="s">
        <v>427</v>
      </c>
      <c r="D20" s="37" t="n">
        <v>72</v>
      </c>
      <c r="E20" s="19" t="n">
        <f aca="false">IF(AND(D20&lt;&gt;"",D20&gt;0),ROUND(60000/D20/1,0),"")</f>
        <v>833</v>
      </c>
      <c r="F20" s="19" t="n">
        <f aca="false">IF(AND(D20&lt;&gt;"",D20&gt;0),ROUND(60000/D20/2,0),"")</f>
        <v>417</v>
      </c>
      <c r="G20" s="19" t="n">
        <f aca="false">IF(AND(D20&lt;&gt;"",D20&gt;0),ROUND(60000/D20/4*3,0),"")</f>
        <v>625</v>
      </c>
      <c r="H20" s="19" t="n">
        <f aca="false">IF(AND(D20&lt;&gt;"",D20&gt;0),ROUND(60000/D20/4,0),"")</f>
        <v>208</v>
      </c>
      <c r="I20" s="37" t="s">
        <v>166</v>
      </c>
      <c r="J20" s="8" t="n">
        <f aca="false">IF(OR(E20="",I20=""),"",IF(I20="Semínima",E20,IF(I20="Colcheia",F20,IF(I20="Colcheia pontuada",G20,H20))))</f>
        <v>417</v>
      </c>
      <c r="K20" s="37" t="n">
        <v>500</v>
      </c>
      <c r="L20" s="23" t="str">
        <f aca="false">IF(OR(J20="",K20=""),"",IF(ABS(K20-J20)&lt;=J20*$K$7/100,"OK","Fora do tempo"))</f>
        <v>Fora do tempo</v>
      </c>
      <c r="M20" s="24" t="str">
        <f aca="false">IF(L20="","",IF(L20="OK","Manter","Ajuste o delay para "&amp;J20&amp;" ms, ou bata o tap de novo no ritmo da música"))</f>
        <v>Ajuste o delay para 417 ms, ou bata o tap de novo no ritmo da música</v>
      </c>
      <c r="N20" s="36"/>
    </row>
    <row r="21" customFormat="false" ht="21.75" hidden="false" customHeight="true" outlineLevel="0" collapsed="false">
      <c r="B21" s="17" t="n">
        <v>2</v>
      </c>
      <c r="C21" s="36" t="s">
        <v>428</v>
      </c>
      <c r="D21" s="37" t="n">
        <v>120</v>
      </c>
      <c r="E21" s="19" t="n">
        <f aca="false">IF(AND(D21&lt;&gt;"",D21&gt;0),ROUND(60000/D21/1,0),"")</f>
        <v>500</v>
      </c>
      <c r="F21" s="19" t="n">
        <f aca="false">IF(AND(D21&lt;&gt;"",D21&gt;0),ROUND(60000/D21/2,0),"")</f>
        <v>250</v>
      </c>
      <c r="G21" s="19" t="n">
        <f aca="false">IF(AND(D21&lt;&gt;"",D21&gt;0),ROUND(60000/D21/4*3,0),"")</f>
        <v>375</v>
      </c>
      <c r="H21" s="19" t="n">
        <f aca="false">IF(AND(D21&lt;&gt;"",D21&gt;0),ROUND(60000/D21/4,0),"")</f>
        <v>125</v>
      </c>
      <c r="I21" s="37" t="s">
        <v>167</v>
      </c>
      <c r="J21" s="8" t="n">
        <f aca="false">IF(OR(E21="",I21=""),"",IF(I21="Semínima",E21,IF(I21="Colcheia",F21,IF(I21="Colcheia pontuada",G21,H21))))</f>
        <v>375</v>
      </c>
      <c r="K21" s="37" t="n">
        <v>500</v>
      </c>
      <c r="L21" s="23" t="str">
        <f aca="false">IF(OR(J21="",K21=""),"",IF(ABS(K21-J21)&lt;=J21*$K$7/100,"OK","Fora do tempo"))</f>
        <v>Fora do tempo</v>
      </c>
      <c r="M21" s="24" t="str">
        <f aca="false">IF(L21="","",IF(L21="OK","Manter","Ajuste o delay para "&amp;J21&amp;" ms, ou bata o tap de novo no ritmo da música"))</f>
        <v>Ajuste o delay para 375 ms, ou bata o tap de novo no ritmo da música</v>
      </c>
      <c r="N21" s="36"/>
    </row>
    <row r="22" customFormat="false" ht="21.75" hidden="false" customHeight="true" outlineLevel="0" collapsed="false">
      <c r="B22" s="17" t="n">
        <v>3</v>
      </c>
      <c r="C22" s="36" t="s">
        <v>429</v>
      </c>
      <c r="D22" s="37" t="n">
        <v>100</v>
      </c>
      <c r="E22" s="19" t="n">
        <f aca="false">IF(AND(D22&lt;&gt;"",D22&gt;0),ROUND(60000/D22/1,0),"")</f>
        <v>600</v>
      </c>
      <c r="F22" s="19" t="n">
        <f aca="false">IF(AND(D22&lt;&gt;"",D22&gt;0),ROUND(60000/D22/2,0),"")</f>
        <v>300</v>
      </c>
      <c r="G22" s="19" t="n">
        <f aca="false">IF(AND(D22&lt;&gt;"",D22&gt;0),ROUND(60000/D22/4*3,0),"")</f>
        <v>450</v>
      </c>
      <c r="H22" s="19" t="n">
        <f aca="false">IF(AND(D22&lt;&gt;"",D22&gt;0),ROUND(60000/D22/4,0),"")</f>
        <v>150</v>
      </c>
      <c r="I22" s="37" t="s">
        <v>165</v>
      </c>
      <c r="J22" s="8" t="n">
        <f aca="false">IF(OR(E22="",I22=""),"",IF(I22="Semínima",E22,IF(I22="Colcheia",F22,IF(I22="Colcheia pontuada",G22,H22))))</f>
        <v>600</v>
      </c>
      <c r="K22" s="37" t="n">
        <v>500</v>
      </c>
      <c r="L22" s="23" t="str">
        <f aca="false">IF(OR(J22="",K22=""),"",IF(ABS(K22-J22)&lt;=J22*$K$7/100,"OK","Fora do tempo"))</f>
        <v>Fora do tempo</v>
      </c>
      <c r="M22" s="24" t="str">
        <f aca="false">IF(L22="","",IF(L22="OK","Manter","Ajuste o delay para "&amp;J22&amp;" ms, ou bata o tap de novo no ritmo da música"))</f>
        <v>Ajuste o delay para 600 ms, ou bata o tap de novo no ritmo da música</v>
      </c>
      <c r="N22" s="36"/>
    </row>
    <row r="23" customFormat="false" ht="21.75" hidden="false" customHeight="true" outlineLevel="0" collapsed="false">
      <c r="B23" s="17" t="n">
        <v>4</v>
      </c>
      <c r="C23" s="36"/>
      <c r="D23" s="37"/>
      <c r="E23" s="19" t="str">
        <f aca="false">IF(AND(D23&lt;&gt;"",D23&gt;0),ROUND(60000/D23/1,0),"")</f>
        <v/>
      </c>
      <c r="F23" s="19" t="str">
        <f aca="false">IF(AND(D23&lt;&gt;"",D23&gt;0),ROUND(60000/D23/2,0),"")</f>
        <v/>
      </c>
      <c r="G23" s="19" t="str">
        <f aca="false">IF(AND(D23&lt;&gt;"",D23&gt;0),ROUND(60000/D23/4*3,0),"")</f>
        <v/>
      </c>
      <c r="H23" s="19" t="str">
        <f aca="false">IF(AND(D23&lt;&gt;"",D23&gt;0),ROUND(60000/D23/4,0),"")</f>
        <v/>
      </c>
      <c r="I23" s="37"/>
      <c r="J23" s="8" t="str">
        <f aca="false">IF(OR(E23="",I23=""),"",IF(I23="Semínima",E23,IF(I23="Colcheia",F23,IF(I23="Colcheia pontuada",G23,H23))))</f>
        <v/>
      </c>
      <c r="K23" s="37"/>
      <c r="L23" s="23" t="str">
        <f aca="false">IF(OR(J23="",K23=""),"",IF(ABS(K23-J23)&lt;=J23*$K$7/100,"OK","Fora do tempo"))</f>
        <v/>
      </c>
      <c r="M23" s="24" t="str">
        <f aca="false">IF(L23="","",IF(L23="OK","Manter","Ajuste o delay para "&amp;J23&amp;" ms, ou bata o tap de novo no ritmo da música"))</f>
        <v/>
      </c>
      <c r="N23" s="36"/>
    </row>
    <row r="24" customFormat="false" ht="21.75" hidden="false" customHeight="true" outlineLevel="0" collapsed="false">
      <c r="B24" s="17" t="n">
        <v>5</v>
      </c>
      <c r="C24" s="36"/>
      <c r="D24" s="37"/>
      <c r="E24" s="19" t="str">
        <f aca="false">IF(AND(D24&lt;&gt;"",D24&gt;0),ROUND(60000/D24/1,0),"")</f>
        <v/>
      </c>
      <c r="F24" s="19" t="str">
        <f aca="false">IF(AND(D24&lt;&gt;"",D24&gt;0),ROUND(60000/D24/2,0),"")</f>
        <v/>
      </c>
      <c r="G24" s="19" t="str">
        <f aca="false">IF(AND(D24&lt;&gt;"",D24&gt;0),ROUND(60000/D24/4*3,0),"")</f>
        <v/>
      </c>
      <c r="H24" s="19" t="str">
        <f aca="false">IF(AND(D24&lt;&gt;"",D24&gt;0),ROUND(60000/D24/4,0),"")</f>
        <v/>
      </c>
      <c r="I24" s="37"/>
      <c r="J24" s="8" t="str">
        <f aca="false">IF(OR(E24="",I24=""),"",IF(I24="Semínima",E24,IF(I24="Colcheia",F24,IF(I24="Colcheia pontuada",G24,H24))))</f>
        <v/>
      </c>
      <c r="K24" s="37"/>
      <c r="L24" s="23" t="str">
        <f aca="false">IF(OR(J24="",K24=""),"",IF(ABS(K24-J24)&lt;=J24*$K$7/100,"OK","Fora do tempo"))</f>
        <v/>
      </c>
      <c r="M24" s="24" t="str">
        <f aca="false">IF(L24="","",IF(L24="OK","Manter","Ajuste o delay para "&amp;J24&amp;" ms, ou bata o tap de novo no ritmo da música"))</f>
        <v/>
      </c>
      <c r="N24" s="36"/>
    </row>
    <row r="25" customFormat="false" ht="21.75" hidden="false" customHeight="true" outlineLevel="0" collapsed="false">
      <c r="B25" s="17" t="n">
        <v>6</v>
      </c>
      <c r="C25" s="36"/>
      <c r="D25" s="37"/>
      <c r="E25" s="19" t="str">
        <f aca="false">IF(AND(D25&lt;&gt;"",D25&gt;0),ROUND(60000/D25/1,0),"")</f>
        <v/>
      </c>
      <c r="F25" s="19" t="str">
        <f aca="false">IF(AND(D25&lt;&gt;"",D25&gt;0),ROUND(60000/D25/2,0),"")</f>
        <v/>
      </c>
      <c r="G25" s="19" t="str">
        <f aca="false">IF(AND(D25&lt;&gt;"",D25&gt;0),ROUND(60000/D25/4*3,0),"")</f>
        <v/>
      </c>
      <c r="H25" s="19" t="str">
        <f aca="false">IF(AND(D25&lt;&gt;"",D25&gt;0),ROUND(60000/D25/4,0),"")</f>
        <v/>
      </c>
      <c r="I25" s="37"/>
      <c r="J25" s="8" t="str">
        <f aca="false">IF(OR(E25="",I25=""),"",IF(I25="Semínima",E25,IF(I25="Colcheia",F25,IF(I25="Colcheia pontuada",G25,H25))))</f>
        <v/>
      </c>
      <c r="K25" s="37"/>
      <c r="L25" s="23" t="str">
        <f aca="false">IF(OR(J25="",K25=""),"",IF(ABS(K25-J25)&lt;=J25*$K$7/100,"OK","Fora do tempo"))</f>
        <v/>
      </c>
      <c r="M25" s="24" t="str">
        <f aca="false">IF(L25="","",IF(L25="OK","Manter","Ajuste o delay para "&amp;J25&amp;" ms, ou bata o tap de novo no ritmo da música"))</f>
        <v/>
      </c>
      <c r="N25" s="36"/>
    </row>
    <row r="27" customFormat="false" ht="21.75" hidden="false" customHeight="true" outlineLevel="0" collapsed="false">
      <c r="B27" s="31" t="s">
        <v>179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customFormat="false" ht="30" hidden="false" customHeight="true" outlineLevel="0" collapsed="false">
      <c r="B28" s="13" t="s">
        <v>77</v>
      </c>
      <c r="C28" s="13" t="s">
        <v>78</v>
      </c>
      <c r="D28" s="32" t="s">
        <v>180</v>
      </c>
      <c r="E28" s="32" t="s">
        <v>181</v>
      </c>
      <c r="F28" s="32" t="s">
        <v>182</v>
      </c>
      <c r="G28" s="32" t="s">
        <v>183</v>
      </c>
      <c r="H28" s="32" t="s">
        <v>184</v>
      </c>
      <c r="I28" s="15" t="s">
        <v>185</v>
      </c>
      <c r="J28" s="15" t="s">
        <v>186</v>
      </c>
      <c r="K28" s="15" t="s">
        <v>89</v>
      </c>
      <c r="L28" s="15" t="s">
        <v>90</v>
      </c>
      <c r="M28" s="15"/>
      <c r="N28" s="13" t="s">
        <v>91</v>
      </c>
    </row>
    <row r="29" customFormat="false" ht="27" hidden="false" customHeight="true" outlineLevel="0" collapsed="false">
      <c r="B29" s="16" t="s">
        <v>92</v>
      </c>
      <c r="C29" s="16" t="s">
        <v>93</v>
      </c>
      <c r="D29" s="16" t="s">
        <v>150</v>
      </c>
      <c r="E29" s="16" t="s">
        <v>94</v>
      </c>
      <c r="F29" s="16" t="s">
        <v>94</v>
      </c>
      <c r="G29" s="16" t="s">
        <v>94</v>
      </c>
      <c r="H29" s="16" t="s">
        <v>94</v>
      </c>
      <c r="I29" s="16" t="s">
        <v>187</v>
      </c>
      <c r="J29" s="16" t="s">
        <v>94</v>
      </c>
      <c r="K29" s="16"/>
      <c r="L29" s="16"/>
      <c r="M29" s="16"/>
      <c r="N29" s="16"/>
    </row>
    <row r="30" customFormat="false" ht="21.75" hidden="false" customHeight="true" outlineLevel="0" collapsed="false">
      <c r="B30" s="17" t="n">
        <v>1</v>
      </c>
      <c r="C30" s="36" t="s">
        <v>391</v>
      </c>
      <c r="D30" s="37" t="s">
        <v>430</v>
      </c>
      <c r="E30" s="39" t="n">
        <v>-10</v>
      </c>
      <c r="F30" s="39"/>
      <c r="G30" s="39"/>
      <c r="H30" s="39"/>
      <c r="I30" s="19" t="n">
        <f aca="false">IF(AND(C30="",D30="",COUNT(E30:H30)=0),"",COUNT(E30:H30))</f>
        <v>1</v>
      </c>
      <c r="J30" s="29" t="n">
        <f aca="false">IF(COUNT(E30:H30)=0,"",MAX(E30:H30))</f>
        <v>-10</v>
      </c>
      <c r="K30" s="23" t="str">
        <f aca="false">IF(AND(D30="",COUNT(E30:H30)=0),"",IF(D30="","Sem tipo",IF(COUNT(E30:H30)=0,"Seco",IF(D30="Fala","Fala com efeito",IF(D30="Grave","Grave com efeito",IF(D30="Mídia","Mídia com efeito",IF(J30&gt;$K$6,"Envio alto","OK")))))))</f>
        <v>Fala com efeito</v>
      </c>
      <c r="L30" s="24" t="str">
        <f aca="false">IF(K30="","",IF(K30="Sem tipo","Escolha o tipo de fonte na lista",IF(K30="Seco","Canal sem efeito",IF(K30="Fala com efeito","Feche o envio: reverb e delay atrapalham o entendimento da fala",IF(K30="Grave com efeito","Feche o envio: efeito em bumbo e baixo embola os graves",IF(K30="Mídia com efeito","Feche o envio: o material já vem com o efeito pronto",IF(K30="Envio alto","Envio acima da referência: confira se o efeito não cobre a fonte",IF(D30="Voz cantada","Manter. Feche o efeito quando este microfone for usado para falar","Manter"))))))))</f>
        <v>Feche o envio: reverb e delay atrapalham o entendimento da fala</v>
      </c>
      <c r="M30" s="24"/>
      <c r="N30" s="36"/>
    </row>
    <row r="31" customFormat="false" ht="21.75" hidden="false" customHeight="true" outlineLevel="0" collapsed="false">
      <c r="B31" s="17" t="n">
        <v>2</v>
      </c>
      <c r="C31" s="36" t="s">
        <v>101</v>
      </c>
      <c r="D31" s="37" t="s">
        <v>431</v>
      </c>
      <c r="E31" s="39" t="n">
        <v>-5</v>
      </c>
      <c r="F31" s="39" t="n">
        <v>-12</v>
      </c>
      <c r="G31" s="39"/>
      <c r="H31" s="39"/>
      <c r="I31" s="19" t="n">
        <f aca="false">IF(AND(C31="",D31="",COUNT(E31:H31)=0),"",COUNT(E31:H31))</f>
        <v>2</v>
      </c>
      <c r="J31" s="29" t="n">
        <f aca="false">IF(COUNT(E31:H31)=0,"",MAX(E31:H31))</f>
        <v>-5</v>
      </c>
      <c r="K31" s="23" t="str">
        <f aca="false">IF(AND(D31="",COUNT(E31:H31)=0),"",IF(D31="","Sem tipo",IF(COUNT(E31:H31)=0,"Seco",IF(D31="Fala","Fala com efeito",IF(D31="Grave","Grave com efeito",IF(D31="Mídia","Mídia com efeito",IF(J31&gt;$K$6,"Envio alto","OK")))))))</f>
        <v>OK</v>
      </c>
      <c r="L31" s="24" t="str">
        <f aca="false">IF(K31="","",IF(K31="Sem tipo","Escolha o tipo de fonte na lista",IF(K31="Seco","Canal sem efeito",IF(K31="Fala com efeito","Feche o envio: reverb e delay atrapalham o entendimento da fala",IF(K31="Grave com efeito","Feche o envio: efeito em bumbo e baixo embola os graves",IF(K31="Mídia com efeito","Feche o envio: o material já vem com o efeito pronto",IF(K31="Envio alto","Envio acima da referência: confira se o efeito não cobre a fonte",IF(D31="Voz cantada","Manter. Feche o efeito quando este microfone for usado para falar","Manter"))))))))</f>
        <v>Manter. Feche o efeito quando este microfone for usado para falar</v>
      </c>
      <c r="M31" s="24"/>
      <c r="N31" s="36"/>
    </row>
    <row r="32" customFormat="false" ht="21.75" hidden="false" customHeight="true" outlineLevel="0" collapsed="false">
      <c r="B32" s="17" t="n">
        <v>3</v>
      </c>
      <c r="C32" s="36" t="s">
        <v>432</v>
      </c>
      <c r="D32" s="37" t="s">
        <v>431</v>
      </c>
      <c r="E32" s="39" t="n">
        <v>-8</v>
      </c>
      <c r="F32" s="39"/>
      <c r="G32" s="39"/>
      <c r="H32" s="39"/>
      <c r="I32" s="19" t="n">
        <f aca="false">IF(AND(C32="",D32="",COUNT(E32:H32)=0),"",COUNT(E32:H32))</f>
        <v>1</v>
      </c>
      <c r="J32" s="29" t="n">
        <f aca="false">IF(COUNT(E32:H32)=0,"",MAX(E32:H32))</f>
        <v>-8</v>
      </c>
      <c r="K32" s="23" t="str">
        <f aca="false">IF(AND(D32="",COUNT(E32:H32)=0),"",IF(D32="","Sem tipo",IF(COUNT(E32:H32)=0,"Seco",IF(D32="Fala","Fala com efeito",IF(D32="Grave","Grave com efeito",IF(D32="Mídia","Mídia com efeito",IF(J32&gt;$K$6,"Envio alto","OK")))))))</f>
        <v>OK</v>
      </c>
      <c r="L32" s="24" t="str">
        <f aca="false">IF(K32="","",IF(K32="Sem tipo","Escolha o tipo de fonte na lista",IF(K32="Seco","Canal sem efeito",IF(K32="Fala com efeito","Feche o envio: reverb e delay atrapalham o entendimento da fala",IF(K32="Grave com efeito","Feche o envio: efeito em bumbo e baixo embola os graves",IF(K32="Mídia com efeito","Feche o envio: o material já vem com o efeito pronto",IF(K32="Envio alto","Envio acima da referência: confira se o efeito não cobre a fonte",IF(D32="Voz cantada","Manter. Feche o efeito quando este microfone for usado para falar","Manter"))))))))</f>
        <v>Manter. Feche o efeito quando este microfone for usado para falar</v>
      </c>
      <c r="M32" s="24"/>
      <c r="N32" s="36"/>
    </row>
    <row r="33" customFormat="false" ht="21.75" hidden="false" customHeight="true" outlineLevel="0" collapsed="false">
      <c r="B33" s="17" t="n">
        <v>4</v>
      </c>
      <c r="C33" s="36" t="s">
        <v>433</v>
      </c>
      <c r="D33" s="37" t="s">
        <v>431</v>
      </c>
      <c r="E33" s="39" t="n">
        <v>-8</v>
      </c>
      <c r="F33" s="39"/>
      <c r="G33" s="39"/>
      <c r="H33" s="39"/>
      <c r="I33" s="19" t="n">
        <f aca="false">IF(AND(C33="",D33="",COUNT(E33:H33)=0),"",COUNT(E33:H33))</f>
        <v>1</v>
      </c>
      <c r="J33" s="29" t="n">
        <f aca="false">IF(COUNT(E33:H33)=0,"",MAX(E33:H33))</f>
        <v>-8</v>
      </c>
      <c r="K33" s="23" t="str">
        <f aca="false">IF(AND(D33="",COUNT(E33:H33)=0),"",IF(D33="","Sem tipo",IF(COUNT(E33:H33)=0,"Seco",IF(D33="Fala","Fala com efeito",IF(D33="Grave","Grave com efeito",IF(D33="Mídia","Mídia com efeito",IF(J33&gt;$K$6,"Envio alto","OK")))))))</f>
        <v>OK</v>
      </c>
      <c r="L33" s="24" t="str">
        <f aca="false">IF(K33="","",IF(K33="Sem tipo","Escolha o tipo de fonte na lista",IF(K33="Seco","Canal sem efeito",IF(K33="Fala com efeito","Feche o envio: reverb e delay atrapalham o entendimento da fala",IF(K33="Grave com efeito","Feche o envio: efeito em bumbo e baixo embola os graves",IF(K33="Mídia com efeito","Feche o envio: o material já vem com o efeito pronto",IF(K33="Envio alto","Envio acima da referência: confira se o efeito não cobre a fonte",IF(D33="Voz cantada","Manter. Feche o efeito quando este microfone for usado para falar","Manter"))))))))</f>
        <v>Manter. Feche o efeito quando este microfone for usado para falar</v>
      </c>
      <c r="M33" s="24"/>
      <c r="N33" s="36"/>
    </row>
    <row r="34" customFormat="false" ht="21.75" hidden="false" customHeight="true" outlineLevel="0" collapsed="false">
      <c r="B34" s="17" t="n">
        <v>5</v>
      </c>
      <c r="C34" s="36" t="s">
        <v>393</v>
      </c>
      <c r="D34" s="37" t="s">
        <v>434</v>
      </c>
      <c r="E34" s="39" t="n">
        <v>-10</v>
      </c>
      <c r="F34" s="39"/>
      <c r="G34" s="39"/>
      <c r="H34" s="39"/>
      <c r="I34" s="19" t="n">
        <f aca="false">IF(AND(C34="",D34="",COUNT(E34:H34)=0),"",COUNT(E34:H34))</f>
        <v>1</v>
      </c>
      <c r="J34" s="29" t="n">
        <f aca="false">IF(COUNT(E34:H34)=0,"",MAX(E34:H34))</f>
        <v>-10</v>
      </c>
      <c r="K34" s="23" t="str">
        <f aca="false">IF(AND(D34="",COUNT(E34:H34)=0),"",IF(D34="","Sem tipo",IF(COUNT(E34:H34)=0,"Seco",IF(D34="Fala","Fala com efeito",IF(D34="Grave","Grave com efeito",IF(D34="Mídia","Mídia com efeito",IF(J34&gt;$K$6,"Envio alto","OK")))))))</f>
        <v>OK</v>
      </c>
      <c r="L34" s="24" t="str">
        <f aca="false">IF(K34="","",IF(K34="Sem tipo","Escolha o tipo de fonte na lista",IF(K34="Seco","Canal sem efeito",IF(K34="Fala com efeito","Feche o envio: reverb e delay atrapalham o entendimento da fala",IF(K34="Grave com efeito","Feche o envio: efeito em bumbo e baixo embola os graves",IF(K34="Mídia com efeito","Feche o envio: o material já vem com o efeito pronto",IF(K34="Envio alto","Envio acima da referência: confira se o efeito não cobre a fonte",IF(D34="Voz cantada","Manter. Feche o efeito quando este microfone for usado para falar","Manter"))))))))</f>
        <v>Manter</v>
      </c>
      <c r="M34" s="24"/>
      <c r="N34" s="36"/>
    </row>
    <row r="35" customFormat="false" ht="21.75" hidden="false" customHeight="true" outlineLevel="0" collapsed="false">
      <c r="B35" s="17" t="n">
        <v>6</v>
      </c>
      <c r="C35" s="36" t="s">
        <v>216</v>
      </c>
      <c r="D35" s="37" t="s">
        <v>435</v>
      </c>
      <c r="E35" s="39" t="n">
        <v>-10</v>
      </c>
      <c r="F35" s="39"/>
      <c r="G35" s="39"/>
      <c r="H35" s="39"/>
      <c r="I35" s="19" t="n">
        <f aca="false">IF(AND(C35="",D35="",COUNT(E35:H35)=0),"",COUNT(E35:H35))</f>
        <v>1</v>
      </c>
      <c r="J35" s="29" t="n">
        <f aca="false">IF(COUNT(E35:H35)=0,"",MAX(E35:H35))</f>
        <v>-10</v>
      </c>
      <c r="K35" s="23" t="str">
        <f aca="false">IF(AND(D35="",COUNT(E35:H35)=0),"",IF(D35="","Sem tipo",IF(COUNT(E35:H35)=0,"Seco",IF(D35="Fala","Fala com efeito",IF(D35="Grave","Grave com efeito",IF(D35="Mídia","Mídia com efeito",IF(J35&gt;$K$6,"Envio alto","OK")))))))</f>
        <v>Grave com efeito</v>
      </c>
      <c r="L35" s="24" t="str">
        <f aca="false">IF(K35="","",IF(K35="Sem tipo","Escolha o tipo de fonte na lista",IF(K35="Seco","Canal sem efeito",IF(K35="Fala com efeito","Feche o envio: reverb e delay atrapalham o entendimento da fala",IF(K35="Grave com efeito","Feche o envio: efeito em bumbo e baixo embola os graves",IF(K35="Mídia com efeito","Feche o envio: o material já vem com o efeito pronto",IF(K35="Envio alto","Envio acima da referência: confira se o efeito não cobre a fonte",IF(D35="Voz cantada","Manter. Feche o efeito quando este microfone for usado para falar","Manter"))))))))</f>
        <v>Feche o envio: efeito em bumbo e baixo embola os graves</v>
      </c>
      <c r="M35" s="24"/>
      <c r="N35" s="36"/>
    </row>
    <row r="36" customFormat="false" ht="21.75" hidden="false" customHeight="true" outlineLevel="0" collapsed="false">
      <c r="B36" s="17" t="n">
        <v>7</v>
      </c>
      <c r="C36" s="36" t="s">
        <v>228</v>
      </c>
      <c r="D36" s="37" t="s">
        <v>434</v>
      </c>
      <c r="E36" s="39"/>
      <c r="F36" s="39"/>
      <c r="G36" s="39"/>
      <c r="H36" s="39"/>
      <c r="I36" s="19" t="n">
        <f aca="false">IF(AND(C36="",D36="",COUNT(E36:H36)=0),"",COUNT(E36:H36))</f>
        <v>0</v>
      </c>
      <c r="J36" s="29" t="str">
        <f aca="false">IF(COUNT(E36:H36)=0,"",MAX(E36:H36))</f>
        <v/>
      </c>
      <c r="K36" s="23" t="str">
        <f aca="false">IF(AND(D36="",COUNT(E36:H36)=0),"",IF(D36="","Sem tipo",IF(COUNT(E36:H36)=0,"Seco",IF(D36="Fala","Fala com efeito",IF(D36="Grave","Grave com efeito",IF(D36="Mídia","Mídia com efeito",IF(J36&gt;$K$6,"Envio alto","OK")))))))</f>
        <v>Seco</v>
      </c>
      <c r="L36" s="24" t="str">
        <f aca="false">IF(K36="","",IF(K36="Sem tipo","Escolha o tipo de fonte na lista",IF(K36="Seco","Canal sem efeito",IF(K36="Fala com efeito","Feche o envio: reverb e delay atrapalham o entendimento da fala",IF(K36="Grave com efeito","Feche o envio: efeito em bumbo e baixo embola os graves",IF(K36="Mídia com efeito","Feche o envio: o material já vem com o efeito pronto",IF(K36="Envio alto","Envio acima da referência: confira se o efeito não cobre a fonte",IF(D36="Voz cantada","Manter. Feche o efeito quando este microfone for usado para falar","Manter"))))))))</f>
        <v>Canal sem efeito</v>
      </c>
      <c r="M36" s="24"/>
      <c r="N36" s="36"/>
    </row>
    <row r="37" customFormat="false" ht="21.75" hidden="false" customHeight="true" outlineLevel="0" collapsed="false">
      <c r="B37" s="17" t="n">
        <v>8</v>
      </c>
      <c r="C37" s="36" t="s">
        <v>222</v>
      </c>
      <c r="D37" s="37" t="s">
        <v>435</v>
      </c>
      <c r="E37" s="39" t="n">
        <v>-15</v>
      </c>
      <c r="F37" s="39"/>
      <c r="G37" s="39"/>
      <c r="H37" s="39"/>
      <c r="I37" s="19" t="n">
        <f aca="false">IF(AND(C37="",D37="",COUNT(E37:H37)=0),"",COUNT(E37:H37))</f>
        <v>1</v>
      </c>
      <c r="J37" s="29" t="n">
        <f aca="false">IF(COUNT(E37:H37)=0,"",MAX(E37:H37))</f>
        <v>-15</v>
      </c>
      <c r="K37" s="23" t="str">
        <f aca="false">IF(AND(D37="",COUNT(E37:H37)=0),"",IF(D37="","Sem tipo",IF(COUNT(E37:H37)=0,"Seco",IF(D37="Fala","Fala com efeito",IF(D37="Grave","Grave com efeito",IF(D37="Mídia","Mídia com efeito",IF(J37&gt;$K$6,"Envio alto","OK")))))))</f>
        <v>Grave com efeito</v>
      </c>
      <c r="L37" s="24" t="str">
        <f aca="false">IF(K37="","",IF(K37="Sem tipo","Escolha o tipo de fonte na lista",IF(K37="Seco","Canal sem efeito",IF(K37="Fala com efeito","Feche o envio: reverb e delay atrapalham o entendimento da fala",IF(K37="Grave com efeito","Feche o envio: efeito em bumbo e baixo embola os graves",IF(K37="Mídia com efeito","Feche o envio: o material já vem com o efeito pronto",IF(K37="Envio alto","Envio acima da referência: confira se o efeito não cobre a fonte",IF(D37="Voz cantada","Manter. Feche o efeito quando este microfone for usado para falar","Manter"))))))))</f>
        <v>Feche o envio: efeito em bumbo e baixo embola os graves</v>
      </c>
      <c r="M37" s="24"/>
      <c r="N37" s="36"/>
    </row>
    <row r="38" customFormat="false" ht="21.75" hidden="false" customHeight="true" outlineLevel="0" collapsed="false">
      <c r="B38" s="17" t="n">
        <v>9</v>
      </c>
      <c r="C38" s="36" t="s">
        <v>226</v>
      </c>
      <c r="D38" s="37" t="s">
        <v>436</v>
      </c>
      <c r="E38" s="39" t="n">
        <v>3</v>
      </c>
      <c r="F38" s="39"/>
      <c r="G38" s="39"/>
      <c r="H38" s="39"/>
      <c r="I38" s="19" t="n">
        <f aca="false">IF(AND(C38="",D38="",COUNT(E38:H38)=0),"",COUNT(E38:H38))</f>
        <v>1</v>
      </c>
      <c r="J38" s="29" t="n">
        <f aca="false">IF(COUNT(E38:H38)=0,"",MAX(E38:H38))</f>
        <v>3</v>
      </c>
      <c r="K38" s="23" t="str">
        <f aca="false">IF(AND(D38="",COUNT(E38:H38)=0),"",IF(D38="","Sem tipo",IF(COUNT(E38:H38)=0,"Seco",IF(D38="Fala","Fala com efeito",IF(D38="Grave","Grave com efeito",IF(D38="Mídia","Mídia com efeito",IF(J38&gt;$K$6,"Envio alto","OK")))))))</f>
        <v>Envio alto</v>
      </c>
      <c r="L38" s="24" t="str">
        <f aca="false">IF(K38="","",IF(K38="Sem tipo","Escolha o tipo de fonte na lista",IF(K38="Seco","Canal sem efeito",IF(K38="Fala com efeito","Feche o envio: reverb e delay atrapalham o entendimento da fala",IF(K38="Grave com efeito","Feche o envio: efeito em bumbo e baixo embola os graves",IF(K38="Mídia com efeito","Feche o envio: o material já vem com o efeito pronto",IF(K38="Envio alto","Envio acima da referência: confira se o efeito não cobre a fonte",IF(D38="Voz cantada","Manter. Feche o efeito quando este microfone for usado para falar","Manter"))))))))</f>
        <v>Envio acima da referência: confira se o efeito não cobre a fonte</v>
      </c>
      <c r="M38" s="24"/>
      <c r="N38" s="36"/>
    </row>
    <row r="39" customFormat="false" ht="21.75" hidden="false" customHeight="true" outlineLevel="0" collapsed="false">
      <c r="B39" s="17" t="n">
        <v>10</v>
      </c>
      <c r="C39" s="36" t="s">
        <v>437</v>
      </c>
      <c r="D39" s="37" t="s">
        <v>438</v>
      </c>
      <c r="E39" s="39" t="n">
        <v>-10</v>
      </c>
      <c r="F39" s="39"/>
      <c r="G39" s="39"/>
      <c r="H39" s="39"/>
      <c r="I39" s="19" t="n">
        <f aca="false">IF(AND(C39="",D39="",COUNT(E39:H39)=0),"",COUNT(E39:H39))</f>
        <v>1</v>
      </c>
      <c r="J39" s="29" t="n">
        <f aca="false">IF(COUNT(E39:H39)=0,"",MAX(E39:H39))</f>
        <v>-10</v>
      </c>
      <c r="K39" s="23" t="str">
        <f aca="false">IF(AND(D39="",COUNT(E39:H39)=0),"",IF(D39="","Sem tipo",IF(COUNT(E39:H39)=0,"Seco",IF(D39="Fala","Fala com efeito",IF(D39="Grave","Grave com efeito",IF(D39="Mídia","Mídia com efeito",IF(J39&gt;$K$6,"Envio alto","OK")))))))</f>
        <v>Mídia com efeito</v>
      </c>
      <c r="L39" s="24" t="str">
        <f aca="false">IF(K39="","",IF(K39="Sem tipo","Escolha o tipo de fonte na lista",IF(K39="Seco","Canal sem efeito",IF(K39="Fala com efeito","Feche o envio: reverb e delay atrapalham o entendimento da fala",IF(K39="Grave com efeito","Feche o envio: efeito em bumbo e baixo embola os graves",IF(K39="Mídia com efeito","Feche o envio: o material já vem com o efeito pronto",IF(K39="Envio alto","Envio acima da referência: confira se o efeito não cobre a fonte",IF(D39="Voz cantada","Manter. Feche o efeito quando este microfone for usado para falar","Manter"))))))))</f>
        <v>Feche o envio: o material já vem com o efeito pronto</v>
      </c>
      <c r="M39" s="24"/>
      <c r="N39" s="36"/>
    </row>
    <row r="40" customFormat="false" ht="21.75" hidden="false" customHeight="true" outlineLevel="0" collapsed="false">
      <c r="B40" s="17" t="n">
        <v>11</v>
      </c>
      <c r="C40" s="36"/>
      <c r="D40" s="37"/>
      <c r="E40" s="39"/>
      <c r="F40" s="39"/>
      <c r="G40" s="39"/>
      <c r="H40" s="39"/>
      <c r="I40" s="19" t="str">
        <f aca="false">IF(AND(C40="",D40="",COUNT(E40:H40)=0),"",COUNT(E40:H40))</f>
        <v/>
      </c>
      <c r="J40" s="29" t="str">
        <f aca="false">IF(COUNT(E40:H40)=0,"",MAX(E40:H40))</f>
        <v/>
      </c>
      <c r="K40" s="23" t="str">
        <f aca="false">IF(AND(D40="",COUNT(E40:H40)=0),"",IF(D40="","Sem tipo",IF(COUNT(E40:H40)=0,"Seco",IF(D40="Fala","Fala com efeito",IF(D40="Grave","Grave com efeito",IF(D40="Mídia","Mídia com efeito",IF(J40&gt;$K$6,"Envio alto","OK")))))))</f>
        <v/>
      </c>
      <c r="L40" s="24" t="str">
        <f aca="false">IF(K40="","",IF(K40="Sem tipo","Escolha o tipo de fonte na lista",IF(K40="Seco","Canal sem efeito",IF(K40="Fala com efeito","Feche o envio: reverb e delay atrapalham o entendimento da fala",IF(K40="Grave com efeito","Feche o envio: efeito em bumbo e baixo embola os graves",IF(K40="Mídia com efeito","Feche o envio: o material já vem com o efeito pronto",IF(K40="Envio alto","Envio acima da referência: confira se o efeito não cobre a fonte",IF(D40="Voz cantada","Manter. Feche o efeito quando este microfone for usado para falar","Manter"))))))))</f>
        <v/>
      </c>
      <c r="M40" s="24"/>
      <c r="N40" s="36"/>
    </row>
    <row r="41" customFormat="false" ht="21.75" hidden="false" customHeight="true" outlineLevel="0" collapsed="false">
      <c r="B41" s="17" t="n">
        <v>12</v>
      </c>
      <c r="C41" s="36"/>
      <c r="D41" s="37"/>
      <c r="E41" s="39"/>
      <c r="F41" s="39"/>
      <c r="G41" s="39"/>
      <c r="H41" s="39"/>
      <c r="I41" s="19" t="str">
        <f aca="false">IF(AND(C41="",D41="",COUNT(E41:H41)=0),"",COUNT(E41:H41))</f>
        <v/>
      </c>
      <c r="J41" s="29" t="str">
        <f aca="false">IF(COUNT(E41:H41)=0,"",MAX(E41:H41))</f>
        <v/>
      </c>
      <c r="K41" s="23" t="str">
        <f aca="false">IF(AND(D41="",COUNT(E41:H41)=0),"",IF(D41="","Sem tipo",IF(COUNT(E41:H41)=0,"Seco",IF(D41="Fala","Fala com efeito",IF(D41="Grave","Grave com efeito",IF(D41="Mídia","Mídia com efeito",IF(J41&gt;$K$6,"Envio alto","OK")))))))</f>
        <v/>
      </c>
      <c r="L41" s="24" t="str">
        <f aca="false">IF(K41="","",IF(K41="Sem tipo","Escolha o tipo de fonte na lista",IF(K41="Seco","Canal sem efeito",IF(K41="Fala com efeito","Feche o envio: reverb e delay atrapalham o entendimento da fala",IF(K41="Grave com efeito","Feche o envio: efeito em bumbo e baixo embola os graves",IF(K41="Mídia com efeito","Feche o envio: o material já vem com o efeito pronto",IF(K41="Envio alto","Envio acima da referência: confira se o efeito não cobre a fonte",IF(D41="Voz cantada","Manter. Feche o efeito quando este microfone for usado para falar","Manter"))))))))</f>
        <v/>
      </c>
      <c r="M41" s="24"/>
      <c r="N41" s="36"/>
    </row>
    <row r="42" customFormat="false" ht="21.75" hidden="false" customHeight="true" outlineLevel="0" collapsed="false">
      <c r="B42" s="17" t="n">
        <v>13</v>
      </c>
      <c r="C42" s="36"/>
      <c r="D42" s="37"/>
      <c r="E42" s="39"/>
      <c r="F42" s="39"/>
      <c r="G42" s="39"/>
      <c r="H42" s="39"/>
      <c r="I42" s="19" t="str">
        <f aca="false">IF(AND(C42="",D42="",COUNT(E42:H42)=0),"",COUNT(E42:H42))</f>
        <v/>
      </c>
      <c r="J42" s="29" t="str">
        <f aca="false">IF(COUNT(E42:H42)=0,"",MAX(E42:H42))</f>
        <v/>
      </c>
      <c r="K42" s="23" t="str">
        <f aca="false">IF(AND(D42="",COUNT(E42:H42)=0),"",IF(D42="","Sem tipo",IF(COUNT(E42:H42)=0,"Seco",IF(D42="Fala","Fala com efeito",IF(D42="Grave","Grave com efeito",IF(D42="Mídia","Mídia com efeito",IF(J42&gt;$K$6,"Envio alto","OK")))))))</f>
        <v/>
      </c>
      <c r="L42" s="24" t="str">
        <f aca="false">IF(K42="","",IF(K42="Sem tipo","Escolha o tipo de fonte na lista",IF(K42="Seco","Canal sem efeito",IF(K42="Fala com efeito","Feche o envio: reverb e delay atrapalham o entendimento da fala",IF(K42="Grave com efeito","Feche o envio: efeito em bumbo e baixo embola os graves",IF(K42="Mídia com efeito","Feche o envio: o material já vem com o efeito pronto",IF(K42="Envio alto","Envio acima da referência: confira se o efeito não cobre a fonte",IF(D42="Voz cantada","Manter. Feche o efeito quando este microfone for usado para falar","Manter"))))))))</f>
        <v/>
      </c>
      <c r="M42" s="24"/>
      <c r="N42" s="36"/>
    </row>
    <row r="43" customFormat="false" ht="21.75" hidden="false" customHeight="true" outlineLevel="0" collapsed="false">
      <c r="B43" s="17" t="n">
        <v>14</v>
      </c>
      <c r="C43" s="36"/>
      <c r="D43" s="37"/>
      <c r="E43" s="39"/>
      <c r="F43" s="39"/>
      <c r="G43" s="39"/>
      <c r="H43" s="39"/>
      <c r="I43" s="19" t="str">
        <f aca="false">IF(AND(C43="",D43="",COUNT(E43:H43)=0),"",COUNT(E43:H43))</f>
        <v/>
      </c>
      <c r="J43" s="29" t="str">
        <f aca="false">IF(COUNT(E43:H43)=0,"",MAX(E43:H43))</f>
        <v/>
      </c>
      <c r="K43" s="23" t="str">
        <f aca="false">IF(AND(D43="",COUNT(E43:H43)=0),"",IF(D43="","Sem tipo",IF(COUNT(E43:H43)=0,"Seco",IF(D43="Fala","Fala com efeito",IF(D43="Grave","Grave com efeito",IF(D43="Mídia","Mídia com efeito",IF(J43&gt;$K$6,"Envio alto","OK")))))))</f>
        <v/>
      </c>
      <c r="L43" s="24" t="str">
        <f aca="false">IF(K43="","",IF(K43="Sem tipo","Escolha o tipo de fonte na lista",IF(K43="Seco","Canal sem efeito",IF(K43="Fala com efeito","Feche o envio: reverb e delay atrapalham o entendimento da fala",IF(K43="Grave com efeito","Feche o envio: efeito em bumbo e baixo embola os graves",IF(K43="Mídia com efeito","Feche o envio: o material já vem com o efeito pronto",IF(K43="Envio alto","Envio acima da referência: confira se o efeito não cobre a fonte",IF(D43="Voz cantada","Manter. Feche o efeito quando este microfone for usado para falar","Manter"))))))))</f>
        <v/>
      </c>
      <c r="M43" s="24"/>
      <c r="N43" s="36"/>
    </row>
    <row r="44" customFormat="false" ht="21.75" hidden="false" customHeight="true" outlineLevel="0" collapsed="false">
      <c r="B44" s="17" t="n">
        <v>15</v>
      </c>
      <c r="C44" s="36"/>
      <c r="D44" s="37"/>
      <c r="E44" s="39"/>
      <c r="F44" s="39"/>
      <c r="G44" s="39"/>
      <c r="H44" s="39"/>
      <c r="I44" s="19" t="str">
        <f aca="false">IF(AND(C44="",D44="",COUNT(E44:H44)=0),"",COUNT(E44:H44))</f>
        <v/>
      </c>
      <c r="J44" s="29" t="str">
        <f aca="false">IF(COUNT(E44:H44)=0,"",MAX(E44:H44))</f>
        <v/>
      </c>
      <c r="K44" s="23" t="str">
        <f aca="false">IF(AND(D44="",COUNT(E44:H44)=0),"",IF(D44="","Sem tipo",IF(COUNT(E44:H44)=0,"Seco",IF(D44="Fala","Fala com efeito",IF(D44="Grave","Grave com efeito",IF(D44="Mídia","Mídia com efeito",IF(J44&gt;$K$6,"Envio alto","OK")))))))</f>
        <v/>
      </c>
      <c r="L44" s="24" t="str">
        <f aca="false">IF(K44="","",IF(K44="Sem tipo","Escolha o tipo de fonte na lista",IF(K44="Seco","Canal sem efeito",IF(K44="Fala com efeito","Feche o envio: reverb e delay atrapalham o entendimento da fala",IF(K44="Grave com efeito","Feche o envio: efeito em bumbo e baixo embola os graves",IF(K44="Mídia com efeito","Feche o envio: o material já vem com o efeito pronto",IF(K44="Envio alto","Envio acima da referência: confira se o efeito não cobre a fonte",IF(D44="Voz cantada","Manter. Feche o efeito quando este microfone for usado para falar","Manter"))))))))</f>
        <v/>
      </c>
      <c r="M44" s="24"/>
      <c r="N44" s="36"/>
    </row>
    <row r="45" customFormat="false" ht="21.75" hidden="false" customHeight="true" outlineLevel="0" collapsed="false">
      <c r="B45" s="17" t="n">
        <v>16</v>
      </c>
      <c r="C45" s="36"/>
      <c r="D45" s="37"/>
      <c r="E45" s="39"/>
      <c r="F45" s="39"/>
      <c r="G45" s="39"/>
      <c r="H45" s="39"/>
      <c r="I45" s="19" t="str">
        <f aca="false">IF(AND(C45="",D45="",COUNT(E45:H45)=0),"",COUNT(E45:H45))</f>
        <v/>
      </c>
      <c r="J45" s="29" t="str">
        <f aca="false">IF(COUNT(E45:H45)=0,"",MAX(E45:H45))</f>
        <v/>
      </c>
      <c r="K45" s="23" t="str">
        <f aca="false">IF(AND(D45="",COUNT(E45:H45)=0),"",IF(D45="","Sem tipo",IF(COUNT(E45:H45)=0,"Seco",IF(D45="Fala","Fala com efeito",IF(D45="Grave","Grave com efeito",IF(D45="Mídia","Mídia com efeito",IF(J45&gt;$K$6,"Envio alto","OK")))))))</f>
        <v/>
      </c>
      <c r="L45" s="24" t="str">
        <f aca="false">IF(K45="","",IF(K45="Sem tipo","Escolha o tipo de fonte na lista",IF(K45="Seco","Canal sem efeito",IF(K45="Fala com efeito","Feche o envio: reverb e delay atrapalham o entendimento da fala",IF(K45="Grave com efeito","Feche o envio: efeito em bumbo e baixo embola os graves",IF(K45="Mídia com efeito","Feche o envio: o material já vem com o efeito pronto",IF(K45="Envio alto","Envio acima da referência: confira se o efeito não cobre a fonte",IF(D45="Voz cantada","Manter. Feche o efeito quando este microfone for usado para falar","Manter"))))))))</f>
        <v/>
      </c>
      <c r="M45" s="24"/>
      <c r="N45" s="36"/>
    </row>
    <row r="47" customFormat="false" ht="21.75" hidden="false" customHeight="true" outlineLevel="0" collapsed="false">
      <c r="B47" s="25" t="s">
        <v>188</v>
      </c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customFormat="false" ht="19.5" hidden="false" customHeight="true" outlineLevel="0" collapsed="false">
      <c r="B48" s="26" t="s">
        <v>189</v>
      </c>
      <c r="C48" s="26"/>
      <c r="D48" s="26"/>
      <c r="E48" s="8" t="n">
        <f aca="false">COUNT(E30:E45)</f>
        <v>9</v>
      </c>
    </row>
    <row r="49" customFormat="false" ht="19.5" hidden="false" customHeight="true" outlineLevel="0" collapsed="false">
      <c r="B49" s="26" t="s">
        <v>190</v>
      </c>
      <c r="C49" s="26"/>
      <c r="D49" s="26"/>
      <c r="E49" s="8" t="n">
        <f aca="false">COUNT(F30:F45)</f>
        <v>1</v>
      </c>
    </row>
    <row r="50" customFormat="false" ht="19.5" hidden="false" customHeight="true" outlineLevel="0" collapsed="false">
      <c r="B50" s="26" t="s">
        <v>191</v>
      </c>
      <c r="C50" s="26"/>
      <c r="D50" s="26"/>
      <c r="E50" s="8" t="n">
        <f aca="false">COUNT(G30:G45)</f>
        <v>0</v>
      </c>
    </row>
    <row r="51" customFormat="false" ht="19.5" hidden="false" customHeight="true" outlineLevel="0" collapsed="false">
      <c r="B51" s="26" t="s">
        <v>192</v>
      </c>
      <c r="C51" s="26"/>
      <c r="D51" s="26"/>
      <c r="E51" s="8" t="n">
        <f aca="false">COUNT(H30:H45)</f>
        <v>0</v>
      </c>
    </row>
    <row r="52" customFormat="false" ht="19.5" hidden="false" customHeight="true" outlineLevel="0" collapsed="false">
      <c r="B52" s="26" t="s">
        <v>193</v>
      </c>
      <c r="C52" s="26"/>
      <c r="D52" s="26"/>
      <c r="E52" s="8" t="n">
        <f aca="false">COUNTIF(L12:L15,"Incompleto")+COUNTIF(L12:L15,"Tempo longo")+COUNTIF(L12:L15,"Repetição alta")+COUNTIF(L12:L15,"Envio pré")+COUNTIF(L12:L15,"Laço")</f>
        <v>2</v>
      </c>
    </row>
    <row r="53" customFormat="false" ht="19.5" hidden="false" customHeight="true" outlineLevel="0" collapsed="false">
      <c r="B53" s="26" t="s">
        <v>194</v>
      </c>
      <c r="C53" s="26"/>
      <c r="D53" s="26"/>
      <c r="E53" s="8" t="n">
        <f aca="false">COUNTIF(L20:L25,"Fora do tempo")</f>
        <v>3</v>
      </c>
    </row>
    <row r="54" customFormat="false" ht="19.5" hidden="false" customHeight="true" outlineLevel="0" collapsed="false">
      <c r="B54" s="26" t="s">
        <v>195</v>
      </c>
      <c r="C54" s="26"/>
      <c r="D54" s="26"/>
      <c r="E54" s="8" t="n">
        <f aca="false">COUNTIF(K30:K45,"Sem tipo")+COUNTIF(K30:K45,"Envio alto")+COUNTIF(K30:K45,"Fala com efeito")+COUNTIF(K30:K45,"Grave com efeito")+COUNTIF(K30:K45,"Mídia com efeito")</f>
        <v>5</v>
      </c>
    </row>
    <row r="55" customFormat="false" ht="21.75" hidden="false" customHeight="true" outlineLevel="0" collapsed="false">
      <c r="B55" s="26" t="s">
        <v>111</v>
      </c>
      <c r="C55" s="26"/>
      <c r="D55" s="26"/>
      <c r="E55" s="27" t="str">
        <f aca="false">IF(COUNT(K4:K7)&lt;4,"Informe os quatro valores de referência",IF(COUNTA(C12:C15)+COUNTA(C30:C45)+COUNT(D20:D25)=0,"Preencha os processadores, as músicas ou os envios",IF(E52&gt;0,"Há processador com alerta: confira o caminho do efeito",IF(E54&gt;0,"Há canal com alerta de envio",IF(E53&gt;0,"Há música com o delay fora do tempo","OK")))))</f>
        <v>Há processador com alerta: confira o caminho do efeito</v>
      </c>
      <c r="F55" s="27"/>
      <c r="G55" s="27"/>
      <c r="H55" s="27"/>
      <c r="I55" s="27"/>
      <c r="J55" s="27"/>
      <c r="K55" s="27"/>
      <c r="L55" s="27"/>
      <c r="M55" s="27"/>
    </row>
    <row r="56" customFormat="false" ht="15" hidden="false" customHeight="true" outlineLevel="0" collapsed="false">
      <c r="B56" s="10" t="s">
        <v>196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8" customFormat="false" ht="21.75" hidden="false" customHeight="true" outlineLevel="0" collapsed="false">
      <c r="B58" s="25" t="s">
        <v>397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customFormat="false" ht="21.75" hidden="false" customHeight="true" outlineLevel="0" collapsed="false">
      <c r="B59" s="8" t="s">
        <v>439</v>
      </c>
      <c r="C59" s="8"/>
      <c r="D59" s="8" t="s">
        <v>398</v>
      </c>
      <c r="E59" s="8"/>
      <c r="F59" s="8"/>
      <c r="G59" s="8"/>
      <c r="H59" s="8"/>
      <c r="I59" s="8"/>
      <c r="J59" s="8"/>
      <c r="K59" s="8"/>
      <c r="L59" s="8"/>
      <c r="M59" s="8"/>
      <c r="N59" s="8"/>
    </row>
    <row r="60" customFormat="false" ht="21.75" hidden="false" customHeight="true" outlineLevel="0" collapsed="false">
      <c r="B60" s="4" t="s">
        <v>157</v>
      </c>
      <c r="C60" s="4"/>
      <c r="D60" s="7" t="s">
        <v>440</v>
      </c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21.75" hidden="false" customHeight="true" outlineLevel="0" collapsed="false">
      <c r="B61" s="4" t="s">
        <v>158</v>
      </c>
      <c r="C61" s="4"/>
      <c r="D61" s="7" t="s">
        <v>441</v>
      </c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21.75" hidden="false" customHeight="true" outlineLevel="0" collapsed="false">
      <c r="B62" s="4" t="s">
        <v>442</v>
      </c>
      <c r="C62" s="4"/>
      <c r="D62" s="7" t="s">
        <v>443</v>
      </c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21.75" hidden="false" customHeight="true" outlineLevel="0" collapsed="false">
      <c r="B63" s="4" t="s">
        <v>444</v>
      </c>
      <c r="C63" s="4"/>
      <c r="D63" s="7" t="s">
        <v>445</v>
      </c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21.75" hidden="false" customHeight="true" outlineLevel="0" collapsed="false">
      <c r="B64" s="4" t="s">
        <v>446</v>
      </c>
      <c r="C64" s="4"/>
      <c r="D64" s="7" t="s">
        <v>447</v>
      </c>
      <c r="E64" s="7"/>
      <c r="F64" s="7"/>
      <c r="G64" s="7"/>
      <c r="H64" s="7"/>
      <c r="I64" s="7"/>
      <c r="J64" s="7"/>
      <c r="K64" s="7"/>
      <c r="L64" s="7"/>
      <c r="M64" s="7"/>
      <c r="N64" s="7"/>
    </row>
  </sheetData>
  <mergeCells count="63">
    <mergeCell ref="B1:N1"/>
    <mergeCell ref="B2:N2"/>
    <mergeCell ref="B4:C4"/>
    <mergeCell ref="D4:G4"/>
    <mergeCell ref="H4:J4"/>
    <mergeCell ref="L4:N4"/>
    <mergeCell ref="B5:C5"/>
    <mergeCell ref="D5:G5"/>
    <mergeCell ref="H5:J5"/>
    <mergeCell ref="L5:N5"/>
    <mergeCell ref="B6:C6"/>
    <mergeCell ref="D6:G6"/>
    <mergeCell ref="H6:J6"/>
    <mergeCell ref="L6:N6"/>
    <mergeCell ref="B7:C7"/>
    <mergeCell ref="D7:G7"/>
    <mergeCell ref="H7:J7"/>
    <mergeCell ref="L7:N7"/>
    <mergeCell ref="B9:N9"/>
    <mergeCell ref="B17:N17"/>
    <mergeCell ref="B27:N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B47:N47"/>
    <mergeCell ref="B48:D48"/>
    <mergeCell ref="B49:D49"/>
    <mergeCell ref="B50:D50"/>
    <mergeCell ref="B51:D51"/>
    <mergeCell ref="B52:D52"/>
    <mergeCell ref="B53:D53"/>
    <mergeCell ref="B54:D54"/>
    <mergeCell ref="B55:D55"/>
    <mergeCell ref="E55:M55"/>
    <mergeCell ref="B56:N56"/>
    <mergeCell ref="B58:N58"/>
    <mergeCell ref="B59:C59"/>
    <mergeCell ref="D59:N59"/>
    <mergeCell ref="B60:C60"/>
    <mergeCell ref="D60:N60"/>
    <mergeCell ref="B61:C61"/>
    <mergeCell ref="D61:N61"/>
    <mergeCell ref="B62:C62"/>
    <mergeCell ref="D62:N62"/>
    <mergeCell ref="B63:C63"/>
    <mergeCell ref="D63:N63"/>
    <mergeCell ref="B64:C64"/>
    <mergeCell ref="D64:N64"/>
  </mergeCells>
  <conditionalFormatting sqref="L12:L1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"Incompleto"</formula>
    </cfRule>
    <cfRule type="cellIs" priority="4" operator="equal" aboveAverage="0" equalAverage="0" bottom="0" percent="0" rank="0" text="" dxfId="1">
      <formula>"Tempo longo"</formula>
    </cfRule>
    <cfRule type="cellIs" priority="5" operator="equal" aboveAverage="0" equalAverage="0" bottom="0" percent="0" rank="0" text="" dxfId="1">
      <formula>"Repetição alta"</formula>
    </cfRule>
    <cfRule type="cellIs" priority="6" operator="equal" aboveAverage="0" equalAverage="0" bottom="0" percent="0" rank="0" text="" dxfId="2">
      <formula>"Envio pré"</formula>
    </cfRule>
    <cfRule type="cellIs" priority="7" operator="equal" aboveAverage="0" equalAverage="0" bottom="0" percent="0" rank="0" text="" dxfId="2">
      <formula>"Laço"</formula>
    </cfRule>
  </conditionalFormatting>
  <conditionalFormatting sqref="L20:L25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"Fora do tempo"</formula>
    </cfRule>
  </conditionalFormatting>
  <conditionalFormatting sqref="K30:K45">
    <cfRule type="cellIs" priority="10" operator="equal" aboveAverage="0" equalAverage="0" bottom="0" percent="0" rank="0" text="" dxfId="0">
      <formula>"OK"</formula>
    </cfRule>
    <cfRule type="cellIs" priority="11" operator="equal" aboveAverage="0" equalAverage="0" bottom="0" percent="0" rank="0" text="" dxfId="1">
      <formula>"Sem tipo"</formula>
    </cfRule>
    <cfRule type="cellIs" priority="12" operator="equal" aboveAverage="0" equalAverage="0" bottom="0" percent="0" rank="0" text="" dxfId="1">
      <formula>"Envio alto"</formula>
    </cfRule>
    <cfRule type="cellIs" priority="13" operator="equal" aboveAverage="0" equalAverage="0" bottom="0" percent="0" rank="0" text="" dxfId="2">
      <formula>"Fala com efeito"</formula>
    </cfRule>
    <cfRule type="cellIs" priority="14" operator="equal" aboveAverage="0" equalAverage="0" bottom="0" percent="0" rank="0" text="" dxfId="1">
      <formula>"Grave com efeito"</formula>
    </cfRule>
    <cfRule type="cellIs" priority="15" operator="equal" aboveAverage="0" equalAverage="0" bottom="0" percent="0" rank="0" text="" dxfId="1">
      <formula>"Mídia com efeito"</formula>
    </cfRule>
  </conditionalFormatting>
  <conditionalFormatting sqref="E55:M55">
    <cfRule type="cellIs" priority="16" operator="equal" aboveAverage="0" equalAverage="0" bottom="0" percent="0" rank="0" text="" dxfId="0">
      <formula>"OK"</formula>
    </cfRule>
    <cfRule type="cellIs" priority="17" operator="notEqual" aboveAverage="0" equalAverage="0" bottom="0" percent="0" rank="0" text="" dxfId="1">
      <formula>"OK"</formula>
    </cfRule>
  </conditionalFormatting>
  <dataValidations count="11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7" type="decimal">
      <formula1>-1000000000</formula1>
      <formula2>1000000000</formula2>
    </dataValidation>
    <dataValidation allowBlank="true" error="Escolha uma das opções da lista." errorStyle="stop" errorTitle="Valor inválido" operator="between" prompt="Reverb hall, Reverb plate, Reverb room, Delay ou Outro." promptTitle="Opções" showDropDown="false" showErrorMessage="true" showInputMessage="true" sqref="C12:C15" type="list">
      <formula1>"Reverb hall,Reverb plate,Reverb room,Delay,Outro"</formula1>
      <formula2>0</formula2>
    </dataValidation>
    <dataValidation allowBlank="true" error="Escolha uma das opções da lista." errorStyle="stop" errorTitle="Valor inválido" operator="between" prompt="O auxiliar de envio é pós-fader ou pré-fader?" promptTitle="Opções" showDropDown="false" showErrorMessage="true" showInputMessage="true" sqref="H12:H15" type="list">
      <formula1>"Pós-fader,Pré-fader"</formula1>
      <formula2>0</formula2>
    </dataValidation>
    <dataValidation allowBlank="true" error="Escolha uma das opções da lista." errorStyle="stop" errorTitle="Valor inválido" operator="between" prompt="Sim ou Não." promptTitle="Opções" showDropDown="false" showErrorMessage="true" showInputMessage="true" sqref="J12:K15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12:F15" type="decimal">
      <formula1>-1000000000</formula1>
      <formula2>1000000000</formula2>
    </dataValidation>
    <dataValidation allowBlank="true" error="Escolha uma das opções da lista." errorStyle="stop" errorTitle="Valor inválido" operator="between" prompt="Semínima, Colcheia, Colcheia pontuada ou Semicolcheia." promptTitle="Opções" showDropDown="false" showErrorMessage="true" showInputMessage="true" sqref="I20:I25" type="list">
      <formula1>"Semínima,Colcheia,Colcheia pontuada,Semicolcheia"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D20:D2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20:K25" type="decimal">
      <formula1>-1000000000</formula1>
      <formula2>1000000000</formula2>
    </dataValidation>
    <dataValidation allowBlank="true" error="Escolha uma das opções da lista." errorStyle="stop" errorTitle="Valor inválido" operator="between" prompt="Fala, Voz cantada, Instrumento, Bateria, Grave (bumbo e baixo) ou Mídia." promptTitle="Opções" showDropDown="false" showErrorMessage="true" showInputMessage="true" sqref="D30:D45" type="list">
      <formula1>"Fala,Voz cantada,Instrumento,Bateria,Grave,Mídia"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E30:H45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2026-10-01T12:59:08Z</dcterms:created>
  <dc:creator>Estudos: Técnico em áudio e vídeo</dc:creator>
  <dc:description/>
  <dc:language>pt-BR</dc:language>
  <cp:lastModifiedBy/>
  <dcterms:modified xsi:type="dcterms:W3CDTF">2026-10-01T12:59:08Z</dcterms:modified>
  <cp:revision>0</cp:revision>
  <dc:subject/>
  <dc:title>Dinâmica e efeitos — modelo de ficha de dinâmica e de efeitos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