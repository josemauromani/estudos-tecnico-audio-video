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Plano de frequências" sheetId="2" state="visible" r:id="rId4"/>
    <sheet name="Teste de RF" sheetId="3" state="visible" r:id="rId5"/>
    <sheet name="Pilhas e baterias" sheetId="4" state="visible" r:id="rId6"/>
    <sheet name="Referência" sheetId="5" state="visible" r:id="rId7"/>
    <sheet name="Checklist" sheetId="6" state="visible" r:id="rId8"/>
    <sheet name="Exemplo - Plano" sheetId="7" state="visible" r:id="rId9"/>
  </sheets>
  <definedNames>
    <definedName function="false" hidden="false" localSheetId="5" name="_xlnm.Print_Area" vbProcedure="false">Checklist!$B$1:$F$20</definedName>
    <definedName function="false" hidden="false" localSheetId="6" name="_xlnm.Print_Area" vbProcedure="false">'Exemplo - Plano'!$B$1:$P$51</definedName>
    <definedName function="false" hidden="false" localSheetId="0" name="_xlnm.Print_Area" vbProcedure="false">Instruções!$B$1:$C$39</definedName>
    <definedName function="false" hidden="false" localSheetId="3" name="_xlnm.Print_Area" vbProcedure="false">'Pilhas e baterias'!$B$1:$O$35</definedName>
    <definedName function="false" hidden="false" localSheetId="1" name="_xlnm.Print_Area" vbProcedure="false">'Plano de frequências'!$B$1:$P$41</definedName>
    <definedName function="false" hidden="false" localSheetId="4" name="_xlnm.Print_Area" vbProcedure="false">Referência!$B$1:$E$44</definedName>
    <definedName function="false" hidden="false" localSheetId="2" name="_xlnm.Print_Area" vbProcedure="false">'Teste de RF'!$B$1:$M$33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I12" authorId="0">
      <text>
        <r>
          <rPr>
            <sz val="10"/>
            <rFont val="Arial"/>
            <family val="2"/>
          </rPr>
          <t xml:space="preserve">Frequência em MHz, como aparece no visor do receptor: 538,425.
Sistema de 2,4 GHz não tem frequência fixa: deixe em branco.</t>
        </r>
      </text>
    </comment>
    <comment ref="J12" authorId="0">
      <text>
        <r>
          <rPr>
            <sz val="10"/>
            <rFont val="Arial"/>
            <family val="2"/>
          </rPr>
          <t xml:space="preserve">Canal de TV (de 6 MHz) em que a frequência cai, de 14 a 51.
Compare com os canais ativos informados no alto.</t>
        </r>
      </text>
    </comment>
    <comment ref="K12" authorId="0">
      <text>
        <r>
          <rPr>
            <sz val="10"/>
            <rFont val="Arial"/>
            <family val="2"/>
          </rPr>
          <t xml:space="preserve">Distância até a frequência mais próxima de outro sistema da lista.</t>
        </r>
      </text>
    </comment>
    <comment ref="M12" authorId="0">
      <text>
        <r>
          <rPr>
            <sz val="10"/>
            <rFont val="Arial"/>
            <family val="2"/>
          </rPr>
          <t xml:space="preserve">Quantos produtos de intermodulação (2 × A − B) de outros dois sistemas caem a menos da margem desta frequência.</t>
        </r>
      </text>
    </comment>
    <comment ref="N12" authorId="0">
      <text>
        <r>
          <rPr>
            <sz val="10"/>
            <rFont val="Arial"/>
            <family val="2"/>
          </rPr>
          <t xml:space="preserve">Repetida: igual à de outro sistema.
Próxima: abaixo da distância mínima.
Telefonia: dentro da faixa a evitar.
TV: dentro de canal de TV ativo.
Intermod.: há produto perto.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9" authorId="0">
      <text>
        <r>
          <rPr>
            <sz val="10"/>
            <rFont val="Arial"/>
            <family val="2"/>
          </rPr>
          <t xml:space="preserve">Com o transmissor deste sistema desligado, o medidor de RF do receptor deve ficar vazio.
Se mostra sinal, há outra emissão na frequência.</t>
        </r>
      </text>
    </comment>
    <comment ref="G9" authorId="0">
      <text>
        <r>
          <rPr>
            <sz val="10"/>
            <rFont val="Arial"/>
            <family val="2"/>
          </rPr>
          <t xml:space="preserve">Com os outros transmissores ligados e só este desligado, o receptor deve continuar sem RF.
Se mostra sinal, é intermodulação ou frequência próxima.</t>
        </r>
      </text>
    </comment>
    <comment ref="I9" authorId="0">
      <text>
        <r>
          <rPr>
            <sz val="10"/>
            <rFont val="Arial"/>
            <family val="2"/>
          </rPr>
          <t xml:space="preserve">Os indicadores A e B devem alternar ou acender durante a caminhada.
Se só um acende, confira a antena e o cabo do outro.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9" authorId="0">
      <text>
        <r>
          <rPr>
            <sz val="10"/>
            <rFont val="Arial"/>
            <family val="2"/>
          </rPr>
          <t xml:space="preserve">Horas de funcionamento com pilha nova ou carga completa.
Use o valor do manual do transmissor ou, melhor, o que você mediu.</t>
        </r>
      </text>
    </comment>
    <comment ref="G9" authorId="0">
      <text>
        <r>
          <rPr>
            <sz val="10"/>
            <rFont val="Arial"/>
            <family val="2"/>
          </rPr>
          <t xml:space="preserve">Sim: a pilha foi trocada ou a bateria saiu agora do carregador. As horas já usadas contam como zero.</t>
        </r>
      </text>
    </comment>
    <comment ref="H9" authorId="0">
      <text>
        <r>
          <rPr>
            <sz val="10"/>
            <rFont val="Arial"/>
            <family val="2"/>
          </rPr>
          <t xml:space="preserve">Horas de uso desde a última troca ou carga: ensaios, passagens e eventos anteriores.</t>
        </r>
      </text>
    </comment>
    <comment ref="L9" authorId="0">
      <text>
        <r>
          <rPr>
            <sz val="10"/>
            <rFont val="Arial"/>
            <family val="2"/>
          </rPr>
          <t xml:space="preserve">Trocar: a carga não chega ao fim do evento.
Atenção: chega, mas sem a margem.
Sem dados: falta a autonomia ou o tempo de uso.</t>
        </r>
      </text>
    </comment>
  </commentList>
</comments>
</file>

<file path=xl/sharedStrings.xml><?xml version="1.0" encoding="utf-8"?>
<sst xmlns="http://schemas.openxmlformats.org/spreadsheetml/2006/main" count="496" uniqueCount="365">
  <si>
    <t xml:space="preserve">Microfones sem fio — como usar esta planilha</t>
  </si>
  <si>
    <t xml:space="preserve">Plano de frequências com alertas, teste de RF por sistema e controle de pilhas, para usar na montagem do evento.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</si>
  <si>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</si>
  <si>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</si>
  <si>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</si>
  <si>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</si>
  <si>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</si>
  <si>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</si>
  <si>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</si>
  <si>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</si>
  <si>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Transmissor, faixa, tipo de pilha e as respostas Sim ou Não aceitam só as opções da lista.</t>
  </si>
  <si>
    <t xml:space="preserve">Frequências</t>
  </si>
  <si>
    <t xml:space="preserve">Digite a frequência em MHz, como aparece no visor do receptor: 538,425. Não escreva a unidade.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</si>
  <si>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</si>
  <si>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</si>
  <si>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</si>
  <si>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</si>
  <si>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Aba Plano de frequências: preencha o cabeçalho e os canais de TV digital ativos na sua cidade (canal físico).</t>
  </si>
  <si>
    <t xml:space="preserve">2</t>
  </si>
  <si>
    <t xml:space="preserve">No local: com os transmissores desligados, faça a varredura (scan) em cada receptor e escolha o grupo e os canais.</t>
  </si>
  <si>
    <t xml:space="preserve">3</t>
  </si>
  <si>
    <t xml:space="preserve">Aba Plano de frequências: liste cada sistema, quem usa, o grupo, o canal e a frequência do visor.</t>
  </si>
  <si>
    <t xml:space="preserve">4</t>
  </si>
  <si>
    <t xml:space="preserve">Veja a situação de cada linha. Troque as frequências com alerta e digite as novas, até o aviso ficar em OK.</t>
  </si>
  <si>
    <t xml:space="preserve">5</t>
  </si>
  <si>
    <t xml:space="preserve">Aba Pilhas e baterias: anote a autonomia e o tempo de uso de cada transmissor. Troque o que a planilha mandar trocar.</t>
  </si>
  <si>
    <t xml:space="preserve">6</t>
  </si>
  <si>
    <t xml:space="preserve">Aba Teste de RF: com tudo montado, faça os cinco testes de cada sistema e responda Sim ou Não.</t>
  </si>
  <si>
    <t xml:space="preserve">7</t>
  </si>
  <si>
    <t xml:space="preserve">Aba Checklist: confira os doze itens antes de abrir as portas.</t>
  </si>
  <si>
    <t xml:space="preserve">Abas da planilha</t>
  </si>
  <si>
    <t xml:space="preserve">Plano de frequências</t>
  </si>
  <si>
    <t xml:space="preserve">Até 16 sistemas, com alerta de frequência repetida, próxima demais, em canal de TV ativo, na faixa a evitar ou com intermodulação.</t>
  </si>
  <si>
    <t xml:space="preserve">Teste de RF</t>
  </si>
  <si>
    <t xml:space="preserve">Os cinco testes de cada sistema do plano, com a situação e o que fazer em cada caso.</t>
  </si>
  <si>
    <t xml:space="preserve">Pilhas e baterias</t>
  </si>
  <si>
    <t xml:space="preserve">Carga restante e folga de cada transmissor para as horas do evento, com a quantidade de pilhas a separar.</t>
  </si>
  <si>
    <t xml:space="preserve">Referência</t>
  </si>
  <si>
    <t xml:space="preserve">Faixas, valores de partida da coordenação, antenas, pilhas e tabela de sintomas.</t>
  </si>
  <si>
    <t xml:space="preserve">Checklist</t>
  </si>
  <si>
    <t xml:space="preserve">Os doze itens do treinamento, com percentual atendido.</t>
  </si>
  <si>
    <t xml:space="preserve">Exemplo - Plano</t>
  </si>
  <si>
    <t xml:space="preserve">Seis sistemas com as frequências escolhidas à mão, antes da correção (exemplo 1 do treinamento).</t>
  </si>
  <si>
    <t xml:space="preserve">Regras e premissas do modelo</t>
  </si>
  <si>
    <t xml:space="preserve">Valores de partida</t>
  </si>
  <si>
    <t xml:space="preserve">Distância mínima de 0,35 MHz entre frequências e margem de 0,1 MHz para intermodulação são ponto de partida para sistemas analógicos. Confira o manual do seu sistema e troque os valores no alto da aba.</t>
  </si>
  <si>
    <t xml:space="preserve">Canal de TV</t>
  </si>
  <si>
    <t xml:space="preserve">A conta supõe canais de 6 MHz, do 14 (470 MHz) ao 51 (698 MHz), como na TV digital brasileira. Informe o canal físico, que não é o número mostrado na TV.</t>
  </si>
  <si>
    <t xml:space="preserve">Faixa a evitar</t>
  </si>
  <si>
    <t xml:space="preserve">Vem preenchida com a faixa da telefonia móvel no Brasil (698 a 806 MHz). As regras mudam: confira a regulamentação vigente no seu local.</t>
  </si>
  <si>
    <t xml:space="preserve">Intermodulação</t>
  </si>
  <si>
    <t xml:space="preserve">A planilha calcula os produtos de terceira ordem de dois transmissores (2 × A − B) e conta os que caem perto de cada frequência. Produtos de três transmissores ficam de fora.</t>
  </si>
  <si>
    <t xml:space="preserve">Limite da conferência</t>
  </si>
  <si>
    <t xml:space="preserve">O plano sem alerta é um bom começo, e não uma garantia. Os grupos do fabricante, o programa de coordenação e o teste com todos os transmissores ligados continuam valendo.</t>
  </si>
  <si>
    <t xml:space="preserve">Sistemas de 2,4 GHz</t>
  </si>
  <si>
    <t xml:space="preserve">Não têm frequência fixa: deixe a frequência em branco e escolha a faixa 2,4 GHz. A situação aparece como Automática.</t>
  </si>
  <si>
    <t xml:space="preserve">Pilhas</t>
  </si>
  <si>
    <t xml:space="preserve">Situação OK quando a carga restante cobre as horas do evento vezes o fator de margem. O fator de 1,5 é regra prática deste material.</t>
  </si>
  <si>
    <t xml:space="preserve">Exemplo</t>
  </si>
  <si>
    <t xml:space="preserve">Os dados da aba de exemplo são ilustrativos, criados para este material.</t>
  </si>
  <si>
    <t xml:space="preserve">Plano de frequências — microfones sem fio</t>
  </si>
  <si>
    <t xml:space="preserve">Preencha as células em amarelo-claro. As células cinza conferem repetição, proximidade, TV e intermodulação.</t>
  </si>
  <si>
    <t xml:space="preserve">Lista de faixas</t>
  </si>
  <si>
    <t xml:space="preserve">Evento</t>
  </si>
  <si>
    <t xml:space="preserve">Distância mínima entre frequências (MHz)</t>
  </si>
  <si>
    <t xml:space="preserve">Ponto de partida para sistemas analógicos. O manual do seu sistema dá o valor certo.</t>
  </si>
  <si>
    <t xml:space="preserve">VHF</t>
  </si>
  <si>
    <t xml:space="preserve">Local</t>
  </si>
  <si>
    <t xml:space="preserve">Margem de intermodulação (MHz)</t>
  </si>
  <si>
    <t xml:space="preserve">Distância mínima entre uma frequência e um produto do tipo 2 × A − B.</t>
  </si>
  <si>
    <t xml:space="preserve">UHF</t>
  </si>
  <si>
    <t xml:space="preserve">Data</t>
  </si>
  <si>
    <t xml:space="preserve">Faixa a evitar: de (MHz)</t>
  </si>
  <si>
    <t xml:space="preserve">Faixa da telefonia móvel no Brasil. Confira a regulamentação vigente no seu local.</t>
  </si>
  <si>
    <t xml:space="preserve">2,4 GHz</t>
  </si>
  <si>
    <t xml:space="preserve">Responsável</t>
  </si>
  <si>
    <t xml:space="preserve">Faixa a evitar: até (MHz)</t>
  </si>
  <si>
    <t xml:space="preserve">Deixe as duas células em branco se não quiser esta conferência.</t>
  </si>
  <si>
    <t xml:space="preserve">Outra</t>
  </si>
  <si>
    <t xml:space="preserve">Canais de TV digital ativos na cidade</t>
  </si>
  <si>
    <t xml:space="preserve">Canal físico (de RF), de 14 a 51: não é o número que aparece na TV. Até oito canais.</t>
  </si>
  <si>
    <t xml:space="preserve">#</t>
  </si>
  <si>
    <t xml:space="preserve">Sistema (receptor)</t>
  </si>
  <si>
    <t xml:space="preserve">Usuário ou função</t>
  </si>
  <si>
    <t xml:space="preserve">Transmissor</t>
  </si>
  <si>
    <t xml:space="preserve">Faixa</t>
  </si>
  <si>
    <t xml:space="preserve">Grupo</t>
  </si>
  <si>
    <t xml:space="preserve">Canal</t>
  </si>
  <si>
    <t xml:space="preserve">Frequência</t>
  </si>
  <si>
    <t xml:space="preserve">Menor distância</t>
  </si>
  <si>
    <t xml:space="preserve">Do sistema</t>
  </si>
  <si>
    <t xml:space="preserve">Produtos perto</t>
  </si>
  <si>
    <t xml:space="preserve">Situação</t>
  </si>
  <si>
    <t xml:space="preserve">O que fazer</t>
  </si>
  <si>
    <t xml:space="preserve">Observação</t>
  </si>
  <si>
    <t xml:space="preserve">Cálculo auxiliar (não altere): distância entre os sistemas, em MHz</t>
  </si>
  <si>
    <t xml:space="preserve">Cálculo auxiliar (não altere): produtos 2 × A − B, em kHz (A na linha, B na coluna)</t>
  </si>
  <si>
    <t xml:space="preserve">nº</t>
  </si>
  <si>
    <t xml:space="preserve">modelo ou etiqueta</t>
  </si>
  <si>
    <t xml:space="preserve">quem usa</t>
  </si>
  <si>
    <t xml:space="preserve">tipo</t>
  </si>
  <si>
    <t xml:space="preserve">do visor</t>
  </si>
  <si>
    <t xml:space="preserve">MHz</t>
  </si>
  <si>
    <t xml:space="preserve">6 MHz cada</t>
  </si>
  <si>
    <t xml:space="preserve">intermod.</t>
  </si>
  <si>
    <t xml:space="preserve">Ex.</t>
  </si>
  <si>
    <t xml:space="preserve">Receptor 1 (UHF)</t>
  </si>
  <si>
    <t xml:space="preserve">Pastor</t>
  </si>
  <si>
    <t xml:space="preserve">Headset</t>
  </si>
  <si>
    <t xml:space="preserve">OK</t>
  </si>
  <si>
    <t xml:space="preserve">Manter</t>
  </si>
  <si>
    <t xml:space="preserve">Resumo automático</t>
  </si>
  <si>
    <t xml:space="preserve">Sistemas listados</t>
  </si>
  <si>
    <t xml:space="preserve">Com frequência informada</t>
  </si>
  <si>
    <t xml:space="preserve">Sem alerta (OK)</t>
  </si>
  <si>
    <t xml:space="preserve">Repetidas ou próximas demais</t>
  </si>
  <si>
    <t xml:space="preserve">Em canal de TV ativo ou na faixa a evitar</t>
  </si>
  <si>
    <t xml:space="preserve">Com risco de intermodulação</t>
  </si>
  <si>
    <t xml:space="preserve">Em 2,4 GHz, com frequência automática</t>
  </si>
  <si>
    <t xml:space="preserve">Aviso</t>
  </si>
  <si>
    <t xml:space="preserve">A conferência cobre só os produtos de terceira ordem de dois transmissores (2 × A − B). Ela não substitui os grupos do fabricante, o programa de coordenação nem o teste com todos os transmissores ligados.</t>
  </si>
  <si>
    <t xml:space="preserve">Teste de RF — sistema por sistema</t>
  </si>
  <si>
    <t xml:space="preserve">Os sistemas vêm da aba Plano de frequências. Responda Sim ou Não a cada teste, com o sistema montado no local.</t>
  </si>
  <si>
    <t xml:space="preserve">Teste 1: todos os transmissores desligados, receptores ligados, telão e luz ligados.</t>
  </si>
  <si>
    <t xml:space="preserve">Teste 2: todos os transmissores ligados e afastados uns dos outros; desligue um de cada vez e olhe o receptor dele.</t>
  </si>
  <si>
    <t xml:space="preserve">Quem testou</t>
  </si>
  <si>
    <t xml:space="preserve">Testes 3 a 5: uma pessoa anda por toda a área de uso falando forte; outra olha o receptor e ouve no fone.</t>
  </si>
  <si>
    <t xml:space="preserve">Registro dos testes</t>
  </si>
  <si>
    <t xml:space="preserve">Sistema</t>
  </si>
  <si>
    <t xml:space="preserve">Usuário</t>
  </si>
  <si>
    <t xml:space="preserve">1. Transmissores desligados: mostra RF?</t>
  </si>
  <si>
    <t xml:space="preserve">2. Só este desligado, os outros ligados: mostra RF?</t>
  </si>
  <si>
    <t xml:space="preserve">3. Caminhada: houve falha?</t>
  </si>
  <si>
    <t xml:space="preserve">4. Antenas A e B recebem?</t>
  </si>
  <si>
    <t xml:space="preserve">5. Pico de áudio acende?</t>
  </si>
  <si>
    <t xml:space="preserve">do plano</t>
  </si>
  <si>
    <t xml:space="preserve">esperado: Não</t>
  </si>
  <si>
    <t xml:space="preserve">esperado: Sim</t>
  </si>
  <si>
    <t xml:space="preserve">Sistemas no plano</t>
  </si>
  <si>
    <t xml:space="preserve">Testados e OK</t>
  </si>
  <si>
    <t xml:space="preserve">Com problema</t>
  </si>
  <si>
    <t xml:space="preserve">Com teste incompleto</t>
  </si>
  <si>
    <t xml:space="preserve">Pilhas e baterias — controle por transmissor</t>
  </si>
  <si>
    <t xml:space="preserve">Anote a autonomia e o tempo de uso de cada transmissor. A planilha diz se a carga chega ao fim do evento com margem.</t>
  </si>
  <si>
    <t xml:space="preserve">Horas ligado no evento (passagem + evento)</t>
  </si>
  <si>
    <t xml:space="preserve">Conte desde a hora em que o transmissor é ligado para a passagem de som.</t>
  </si>
  <si>
    <t xml:space="preserve">Fator de margem</t>
  </si>
  <si>
    <t xml:space="preserve">A carga restante deve cobrir as horas do evento vezes este fator. Regra prática deste material.</t>
  </si>
  <si>
    <t xml:space="preserve">Pilha recarregável antiga dura menos que o manual diz: meça a autonomia real em um ensaio e use esse valor.</t>
  </si>
  <si>
    <t xml:space="preserve">Controle de pilhas e baterias</t>
  </si>
  <si>
    <t xml:space="preserve">Transmissor ou usuário</t>
  </si>
  <si>
    <t xml:space="preserve">Tipo de pilha</t>
  </si>
  <si>
    <t xml:space="preserve">Qtde</t>
  </si>
  <si>
    <t xml:space="preserve">Autonomia</t>
  </si>
  <si>
    <t xml:space="preserve">Nova ou carga completa?</t>
  </si>
  <si>
    <t xml:space="preserve">Horas já usadas</t>
  </si>
  <si>
    <t xml:space="preserve">Horas neste evento</t>
  </si>
  <si>
    <t xml:space="preserve">Carga restante</t>
  </si>
  <si>
    <t xml:space="preserve">Folga</t>
  </si>
  <si>
    <t xml:space="preserve">Última troca ou carga</t>
  </si>
  <si>
    <t xml:space="preserve">por aparelho</t>
  </si>
  <si>
    <t xml:space="preserve">horas</t>
  </si>
  <si>
    <t xml:space="preserve">Sim / Não</t>
  </si>
  <si>
    <t xml:space="preserve">desde a troca</t>
  </si>
  <si>
    <t xml:space="preserve">vazio: valor do alto</t>
  </si>
  <si>
    <t xml:space="preserve">data</t>
  </si>
  <si>
    <t xml:space="preserve">Headset do pastor</t>
  </si>
  <si>
    <t xml:space="preserve">Alcalina</t>
  </si>
  <si>
    <t xml:space="preserve">Não</t>
  </si>
  <si>
    <t xml:space="preserve">Atenção</t>
  </si>
  <si>
    <t xml:space="preserve">Chega ao fim, mas sem a margem: troque ou deixe a reserva ao lado</t>
  </si>
  <si>
    <t xml:space="preserve">Transmissores listados</t>
  </si>
  <si>
    <t xml:space="preserve">Com carga e margem (OK)</t>
  </si>
  <si>
    <t xml:space="preserve">Sem a margem (Atenção)</t>
  </si>
  <si>
    <t xml:space="preserve">A trocar ou recarregar</t>
  </si>
  <si>
    <t xml:space="preserve">Pilhas a separar para troca e reserva</t>
  </si>
  <si>
    <t xml:space="preserve">Referência — valores típicos</t>
  </si>
  <si>
    <t xml:space="preserve">Valores de referência, para servir de ponto de partida. Confira o manual do seu equipamento.</t>
  </si>
  <si>
    <t xml:space="preserve">Faixas de operação</t>
  </si>
  <si>
    <t xml:space="preserve">Frequências típicas</t>
  </si>
  <si>
    <t xml:space="preserve">Ponto forte</t>
  </si>
  <si>
    <t xml:space="preserve">Cuidado</t>
  </si>
  <si>
    <t xml:space="preserve">174 a 216 MHz</t>
  </si>
  <si>
    <t xml:space="preserve">Custo baixo; a onda longa contorna melhor os obstáculos</t>
  </si>
  <si>
    <t xml:space="preserve">Poucas frequências, muitas vezes fixas. Mais sujeita a ruído elétrico. Poucos sistemas juntos.</t>
  </si>
  <si>
    <t xml:space="preserve">470 a 698 MHz</t>
  </si>
  <si>
    <t xml:space="preserve">Muitas frequências; é a faixa dos sistemas profissionais</t>
  </si>
  <si>
    <t xml:space="preserve">Divide o espaço com a TV digital: os canais livres mudam de cidade para cidade.</t>
  </si>
  <si>
    <t xml:space="preserve">Faixa de 700 MHz</t>
  </si>
  <si>
    <t xml:space="preserve">698 a 806 MHz</t>
  </si>
  <si>
    <t xml:space="preserve">–</t>
  </si>
  <si>
    <t xml:space="preserve">Usada pela telefonia móvel no Brasil. Não use equipamento antigo dessa faixa.</t>
  </si>
  <si>
    <t xml:space="preserve">2.400 a 2.483,5 MHz</t>
  </si>
  <si>
    <t xml:space="preserve">Escolhe o canal sozinho; uso liberado em quase todo o mundo</t>
  </si>
  <si>
    <t xml:space="preserve">Divide o espaço com Wi-Fi e Bluetooth. Alcance menor. Em geral, de 4 a 8 sistemas juntos.</t>
  </si>
  <si>
    <t xml:space="preserve">Coordenação: valores de partida</t>
  </si>
  <si>
    <t xml:space="preserve">Regra</t>
  </si>
  <si>
    <t xml:space="preserve">Valor de partida</t>
  </si>
  <si>
    <t xml:space="preserve">Depende de</t>
  </si>
  <si>
    <t xml:space="preserve">Distância entre duas frequências</t>
  </si>
  <si>
    <t xml:space="preserve">0,3 a 0,4 MHz ou mais</t>
  </si>
  <si>
    <t xml:space="preserve">modelo; digitais aceitam menos</t>
  </si>
  <si>
    <t xml:space="preserve">Nunca duas frequências iguais. O manual do sistema dá o valor mínimo.</t>
  </si>
  <si>
    <t xml:space="preserve">Distância de um produto 2 × A − B</t>
  </si>
  <si>
    <t xml:space="preserve">0,1 MHz ou mais</t>
  </si>
  <si>
    <t xml:space="preserve">qualidade do receptor</t>
  </si>
  <si>
    <t xml:space="preserve">Espaçamento igual entre três frequências coloca o produto em cima da terceira.</t>
  </si>
  <si>
    <t xml:space="preserve">Canal de TV digital ativo</t>
  </si>
  <si>
    <t xml:space="preserve">fora dos 6 MHz inteiros</t>
  </si>
  <si>
    <t xml:space="preserve">cidade</t>
  </si>
  <si>
    <t xml:space="preserve">O canal 14 vai de 470 a 476 MHz; cada canal seguinte fica 6 MHz acima.</t>
  </si>
  <si>
    <t xml:space="preserve">Sistemas da mesma linha</t>
  </si>
  <si>
    <t xml:space="preserve">mesmo grupo, canais diferentes</t>
  </si>
  <si>
    <t xml:space="preserve">fabricante</t>
  </si>
  <si>
    <t xml:space="preserve">Grupos de linhas ou de marcas diferentes não combinam entre si.</t>
  </si>
  <si>
    <t xml:space="preserve">Transmissores de in-ear</t>
  </si>
  <si>
    <t xml:space="preserve">bloco próprio, a alguns MHz</t>
  </si>
  <si>
    <t xml:space="preserve">Entram no mesmo plano. As antenas deles ficam longe das antenas dos receptores.</t>
  </si>
  <si>
    <t xml:space="preserve">Antenas e posição</t>
  </si>
  <si>
    <t xml:space="preserve">Item</t>
  </si>
  <si>
    <t xml:space="preserve">Por quê</t>
  </si>
  <si>
    <t xml:space="preserve">Visada</t>
  </si>
  <si>
    <t xml:space="preserve">antena à vista do transmissor</t>
  </si>
  <si>
    <t xml:space="preserve">o corpo e o metal barram o rádio</t>
  </si>
  <si>
    <t xml:space="preserve">Antenas acima da cabeça do público: 2 m de altura ou mais.</t>
  </si>
  <si>
    <t xml:space="preserve">Transmissor até a antena</t>
  </si>
  <si>
    <t xml:space="preserve">de 3 m a cerca de 30 m</t>
  </si>
  <si>
    <t xml:space="preserve">perto demais satura; longe demais falha</t>
  </si>
  <si>
    <t xml:space="preserve">O alcance do manual vale em campo aberto. Em sala cheia, conte com bem menos.</t>
  </si>
  <si>
    <t xml:space="preserve">Antenas do receptor</t>
  </si>
  <si>
    <t xml:space="preserve">em V, abertas a 45° cada</t>
  </si>
  <si>
    <t xml:space="preserve">diversidade</t>
  </si>
  <si>
    <t xml:space="preserve">Sem encostar uma na outra nem em metal. Nunca dentro de rack fechado.</t>
  </si>
  <si>
    <t xml:space="preserve">Antenas remotas</t>
  </si>
  <si>
    <t xml:space="preserve">afastadas pelo menos 30 a 50 cm</t>
  </si>
  <si>
    <t xml:space="preserve">Cabo coaxial de 50 ohms, o mais curto possível.</t>
  </si>
  <si>
    <t xml:space="preserve">Cabo de antena fino (tipo RG-58)</t>
  </si>
  <si>
    <t xml:space="preserve">perde de 0,3 a 0,5 dB por metro</t>
  </si>
  <si>
    <t xml:space="preserve">frequência e cabo</t>
  </si>
  <si>
    <t xml:space="preserve">Em UHF. Dez metros perdem de 3 a 5 dB. Cabo de baixa perda: 0,1 a 0,2 dB por metro. Prefira esticar o cabo de áudio.</t>
  </si>
  <si>
    <t xml:space="preserve">Fontes de ruído</t>
  </si>
  <si>
    <t xml:space="preserve">a 1 ou 2 m, no mínimo</t>
  </si>
  <si>
    <t xml:space="preserve">ruído de rádio em banda larga</t>
  </si>
  <si>
    <t xml:space="preserve">Telão de LED, processador de vídeo, computador, roteador, mesa digital, fontes chaveadas.</t>
  </si>
  <si>
    <t xml:space="preserve">Tipo</t>
  </si>
  <si>
    <t xml:space="preserve">Autonomia típica</t>
  </si>
  <si>
    <t xml:space="preserve">Medidor do transmissor</t>
  </si>
  <si>
    <t xml:space="preserve">Alcalina AA</t>
  </si>
  <si>
    <t xml:space="preserve">6 a 14 h, conforme o transmissor</t>
  </si>
  <si>
    <t xml:space="preserve">confiável</t>
  </si>
  <si>
    <t xml:space="preserve">Nova a cada evento importante. As usadas ficam para os ensaios.</t>
  </si>
  <si>
    <t xml:space="preserve">NiMH recarregável AA</t>
  </si>
  <si>
    <t xml:space="preserve">parecida quando nova; cai com a idade</t>
  </si>
  <si>
    <t xml:space="preserve">marca menos e cai de repente</t>
  </si>
  <si>
    <t xml:space="preserve">Escolha o tipo de pilha no menu do transmissor, se houver. Par da mesma idade.</t>
  </si>
  <si>
    <t xml:space="preserve">Bateria de lítio do fabricante</t>
  </si>
  <si>
    <t xml:space="preserve">8 h ou mais</t>
  </si>
  <si>
    <t xml:space="preserve">preciso, muitas vezes em horas</t>
  </si>
  <si>
    <t xml:space="preserve">Use só o carregador do sistema.</t>
  </si>
  <si>
    <t xml:space="preserve">9 V (transmissores antigos)</t>
  </si>
  <si>
    <t xml:space="preserve">4 a 8 h com alcalina</t>
  </si>
  <si>
    <t xml:space="preserve">confiável com alcalina</t>
  </si>
  <si>
    <t xml:space="preserve">A recarregável de 9 V dura bem menos.</t>
  </si>
  <si>
    <t xml:space="preserve">Sintoma e causa provável</t>
  </si>
  <si>
    <t xml:space="preserve">Sintoma</t>
  </si>
  <si>
    <t xml:space="preserve">Causa provável</t>
  </si>
  <si>
    <t xml:space="preserve">Primeiro teste</t>
  </si>
  <si>
    <t xml:space="preserve">Queda rápida quando a pessoa anda</t>
  </si>
  <si>
    <t xml:space="preserve">ponto surdo ou corpo na frente</t>
  </si>
  <si>
    <t xml:space="preserve">olhar o RF durante a caminhada</t>
  </si>
  <si>
    <t xml:space="preserve">Dar visada às antenas e aproximar o receptor do palco.</t>
  </si>
  <si>
    <t xml:space="preserve">Ruído com o transmissor desligado</t>
  </si>
  <si>
    <t xml:space="preserve">outra emissão na frequência</t>
  </si>
  <si>
    <t xml:space="preserve">desligar o transmissor e olhar o RF</t>
  </si>
  <si>
    <t xml:space="preserve">Nova varredura e troca de canal. Conferir squelch e tom piloto.</t>
  </si>
  <si>
    <t xml:space="preserve">Falha quando outro microfone liga</t>
  </si>
  <si>
    <t xml:space="preserve">frequências próximas ou intermodulação</t>
  </si>
  <si>
    <t xml:space="preserve">desligar os transmissores um a um</t>
  </si>
  <si>
    <t xml:space="preserve">Refazer o plano com o grupo do fabricante.</t>
  </si>
  <si>
    <t xml:space="preserve">Alcance curto em todo lugar</t>
  </si>
  <si>
    <t xml:space="preserve">canal de TV, antena ou cabo</t>
  </si>
  <si>
    <t xml:space="preserve">trocar de frequência e conferir as antenas</t>
  </si>
  <si>
    <t xml:space="preserve">Sair do canal de TV; tirar as antenas do rack.</t>
  </si>
  <si>
    <t xml:space="preserve">Distorção nas partes fortes</t>
  </si>
  <si>
    <t xml:space="preserve">ganho do transmissor alto</t>
  </si>
  <si>
    <t xml:space="preserve">olhar o pico de áudio do receptor</t>
  </si>
  <si>
    <t xml:space="preserve">Baixar o ganho do transmissor. Depois, refazer o ganho da mesa.</t>
  </si>
  <si>
    <t xml:space="preserve">Chiado de fundo constante</t>
  </si>
  <si>
    <t xml:space="preserve">ganho do transmissor baixo ou RF fraco</t>
  </si>
  <si>
    <t xml:space="preserve">olhar os medidores de AF e de RF</t>
  </si>
  <si>
    <t xml:space="preserve">Subir o ganho do transmissor; conferir a saída mic ou linha.</t>
  </si>
  <si>
    <t xml:space="preserve">Some depois de uma ou duas horas</t>
  </si>
  <si>
    <t xml:space="preserve">pilha</t>
  </si>
  <si>
    <t xml:space="preserve">olhar o indicador e as horas de uso</t>
  </si>
  <si>
    <t xml:space="preserve">Trocar a pilha. Controlar as horas na planilha.</t>
  </si>
  <si>
    <t xml:space="preserve">Faixas e valores típicos, que variam com o fabricante, o modelo e o local. As regras de uso do espectro mudam: confira a regulamentação vigente e o manual do seu equipamento.</t>
  </si>
  <si>
    <t xml:space="preserve">Checklist de RF</t>
  </si>
  <si>
    <t xml:space="preserve">Confira na montagem, antes de abrir as portas. Escolha a situação de cada item na lista suspensa.</t>
  </si>
  <si>
    <t xml:space="preserve">Todos os transmissores têm pilhas novas ou baterias com carga completa, e há reservas ao lado da mesa.</t>
  </si>
  <si>
    <t xml:space="preserve">Antenas</t>
  </si>
  <si>
    <t xml:space="preserve">Os receptores estão perto do palco, com as antenas à vista da área de uso e fora de rack fechado.</t>
  </si>
  <si>
    <t xml:space="preserve">As antenas estão em V, sem encostar em metal nem uma na outra, longe de telão de LED, computador e roteador.</t>
  </si>
  <si>
    <t xml:space="preserve">A varredura foi feita com os transmissores desligados e com telão, luz e demais equipamentos ligados.</t>
  </si>
  <si>
    <t xml:space="preserve">Os sistemas da mesma linha usam o mesmo grupo, cada um em um canal diferente.</t>
  </si>
  <si>
    <t xml:space="preserve">Nenhuma frequência se repete, fica perto demais de outra ou cai em canal de TV ativo: a planilha não mostra alerta.</t>
  </si>
  <si>
    <t xml:space="preserve">Cada transmissor foi sincronizado com o seu receptor e identificado com o nome de quem usa.</t>
  </si>
  <si>
    <t xml:space="preserve">Com todos ligados, desligar um transmissor de cada vez deixa o receptor dele sem RF.</t>
  </si>
  <si>
    <t xml:space="preserve">Áudio</t>
  </si>
  <si>
    <t xml:space="preserve">O ganho de cada transmissor foi ajustado com a voz mais forte do evento, sem acender o pico.</t>
  </si>
  <si>
    <t xml:space="preserve">A saída do receptor (mic ou linha) combina com a entrada da mesa, e o ganho do canal foi ajustado.</t>
  </si>
  <si>
    <t xml:space="preserve">Teste</t>
  </si>
  <si>
    <t xml:space="preserve">O teste de caminhada cobriu toda a área de uso, sem falhas.</t>
  </si>
  <si>
    <t xml:space="preserve">Plano B</t>
  </si>
  <si>
    <t xml:space="preserve">Há um microfone com fio ligado, testado e fechado na mesa, e a equipe sabe quem o leva ao palco.</t>
  </si>
  <si>
    <t xml:space="preserve">Itens respondidos</t>
  </si>
  <si>
    <t xml:space="preserve">Percentual atendido (Parcial vale metade)</t>
  </si>
  <si>
    <t xml:space="preserve">Exemplo preenchido, para consulta. Use a aba Plano de frequências para o seu evento.</t>
  </si>
  <si>
    <t xml:space="preserve">Culto de domingo, 19 h</t>
  </si>
  <si>
    <t xml:space="preserve">Igreja de 200 lugares</t>
  </si>
  <si>
    <t xml:space="preserve">Operador de som da escala</t>
  </si>
  <si>
    <t xml:space="preserve">Frequências escolhidas à mão, de 0,5 em 0,5 MHz, antes da correção. As colunas de J a O são calculadas.</t>
  </si>
  <si>
    <t xml:space="preserve">Receptor 1 (linha A)</t>
  </si>
  <si>
    <t xml:space="preserve">Receptor 2 (linha A)</t>
  </si>
  <si>
    <t xml:space="preserve">Cantora</t>
  </si>
  <si>
    <t xml:space="preserve">De mão</t>
  </si>
  <si>
    <t xml:space="preserve">Receptor 3 (linha A)</t>
  </si>
  <si>
    <t xml:space="preserve">Voz de apoio 1</t>
  </si>
  <si>
    <t xml:space="preserve">Receptor 4 (linha A)</t>
  </si>
  <si>
    <t xml:space="preserve">Voz de apoio 2</t>
  </si>
  <si>
    <t xml:space="preserve">Receptor 5 (linha B)</t>
  </si>
  <si>
    <t xml:space="preserve">Dirigente do louvor</t>
  </si>
  <si>
    <t xml:space="preserve">Receptor 6 (linha B)</t>
  </si>
  <si>
    <t xml:space="preserve">Reserva e avisos</t>
  </si>
  <si>
    <t xml:space="preserve">O que foi ajustado</t>
  </si>
  <si>
    <t xml:space="preserve">Antes (MHz)</t>
  </si>
  <si>
    <t xml:space="preserve">Depois (MHz)</t>
  </si>
  <si>
    <t xml:space="preserve">Motivo</t>
  </si>
  <si>
    <t xml:space="preserve">1. Pastor</t>
  </si>
  <si>
    <t xml:space="preserve">530,000</t>
  </si>
  <si>
    <t xml:space="preserve">534,850</t>
  </si>
  <si>
    <t xml:space="preserve">Era atingido pelo produto dos sistemas 2 e 3 (2 × 530,500 − 531,000 = 530,000).</t>
  </si>
  <si>
    <t xml:space="preserve">2. Cantora</t>
  </si>
  <si>
    <t xml:space="preserve">530,500</t>
  </si>
  <si>
    <t xml:space="preserve">535,575</t>
  </si>
  <si>
    <t xml:space="preserve">Era atingido pelo produto dos sistemas 3 e 4.</t>
  </si>
  <si>
    <t xml:space="preserve">3. Voz de apoio 1</t>
  </si>
  <si>
    <t xml:space="preserve">531,000</t>
  </si>
  <si>
    <t xml:space="preserve">536,000</t>
  </si>
  <si>
    <t xml:space="preserve">Era atingido pelo produto dos sistemas 2 e 1.</t>
  </si>
  <si>
    <t xml:space="preserve">4. Voz de apoio 2</t>
  </si>
  <si>
    <t xml:space="preserve">531,500</t>
  </si>
  <si>
    <t xml:space="preserve">536,575</t>
  </si>
  <si>
    <t xml:space="preserve">Estava a 0,150 MHz do sistema 6.</t>
  </si>
  <si>
    <t xml:space="preserve">5. Dirigente do louvor</t>
  </si>
  <si>
    <t xml:space="preserve">520,300</t>
  </si>
  <si>
    <t xml:space="preserve">537,475</t>
  </si>
  <si>
    <t xml:space="preserve">Estava dentro do canal de TV 22, ativo na cidade.</t>
  </si>
  <si>
    <t xml:space="preserve">6. Reserva e avisos</t>
  </si>
  <si>
    <t xml:space="preserve">531,650</t>
  </si>
  <si>
    <t xml:space="preserve">537,950</t>
  </si>
  <si>
    <t xml:space="preserve">Estava a 0,150 MHz do sistema 4.</t>
  </si>
  <si>
    <t xml:space="preserve">Resultado</t>
  </si>
  <si>
    <t xml:space="preserve">3 com intermodulação, 2 próximas, 1 em TV</t>
  </si>
  <si>
    <t xml:space="preserve">6 sistemas OK</t>
  </si>
  <si>
    <t xml:space="preserve">Novo plano nos canais de TV 24 e 25, livres, com espaçamento desigual. Conferido com todos ligados.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</si>
</sst>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dd/mm/yyyy"/>
    <numFmt numFmtId="167" formatCode="0"/>
    <numFmt numFmtId="168" formatCode="General"/>
    <numFmt numFmtId="169" formatCode="0.0"/>
    <numFmt numFmtId="170" formatCode="\+0.0;\-0.0;0.0"/>
    <numFmt numFmtId="171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7A4A9A"/>
        <bgColor rgb="FF993366"/>
      </patternFill>
    </fill>
    <fill>
      <patternFill patternType="solid">
        <fgColor rgb="FF1E7B73"/>
        <bgColor rgb="FF008080"/>
      </patternFill>
    </fill>
    <fill>
      <patternFill patternType="solid">
        <fgColor rgb="FFA96A12"/>
        <bgColor rgb="FF993300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8EFDD"/>
        </patternFill>
      </fill>
    </dxf>
    <dxf>
      <fill>
        <patternFill>
          <bgColor rgb="FFEEF1F3"/>
        </patternFill>
      </fill>
    </dxf>
    <dxf>
      <fill>
        <patternFill>
          <bgColor rgb="FFF6D9D7"/>
        </patternFill>
      </fill>
    </dxf>
    <dxf>
      <fill>
        <patternFill>
          <bgColor rgb="FFFBEB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C0C0C0"/>
      <rgbColor rgb="FF808080"/>
      <rgbColor rgb="FF9999FF"/>
      <rgbColor rgb="FF7A4A9A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19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31.5" hidden="false" customHeight="true" outlineLevel="0" collapsed="false">
      <c r="B13" s="8" t="s">
        <v>16</v>
      </c>
      <c r="C13" s="7" t="s">
        <v>17</v>
      </c>
    </row>
    <row r="14" customFormat="false" ht="31.5" hidden="false" customHeight="true" outlineLevel="0" collapsed="false">
      <c r="B14" s="8" t="s">
        <v>18</v>
      </c>
      <c r="C14" s="7" t="s">
        <v>19</v>
      </c>
    </row>
    <row r="15" customFormat="false" ht="19.5" hidden="false" customHeight="true" outlineLevel="0" collapsed="false">
      <c r="B15" s="8" t="s">
        <v>20</v>
      </c>
      <c r="C15" s="7" t="s">
        <v>21</v>
      </c>
    </row>
    <row r="16" customFormat="false" ht="31.5" hidden="false" customHeight="true" outlineLevel="0" collapsed="false">
      <c r="B16" s="8" t="s">
        <v>22</v>
      </c>
      <c r="C16" s="7" t="s">
        <v>23</v>
      </c>
    </row>
    <row r="17" customFormat="false" ht="31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19" customFormat="false" ht="19.5" hidden="false" customHeight="true" outlineLevel="0" collapsed="false">
      <c r="B19" s="8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31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31.5" hidden="false" customHeight="true" outlineLevel="0" collapsed="false">
      <c r="B30" s="4" t="s">
        <v>44</v>
      </c>
      <c r="C30" s="7" t="s">
        <v>45</v>
      </c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31.5" hidden="false" customHeight="true" outlineLevel="0" collapsed="false">
      <c r="B34" s="4" t="s">
        <v>52</v>
      </c>
      <c r="C34" s="7" t="s">
        <v>53</v>
      </c>
    </row>
    <row r="35" customFormat="false" ht="31.5" hidden="false" customHeight="true" outlineLevel="0" collapsed="false">
      <c r="B35" s="4" t="s">
        <v>54</v>
      </c>
      <c r="C35" s="7" t="s">
        <v>55</v>
      </c>
    </row>
    <row r="36" customFormat="false" ht="31.5" hidden="false" customHeight="true" outlineLevel="0" collapsed="false">
      <c r="B36" s="4" t="s">
        <v>56</v>
      </c>
      <c r="C36" s="7" t="s">
        <v>57</v>
      </c>
    </row>
    <row r="37" customFormat="false" ht="19.5" hidden="false" customHeight="true" outlineLevel="0" collapsed="false">
      <c r="B37" s="4" t="s">
        <v>58</v>
      </c>
      <c r="C37" s="7" t="s">
        <v>59</v>
      </c>
    </row>
  </sheetData>
  <mergeCells count="6">
    <mergeCell ref="B1:C1"/>
    <mergeCell ref="B2:C2"/>
    <mergeCell ref="B4:C4"/>
    <mergeCell ref="B12:C12"/>
    <mergeCell ref="B21:C21"/>
    <mergeCell ref="B29:C2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AX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4" topLeftCell="E15" activePane="bottomRight" state="frozen"/>
      <selection pane="topLeft" activeCell="A1" activeCellId="0" sqref="A1"/>
      <selection pane="topRight" activeCell="E1" activeCellId="0" sqref="E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24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52"/>
    <col collapsed="false" customWidth="true" hidden="false" outlineLevel="0" max="16" min="16" style="0" width="26"/>
    <col collapsed="false" customWidth="true" hidden="false" outlineLevel="0" max="17" min="17" style="0" width="2"/>
    <col collapsed="false" customWidth="true" hidden="false" outlineLevel="0" max="33" min="18" style="0" width="9"/>
    <col collapsed="false" customWidth="true" hidden="false" outlineLevel="0" max="34" min="34" style="0" width="2"/>
    <col collapsed="false" customWidth="true" hidden="false" outlineLevel="0" max="50" min="35" style="0" width="9"/>
  </cols>
  <sheetData>
    <row r="1" customFormat="false" ht="31.5" hidden="false" customHeight="true" outlineLevel="0" collapsed="false">
      <c r="B1" s="1" t="s">
        <v>60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B2" s="2" t="s">
        <v>61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2.35" hidden="false" customHeight="false" outlineLevel="0" collapsed="false">
      <c r="R3" s="9" t="s">
        <v>62</v>
      </c>
    </row>
    <row r="4" customFormat="false" ht="21.75" hidden="false" customHeight="true" outlineLevel="0" collapsed="false">
      <c r="B4" s="4" t="s">
        <v>63</v>
      </c>
      <c r="C4" s="4"/>
      <c r="D4" s="5"/>
      <c r="E4" s="5"/>
      <c r="F4" s="5"/>
      <c r="G4" s="4" t="s">
        <v>64</v>
      </c>
      <c r="H4" s="4"/>
      <c r="I4" s="4"/>
      <c r="J4" s="4"/>
      <c r="K4" s="4"/>
      <c r="L4" s="10" t="n">
        <v>0.35</v>
      </c>
      <c r="M4" s="11" t="s">
        <v>65</v>
      </c>
      <c r="N4" s="11"/>
      <c r="O4" s="11"/>
      <c r="P4" s="11"/>
      <c r="R4" s="12" t="s">
        <v>66</v>
      </c>
    </row>
    <row r="5" customFormat="false" ht="21.75" hidden="false" customHeight="true" outlineLevel="0" collapsed="false">
      <c r="B5" s="4" t="s">
        <v>67</v>
      </c>
      <c r="C5" s="4"/>
      <c r="D5" s="5"/>
      <c r="E5" s="5"/>
      <c r="F5" s="5"/>
      <c r="G5" s="4" t="s">
        <v>68</v>
      </c>
      <c r="H5" s="4"/>
      <c r="I5" s="4"/>
      <c r="J5" s="4"/>
      <c r="K5" s="4"/>
      <c r="L5" s="10" t="n">
        <v>0.1</v>
      </c>
      <c r="M5" s="11" t="s">
        <v>69</v>
      </c>
      <c r="N5" s="11"/>
      <c r="O5" s="11"/>
      <c r="P5" s="11"/>
      <c r="R5" s="12" t="s">
        <v>70</v>
      </c>
    </row>
    <row r="6" customFormat="false" ht="21.75" hidden="false" customHeight="true" outlineLevel="0" collapsed="false">
      <c r="B6" s="4" t="s">
        <v>71</v>
      </c>
      <c r="C6" s="4"/>
      <c r="D6" s="13"/>
      <c r="E6" s="13"/>
      <c r="F6" s="13"/>
      <c r="G6" s="4" t="s">
        <v>72</v>
      </c>
      <c r="H6" s="4"/>
      <c r="I6" s="4"/>
      <c r="J6" s="4"/>
      <c r="K6" s="4"/>
      <c r="L6" s="14" t="n">
        <v>698</v>
      </c>
      <c r="M6" s="11" t="s">
        <v>73</v>
      </c>
      <c r="N6" s="11"/>
      <c r="O6" s="11"/>
      <c r="P6" s="11"/>
      <c r="R6" s="12" t="s">
        <v>74</v>
      </c>
    </row>
    <row r="7" customFormat="false" ht="21.75" hidden="false" customHeight="true" outlineLevel="0" collapsed="false">
      <c r="B7" s="4" t="s">
        <v>75</v>
      </c>
      <c r="C7" s="4"/>
      <c r="D7" s="5"/>
      <c r="E7" s="5"/>
      <c r="F7" s="5"/>
      <c r="G7" s="4" t="s">
        <v>76</v>
      </c>
      <c r="H7" s="4"/>
      <c r="I7" s="4"/>
      <c r="J7" s="4"/>
      <c r="K7" s="4"/>
      <c r="L7" s="14" t="n">
        <v>806</v>
      </c>
      <c r="M7" s="11" t="s">
        <v>77</v>
      </c>
      <c r="N7" s="11"/>
      <c r="O7" s="11"/>
      <c r="P7" s="11"/>
      <c r="R7" s="12" t="s">
        <v>78</v>
      </c>
    </row>
    <row r="9" customFormat="false" ht="21.75" hidden="false" customHeight="true" outlineLevel="0" collapsed="false">
      <c r="B9" s="4" t="s">
        <v>79</v>
      </c>
      <c r="C9" s="4"/>
      <c r="D9" s="4"/>
      <c r="E9" s="15"/>
      <c r="F9" s="15"/>
      <c r="G9" s="15"/>
      <c r="H9" s="15"/>
      <c r="I9" s="15"/>
      <c r="J9" s="15"/>
      <c r="K9" s="15"/>
      <c r="L9" s="15"/>
      <c r="M9" s="11" t="s">
        <v>80</v>
      </c>
      <c r="N9" s="11"/>
      <c r="O9" s="11"/>
      <c r="P9" s="11"/>
    </row>
    <row r="11" customFormat="false" ht="21.75" hidden="false" customHeight="true" outlineLevel="0" collapsed="false">
      <c r="B11" s="16" t="s">
        <v>31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customFormat="false" ht="30" hidden="false" customHeight="true" outlineLevel="0" collapsed="false">
      <c r="B12" s="17" t="s">
        <v>81</v>
      </c>
      <c r="C12" s="17" t="s">
        <v>82</v>
      </c>
      <c r="D12" s="17" t="s">
        <v>83</v>
      </c>
      <c r="E12" s="17" t="s">
        <v>84</v>
      </c>
      <c r="F12" s="17" t="s">
        <v>85</v>
      </c>
      <c r="G12" s="18" t="s">
        <v>86</v>
      </c>
      <c r="H12" s="18" t="s">
        <v>87</v>
      </c>
      <c r="I12" s="18" t="s">
        <v>88</v>
      </c>
      <c r="J12" s="19" t="s">
        <v>46</v>
      </c>
      <c r="K12" s="19" t="s">
        <v>89</v>
      </c>
      <c r="L12" s="19" t="s">
        <v>90</v>
      </c>
      <c r="M12" s="19" t="s">
        <v>91</v>
      </c>
      <c r="N12" s="19" t="s">
        <v>92</v>
      </c>
      <c r="O12" s="19" t="s">
        <v>93</v>
      </c>
      <c r="P12" s="17" t="s">
        <v>94</v>
      </c>
      <c r="R12" s="9" t="s">
        <v>95</v>
      </c>
      <c r="AI12" s="9" t="s">
        <v>96</v>
      </c>
    </row>
    <row r="13" customFormat="false" ht="21.75" hidden="false" customHeight="true" outlineLevel="0" collapsed="false">
      <c r="B13" s="20" t="s">
        <v>97</v>
      </c>
      <c r="C13" s="20" t="s">
        <v>98</v>
      </c>
      <c r="D13" s="20" t="s">
        <v>99</v>
      </c>
      <c r="E13" s="20" t="s">
        <v>100</v>
      </c>
      <c r="F13" s="20"/>
      <c r="G13" s="20" t="s">
        <v>101</v>
      </c>
      <c r="H13" s="20" t="s">
        <v>101</v>
      </c>
      <c r="I13" s="20" t="s">
        <v>102</v>
      </c>
      <c r="J13" s="20" t="s">
        <v>103</v>
      </c>
      <c r="K13" s="20" t="s">
        <v>102</v>
      </c>
      <c r="L13" s="20" t="s">
        <v>97</v>
      </c>
      <c r="M13" s="20" t="s">
        <v>104</v>
      </c>
      <c r="N13" s="20"/>
      <c r="O13" s="20"/>
      <c r="P13" s="20"/>
      <c r="R13" s="21" t="n">
        <v>1</v>
      </c>
      <c r="S13" s="21" t="n">
        <v>2</v>
      </c>
      <c r="T13" s="21" t="n">
        <v>3</v>
      </c>
      <c r="U13" s="21" t="n">
        <v>4</v>
      </c>
      <c r="V13" s="21" t="n">
        <v>5</v>
      </c>
      <c r="W13" s="21" t="n">
        <v>6</v>
      </c>
      <c r="X13" s="21" t="n">
        <v>7</v>
      </c>
      <c r="Y13" s="21" t="n">
        <v>8</v>
      </c>
      <c r="Z13" s="21" t="n">
        <v>9</v>
      </c>
      <c r="AA13" s="21" t="n">
        <v>10</v>
      </c>
      <c r="AB13" s="21" t="n">
        <v>11</v>
      </c>
      <c r="AC13" s="21" t="n">
        <v>12</v>
      </c>
      <c r="AD13" s="21" t="n">
        <v>13</v>
      </c>
      <c r="AE13" s="21" t="n">
        <v>14</v>
      </c>
      <c r="AF13" s="21" t="n">
        <v>15</v>
      </c>
      <c r="AG13" s="21" t="n">
        <v>16</v>
      </c>
      <c r="AI13" s="21" t="n">
        <v>1</v>
      </c>
      <c r="AJ13" s="21" t="n">
        <v>2</v>
      </c>
      <c r="AK13" s="21" t="n">
        <v>3</v>
      </c>
      <c r="AL13" s="21" t="n">
        <v>4</v>
      </c>
      <c r="AM13" s="21" t="n">
        <v>5</v>
      </c>
      <c r="AN13" s="21" t="n">
        <v>6</v>
      </c>
      <c r="AO13" s="21" t="n">
        <v>7</v>
      </c>
      <c r="AP13" s="21" t="n">
        <v>8</v>
      </c>
      <c r="AQ13" s="21" t="n">
        <v>9</v>
      </c>
      <c r="AR13" s="21" t="n">
        <v>10</v>
      </c>
      <c r="AS13" s="21" t="n">
        <v>11</v>
      </c>
      <c r="AT13" s="21" t="n">
        <v>12</v>
      </c>
      <c r="AU13" s="21" t="n">
        <v>13</v>
      </c>
      <c r="AV13" s="21" t="n">
        <v>14</v>
      </c>
      <c r="AW13" s="21" t="n">
        <v>15</v>
      </c>
      <c r="AX13" s="21" t="n">
        <v>16</v>
      </c>
    </row>
    <row r="14" customFormat="false" ht="24" hidden="false" customHeight="true" outlineLevel="0" collapsed="false">
      <c r="B14" s="20" t="s">
        <v>105</v>
      </c>
      <c r="C14" s="11" t="s">
        <v>106</v>
      </c>
      <c r="D14" s="11" t="s">
        <v>107</v>
      </c>
      <c r="E14" s="20" t="s">
        <v>108</v>
      </c>
      <c r="F14" s="20" t="s">
        <v>70</v>
      </c>
      <c r="G14" s="20" t="n">
        <v>3</v>
      </c>
      <c r="H14" s="20" t="n">
        <v>7</v>
      </c>
      <c r="I14" s="22" t="n">
        <v>538.425</v>
      </c>
      <c r="J14" s="20" t="n">
        <v>25</v>
      </c>
      <c r="K14" s="22" t="n">
        <v>0.75</v>
      </c>
      <c r="L14" s="20" t="n">
        <v>2</v>
      </c>
      <c r="M14" s="20" t="n">
        <v>0</v>
      </c>
      <c r="N14" s="20" t="s">
        <v>109</v>
      </c>
      <c r="O14" s="11" t="s">
        <v>110</v>
      </c>
      <c r="P14" s="11"/>
    </row>
    <row r="15" customFormat="false" ht="21.75" hidden="false" customHeight="true" outlineLevel="0" collapsed="false">
      <c r="B15" s="23" t="n">
        <v>1</v>
      </c>
      <c r="C15" s="5"/>
      <c r="D15" s="5"/>
      <c r="E15" s="15"/>
      <c r="F15" s="15"/>
      <c r="G15" s="15"/>
      <c r="H15" s="15"/>
      <c r="I15" s="10"/>
      <c r="J15" s="24" t="str">
        <f aca="false">IF(I15="","",IF(AND(I15&gt;=470,I15&lt;698),INT((I15-470)/6)+14,"–"))</f>
        <v/>
      </c>
      <c r="K15" s="25" t="str">
        <f aca="false">IF(OR(I15="",COUNT($R15:$AG15)=0),"",MIN($R15:$AG15))</f>
        <v/>
      </c>
      <c r="L15" s="24" t="str">
        <f aca="false">IF(K15="","",MATCH(K15,$R15:$AG15,0))</f>
        <v/>
      </c>
      <c r="M15" s="24" t="str">
        <f aca="false">IF(I15="","",COUNTIFS($AI$15:$AX$30,"&gt;"&amp;ROUND((I15-$L$5)*1000,0),$AI$15:$AX$30,"&lt;"&amp;ROUND((I15+$L$5)*1000,0))-COUNTIFS($AI15:$AX15,"&gt;"&amp;ROUND((I15-$L$5)*1000,0),$AI15:$AX15,"&lt;"&amp;ROUND((I15+$L$5)*1000,0))-COUNTIFS(AI$15:AI$30,"&gt;"&amp;ROUND((I15-$L$5)*1000,0),AI$15:AI$30,"&lt;"&amp;ROUND((I15+$L$5)*1000,0)))</f>
        <v/>
      </c>
      <c r="N15" s="26" t="str">
        <f aca="false">IF(I15="",IF(AND(C15&lt;&gt;"",F15="2,4 GHz"),"Automática",""),IF(AND(K15&lt;&gt;"",K15&lt;0.0005),"Repetida",IF(AND(K15&lt;&gt;"",$L$4&lt;&gt;"",K15&lt;$L$4),"Próxima",IF(AND($L$6&lt;&gt;"",$L$7&lt;&gt;"",I15&gt;=$L$6,I15&lt;=$L$7),"Telefonia",IF(AND(I15&gt;=470,I15&lt;698,COUNTIF($E$9:$L$9,INT((I15-470)/6)+14)&gt;0),"TV",IF(M15&gt;0,"Intermod.","OK"))))))</f>
        <v/>
      </c>
      <c r="O15" s="27" t="str">
        <f aca="false">IF(N15="","",IF(N15="Automática","Sem frequência fixa: o sistema escolhe o canal. Afaste o receptor do roteador Wi-Fi",IF(N15="Repetida","Mesma frequência do sistema nº "&amp;L15&amp;": troque o canal de um dos dois",IF(N15="Próxima","Perto demais do sistema nº "&amp;L15&amp;": afaste as duas frequências",IF(N15="Telefonia","Dentro da faixa a evitar: troque de frequência ou de equipamento",IF(N15="TV","Dentro do canal de TV "&amp;J15&amp;", ativo na cidade: use um canal de TV livre",IF(N15="Intermod.","Há "&amp;M15&amp;" produto(s) de intermodulação perto: troque esta frequência ou use o grupo do fabricante","Manter")))))))</f>
        <v/>
      </c>
      <c r="P15" s="5"/>
      <c r="R15" s="6"/>
      <c r="S15" s="28" t="str">
        <f aca="false">IF(OR($I15="",$I16=""),"",ROUND(ABS($I15-$I16),4))</f>
        <v/>
      </c>
      <c r="T15" s="28" t="str">
        <f aca="false">IF(OR($I15="",$I17=""),"",ROUND(ABS($I15-$I17),4))</f>
        <v/>
      </c>
      <c r="U15" s="28" t="str">
        <f aca="false">IF(OR($I15="",$I18=""),"",ROUND(ABS($I15-$I18),4))</f>
        <v/>
      </c>
      <c r="V15" s="28" t="str">
        <f aca="false">IF(OR($I15="",$I19=""),"",ROUND(ABS($I15-$I19),4))</f>
        <v/>
      </c>
      <c r="W15" s="28" t="str">
        <f aca="false">IF(OR($I15="",$I20=""),"",ROUND(ABS($I15-$I20),4))</f>
        <v/>
      </c>
      <c r="X15" s="28" t="str">
        <f aca="false">IF(OR($I15="",$I21=""),"",ROUND(ABS($I15-$I21),4))</f>
        <v/>
      </c>
      <c r="Y15" s="28" t="str">
        <f aca="false">IF(OR($I15="",$I22=""),"",ROUND(ABS($I15-$I22),4))</f>
        <v/>
      </c>
      <c r="Z15" s="28" t="str">
        <f aca="false">IF(OR($I15="",$I23=""),"",ROUND(ABS($I15-$I23),4))</f>
        <v/>
      </c>
      <c r="AA15" s="28" t="str">
        <f aca="false">IF(OR($I15="",$I24=""),"",ROUND(ABS($I15-$I24),4))</f>
        <v/>
      </c>
      <c r="AB15" s="28" t="str">
        <f aca="false">IF(OR($I15="",$I25=""),"",ROUND(ABS($I15-$I25),4))</f>
        <v/>
      </c>
      <c r="AC15" s="28" t="str">
        <f aca="false">IF(OR($I15="",$I26=""),"",ROUND(ABS($I15-$I26),4))</f>
        <v/>
      </c>
      <c r="AD15" s="28" t="str">
        <f aca="false">IF(OR($I15="",$I27=""),"",ROUND(ABS($I15-$I27),4))</f>
        <v/>
      </c>
      <c r="AE15" s="28" t="str">
        <f aca="false">IF(OR($I15="",$I28=""),"",ROUND(ABS($I15-$I28),4))</f>
        <v/>
      </c>
      <c r="AF15" s="28" t="str">
        <f aca="false">IF(OR($I15="",$I29=""),"",ROUND(ABS($I15-$I29),4))</f>
        <v/>
      </c>
      <c r="AG15" s="28" t="str">
        <f aca="false">IF(OR($I15="",$I30=""),"",ROUND(ABS($I15-$I30),4))</f>
        <v/>
      </c>
      <c r="AI15" s="6"/>
      <c r="AJ15" s="29" t="str">
        <f aca="false">IF(OR($I15="",$I16=""),"",ROUND((2*$I15-$I16)*1000,0))</f>
        <v/>
      </c>
      <c r="AK15" s="29" t="str">
        <f aca="false">IF(OR($I15="",$I17=""),"",ROUND((2*$I15-$I17)*1000,0))</f>
        <v/>
      </c>
      <c r="AL15" s="29" t="str">
        <f aca="false">IF(OR($I15="",$I18=""),"",ROUND((2*$I15-$I18)*1000,0))</f>
        <v/>
      </c>
      <c r="AM15" s="29" t="str">
        <f aca="false">IF(OR($I15="",$I19=""),"",ROUND((2*$I15-$I19)*1000,0))</f>
        <v/>
      </c>
      <c r="AN15" s="29" t="str">
        <f aca="false">IF(OR($I15="",$I20=""),"",ROUND((2*$I15-$I20)*1000,0))</f>
        <v/>
      </c>
      <c r="AO15" s="29" t="str">
        <f aca="false">IF(OR($I15="",$I21=""),"",ROUND((2*$I15-$I21)*1000,0))</f>
        <v/>
      </c>
      <c r="AP15" s="29" t="str">
        <f aca="false">IF(OR($I15="",$I22=""),"",ROUND((2*$I15-$I22)*1000,0))</f>
        <v/>
      </c>
      <c r="AQ15" s="29" t="str">
        <f aca="false">IF(OR($I15="",$I23=""),"",ROUND((2*$I15-$I23)*1000,0))</f>
        <v/>
      </c>
      <c r="AR15" s="29" t="str">
        <f aca="false">IF(OR($I15="",$I24=""),"",ROUND((2*$I15-$I24)*1000,0))</f>
        <v/>
      </c>
      <c r="AS15" s="29" t="str">
        <f aca="false">IF(OR($I15="",$I25=""),"",ROUND((2*$I15-$I25)*1000,0))</f>
        <v/>
      </c>
      <c r="AT15" s="29" t="str">
        <f aca="false">IF(OR($I15="",$I26=""),"",ROUND((2*$I15-$I26)*1000,0))</f>
        <v/>
      </c>
      <c r="AU15" s="29" t="str">
        <f aca="false">IF(OR($I15="",$I27=""),"",ROUND((2*$I15-$I27)*1000,0))</f>
        <v/>
      </c>
      <c r="AV15" s="29" t="str">
        <f aca="false">IF(OR($I15="",$I28=""),"",ROUND((2*$I15-$I28)*1000,0))</f>
        <v/>
      </c>
      <c r="AW15" s="29" t="str">
        <f aca="false">IF(OR($I15="",$I29=""),"",ROUND((2*$I15-$I29)*1000,0))</f>
        <v/>
      </c>
      <c r="AX15" s="29" t="str">
        <f aca="false">IF(OR($I15="",$I30=""),"",ROUND((2*$I15-$I30)*1000,0))</f>
        <v/>
      </c>
    </row>
    <row r="16" customFormat="false" ht="21.75" hidden="false" customHeight="true" outlineLevel="0" collapsed="false">
      <c r="B16" s="23" t="n">
        <v>2</v>
      </c>
      <c r="C16" s="5"/>
      <c r="D16" s="5"/>
      <c r="E16" s="15"/>
      <c r="F16" s="15"/>
      <c r="G16" s="15"/>
      <c r="H16" s="15"/>
      <c r="I16" s="10"/>
      <c r="J16" s="24" t="str">
        <f aca="false">IF(I16="","",IF(AND(I16&gt;=470,I16&lt;698),INT((I16-470)/6)+14,"–"))</f>
        <v/>
      </c>
      <c r="K16" s="25" t="str">
        <f aca="false">IF(OR(I16="",COUNT($R16:$AG16)=0),"",MIN($R16:$AG16))</f>
        <v/>
      </c>
      <c r="L16" s="24" t="str">
        <f aca="false">IF(K16="","",MATCH(K16,$R16:$AG16,0))</f>
        <v/>
      </c>
      <c r="M16" s="24" t="str">
        <f aca="false">IF(I16="","",COUNTIFS($AI$15:$AX$30,"&gt;"&amp;ROUND((I16-$L$5)*1000,0),$AI$15:$AX$30,"&lt;"&amp;ROUND((I16+$L$5)*1000,0))-COUNTIFS($AI16:$AX16,"&gt;"&amp;ROUND((I16-$L$5)*1000,0),$AI16:$AX16,"&lt;"&amp;ROUND((I16+$L$5)*1000,0))-COUNTIFS(AJ$15:AJ$30,"&gt;"&amp;ROUND((I16-$L$5)*1000,0),AJ$15:AJ$30,"&lt;"&amp;ROUND((I16+$L$5)*1000,0)))</f>
        <v/>
      </c>
      <c r="N16" s="26" t="str">
        <f aca="false">IF(I16="",IF(AND(C16&lt;&gt;"",F16="2,4 GHz"),"Automática",""),IF(AND(K16&lt;&gt;"",K16&lt;0.0005),"Repetida",IF(AND(K16&lt;&gt;"",$L$4&lt;&gt;"",K16&lt;$L$4),"Próxima",IF(AND($L$6&lt;&gt;"",$L$7&lt;&gt;"",I16&gt;=$L$6,I16&lt;=$L$7),"Telefonia",IF(AND(I16&gt;=470,I16&lt;698,COUNTIF($E$9:$L$9,INT((I16-470)/6)+14)&gt;0),"TV",IF(M16&gt;0,"Intermod.","OK"))))))</f>
        <v/>
      </c>
      <c r="O16" s="27" t="str">
        <f aca="false">IF(N16="","",IF(N16="Automática","Sem frequência fixa: o sistema escolhe o canal. Afaste o receptor do roteador Wi-Fi",IF(N16="Repetida","Mesma frequência do sistema nº "&amp;L16&amp;": troque o canal de um dos dois",IF(N16="Próxima","Perto demais do sistema nº "&amp;L16&amp;": afaste as duas frequências",IF(N16="Telefonia","Dentro da faixa a evitar: troque de frequência ou de equipamento",IF(N16="TV","Dentro do canal de TV "&amp;J16&amp;", ativo na cidade: use um canal de TV livre",IF(N16="Intermod.","Há "&amp;M16&amp;" produto(s) de intermodulação perto: troque esta frequência ou use o grupo do fabricante","Manter")))))))</f>
        <v/>
      </c>
      <c r="P16" s="5"/>
      <c r="R16" s="28" t="str">
        <f aca="false">IF(OR($I16="",$I15=""),"",ROUND(ABS($I16-$I15),4))</f>
        <v/>
      </c>
      <c r="S16" s="6"/>
      <c r="T16" s="28" t="str">
        <f aca="false">IF(OR($I16="",$I17=""),"",ROUND(ABS($I16-$I17),4))</f>
        <v/>
      </c>
      <c r="U16" s="28" t="str">
        <f aca="false">IF(OR($I16="",$I18=""),"",ROUND(ABS($I16-$I18),4))</f>
        <v/>
      </c>
      <c r="V16" s="28" t="str">
        <f aca="false">IF(OR($I16="",$I19=""),"",ROUND(ABS($I16-$I19),4))</f>
        <v/>
      </c>
      <c r="W16" s="28" t="str">
        <f aca="false">IF(OR($I16="",$I20=""),"",ROUND(ABS($I16-$I20),4))</f>
        <v/>
      </c>
      <c r="X16" s="28" t="str">
        <f aca="false">IF(OR($I16="",$I21=""),"",ROUND(ABS($I16-$I21),4))</f>
        <v/>
      </c>
      <c r="Y16" s="28" t="str">
        <f aca="false">IF(OR($I16="",$I22=""),"",ROUND(ABS($I16-$I22),4))</f>
        <v/>
      </c>
      <c r="Z16" s="28" t="str">
        <f aca="false">IF(OR($I16="",$I23=""),"",ROUND(ABS($I16-$I23),4))</f>
        <v/>
      </c>
      <c r="AA16" s="28" t="str">
        <f aca="false">IF(OR($I16="",$I24=""),"",ROUND(ABS($I16-$I24),4))</f>
        <v/>
      </c>
      <c r="AB16" s="28" t="str">
        <f aca="false">IF(OR($I16="",$I25=""),"",ROUND(ABS($I16-$I25),4))</f>
        <v/>
      </c>
      <c r="AC16" s="28" t="str">
        <f aca="false">IF(OR($I16="",$I26=""),"",ROUND(ABS($I16-$I26),4))</f>
        <v/>
      </c>
      <c r="AD16" s="28" t="str">
        <f aca="false">IF(OR($I16="",$I27=""),"",ROUND(ABS($I16-$I27),4))</f>
        <v/>
      </c>
      <c r="AE16" s="28" t="str">
        <f aca="false">IF(OR($I16="",$I28=""),"",ROUND(ABS($I16-$I28),4))</f>
        <v/>
      </c>
      <c r="AF16" s="28" t="str">
        <f aca="false">IF(OR($I16="",$I29=""),"",ROUND(ABS($I16-$I29),4))</f>
        <v/>
      </c>
      <c r="AG16" s="28" t="str">
        <f aca="false">IF(OR($I16="",$I30=""),"",ROUND(ABS($I16-$I30),4))</f>
        <v/>
      </c>
      <c r="AI16" s="29" t="str">
        <f aca="false">IF(OR($I16="",$I15=""),"",ROUND((2*$I16-$I15)*1000,0))</f>
        <v/>
      </c>
      <c r="AJ16" s="6"/>
      <c r="AK16" s="29" t="str">
        <f aca="false">IF(OR($I16="",$I17=""),"",ROUND((2*$I16-$I17)*1000,0))</f>
        <v/>
      </c>
      <c r="AL16" s="29" t="str">
        <f aca="false">IF(OR($I16="",$I18=""),"",ROUND((2*$I16-$I18)*1000,0))</f>
        <v/>
      </c>
      <c r="AM16" s="29" t="str">
        <f aca="false">IF(OR($I16="",$I19=""),"",ROUND((2*$I16-$I19)*1000,0))</f>
        <v/>
      </c>
      <c r="AN16" s="29" t="str">
        <f aca="false">IF(OR($I16="",$I20=""),"",ROUND((2*$I16-$I20)*1000,0))</f>
        <v/>
      </c>
      <c r="AO16" s="29" t="str">
        <f aca="false">IF(OR($I16="",$I21=""),"",ROUND((2*$I16-$I21)*1000,0))</f>
        <v/>
      </c>
      <c r="AP16" s="29" t="str">
        <f aca="false">IF(OR($I16="",$I22=""),"",ROUND((2*$I16-$I22)*1000,0))</f>
        <v/>
      </c>
      <c r="AQ16" s="29" t="str">
        <f aca="false">IF(OR($I16="",$I23=""),"",ROUND((2*$I16-$I23)*1000,0))</f>
        <v/>
      </c>
      <c r="AR16" s="29" t="str">
        <f aca="false">IF(OR($I16="",$I24=""),"",ROUND((2*$I16-$I24)*1000,0))</f>
        <v/>
      </c>
      <c r="AS16" s="29" t="str">
        <f aca="false">IF(OR($I16="",$I25=""),"",ROUND((2*$I16-$I25)*1000,0))</f>
        <v/>
      </c>
      <c r="AT16" s="29" t="str">
        <f aca="false">IF(OR($I16="",$I26=""),"",ROUND((2*$I16-$I26)*1000,0))</f>
        <v/>
      </c>
      <c r="AU16" s="29" t="str">
        <f aca="false">IF(OR($I16="",$I27=""),"",ROUND((2*$I16-$I27)*1000,0))</f>
        <v/>
      </c>
      <c r="AV16" s="29" t="str">
        <f aca="false">IF(OR($I16="",$I28=""),"",ROUND((2*$I16-$I28)*1000,0))</f>
        <v/>
      </c>
      <c r="AW16" s="29" t="str">
        <f aca="false">IF(OR($I16="",$I29=""),"",ROUND((2*$I16-$I29)*1000,0))</f>
        <v/>
      </c>
      <c r="AX16" s="29" t="str">
        <f aca="false">IF(OR($I16="",$I30=""),"",ROUND((2*$I16-$I30)*1000,0))</f>
        <v/>
      </c>
    </row>
    <row r="17" customFormat="false" ht="21.75" hidden="false" customHeight="true" outlineLevel="0" collapsed="false">
      <c r="B17" s="23" t="n">
        <v>3</v>
      </c>
      <c r="C17" s="5"/>
      <c r="D17" s="5"/>
      <c r="E17" s="15"/>
      <c r="F17" s="15"/>
      <c r="G17" s="15"/>
      <c r="H17" s="15"/>
      <c r="I17" s="10"/>
      <c r="J17" s="24" t="str">
        <f aca="false">IF(I17="","",IF(AND(I17&gt;=470,I17&lt;698),INT((I17-470)/6)+14,"–"))</f>
        <v/>
      </c>
      <c r="K17" s="25" t="str">
        <f aca="false">IF(OR(I17="",COUNT($R17:$AG17)=0),"",MIN($R17:$AG17))</f>
        <v/>
      </c>
      <c r="L17" s="24" t="str">
        <f aca="false">IF(K17="","",MATCH(K17,$R17:$AG17,0))</f>
        <v/>
      </c>
      <c r="M17" s="24" t="str">
        <f aca="false">IF(I17="","",COUNTIFS($AI$15:$AX$30,"&gt;"&amp;ROUND((I17-$L$5)*1000,0),$AI$15:$AX$30,"&lt;"&amp;ROUND((I17+$L$5)*1000,0))-COUNTIFS($AI17:$AX17,"&gt;"&amp;ROUND((I17-$L$5)*1000,0),$AI17:$AX17,"&lt;"&amp;ROUND((I17+$L$5)*1000,0))-COUNTIFS(AK$15:AK$30,"&gt;"&amp;ROUND((I17-$L$5)*1000,0),AK$15:AK$30,"&lt;"&amp;ROUND((I17+$L$5)*1000,0)))</f>
        <v/>
      </c>
      <c r="N17" s="26" t="str">
        <f aca="false">IF(I17="",IF(AND(C17&lt;&gt;"",F17="2,4 GHz"),"Automática",""),IF(AND(K17&lt;&gt;"",K17&lt;0.0005),"Repetida",IF(AND(K17&lt;&gt;"",$L$4&lt;&gt;"",K17&lt;$L$4),"Próxima",IF(AND($L$6&lt;&gt;"",$L$7&lt;&gt;"",I17&gt;=$L$6,I17&lt;=$L$7),"Telefonia",IF(AND(I17&gt;=470,I17&lt;698,COUNTIF($E$9:$L$9,INT((I17-470)/6)+14)&gt;0),"TV",IF(M17&gt;0,"Intermod.","OK"))))))</f>
        <v/>
      </c>
      <c r="O17" s="27" t="str">
        <f aca="false">IF(N17="","",IF(N17="Automática","Sem frequência fixa: o sistema escolhe o canal. Afaste o receptor do roteador Wi-Fi",IF(N17="Repetida","Mesma frequência do sistema nº "&amp;L17&amp;": troque o canal de um dos dois",IF(N17="Próxima","Perto demais do sistema nº "&amp;L17&amp;": afaste as duas frequências",IF(N17="Telefonia","Dentro da faixa a evitar: troque de frequência ou de equipamento",IF(N17="TV","Dentro do canal de TV "&amp;J17&amp;", ativo na cidade: use um canal de TV livre",IF(N17="Intermod.","Há "&amp;M17&amp;" produto(s) de intermodulação perto: troque esta frequência ou use o grupo do fabricante","Manter")))))))</f>
        <v/>
      </c>
      <c r="P17" s="5"/>
      <c r="R17" s="28" t="str">
        <f aca="false">IF(OR($I17="",$I15=""),"",ROUND(ABS($I17-$I15),4))</f>
        <v/>
      </c>
      <c r="S17" s="28" t="str">
        <f aca="false">IF(OR($I17="",$I16=""),"",ROUND(ABS($I17-$I16),4))</f>
        <v/>
      </c>
      <c r="T17" s="6"/>
      <c r="U17" s="28" t="str">
        <f aca="false">IF(OR($I17="",$I18=""),"",ROUND(ABS($I17-$I18),4))</f>
        <v/>
      </c>
      <c r="V17" s="28" t="str">
        <f aca="false">IF(OR($I17="",$I19=""),"",ROUND(ABS($I17-$I19),4))</f>
        <v/>
      </c>
      <c r="W17" s="28" t="str">
        <f aca="false">IF(OR($I17="",$I20=""),"",ROUND(ABS($I17-$I20),4))</f>
        <v/>
      </c>
      <c r="X17" s="28" t="str">
        <f aca="false">IF(OR($I17="",$I21=""),"",ROUND(ABS($I17-$I21),4))</f>
        <v/>
      </c>
      <c r="Y17" s="28" t="str">
        <f aca="false">IF(OR($I17="",$I22=""),"",ROUND(ABS($I17-$I22),4))</f>
        <v/>
      </c>
      <c r="Z17" s="28" t="str">
        <f aca="false">IF(OR($I17="",$I23=""),"",ROUND(ABS($I17-$I23),4))</f>
        <v/>
      </c>
      <c r="AA17" s="28" t="str">
        <f aca="false">IF(OR($I17="",$I24=""),"",ROUND(ABS($I17-$I24),4))</f>
        <v/>
      </c>
      <c r="AB17" s="28" t="str">
        <f aca="false">IF(OR($I17="",$I25=""),"",ROUND(ABS($I17-$I25),4))</f>
        <v/>
      </c>
      <c r="AC17" s="28" t="str">
        <f aca="false">IF(OR($I17="",$I26=""),"",ROUND(ABS($I17-$I26),4))</f>
        <v/>
      </c>
      <c r="AD17" s="28" t="str">
        <f aca="false">IF(OR($I17="",$I27=""),"",ROUND(ABS($I17-$I27),4))</f>
        <v/>
      </c>
      <c r="AE17" s="28" t="str">
        <f aca="false">IF(OR($I17="",$I28=""),"",ROUND(ABS($I17-$I28),4))</f>
        <v/>
      </c>
      <c r="AF17" s="28" t="str">
        <f aca="false">IF(OR($I17="",$I29=""),"",ROUND(ABS($I17-$I29),4))</f>
        <v/>
      </c>
      <c r="AG17" s="28" t="str">
        <f aca="false">IF(OR($I17="",$I30=""),"",ROUND(ABS($I17-$I30),4))</f>
        <v/>
      </c>
      <c r="AI17" s="29" t="str">
        <f aca="false">IF(OR($I17="",$I15=""),"",ROUND((2*$I17-$I15)*1000,0))</f>
        <v/>
      </c>
      <c r="AJ17" s="29" t="str">
        <f aca="false">IF(OR($I17="",$I16=""),"",ROUND((2*$I17-$I16)*1000,0))</f>
        <v/>
      </c>
      <c r="AK17" s="6"/>
      <c r="AL17" s="29" t="str">
        <f aca="false">IF(OR($I17="",$I18=""),"",ROUND((2*$I17-$I18)*1000,0))</f>
        <v/>
      </c>
      <c r="AM17" s="29" t="str">
        <f aca="false">IF(OR($I17="",$I19=""),"",ROUND((2*$I17-$I19)*1000,0))</f>
        <v/>
      </c>
      <c r="AN17" s="29" t="str">
        <f aca="false">IF(OR($I17="",$I20=""),"",ROUND((2*$I17-$I20)*1000,0))</f>
        <v/>
      </c>
      <c r="AO17" s="29" t="str">
        <f aca="false">IF(OR($I17="",$I21=""),"",ROUND((2*$I17-$I21)*1000,0))</f>
        <v/>
      </c>
      <c r="AP17" s="29" t="str">
        <f aca="false">IF(OR($I17="",$I22=""),"",ROUND((2*$I17-$I22)*1000,0))</f>
        <v/>
      </c>
      <c r="AQ17" s="29" t="str">
        <f aca="false">IF(OR($I17="",$I23=""),"",ROUND((2*$I17-$I23)*1000,0))</f>
        <v/>
      </c>
      <c r="AR17" s="29" t="str">
        <f aca="false">IF(OR($I17="",$I24=""),"",ROUND((2*$I17-$I24)*1000,0))</f>
        <v/>
      </c>
      <c r="AS17" s="29" t="str">
        <f aca="false">IF(OR($I17="",$I25=""),"",ROUND((2*$I17-$I25)*1000,0))</f>
        <v/>
      </c>
      <c r="AT17" s="29" t="str">
        <f aca="false">IF(OR($I17="",$I26=""),"",ROUND((2*$I17-$I26)*1000,0))</f>
        <v/>
      </c>
      <c r="AU17" s="29" t="str">
        <f aca="false">IF(OR($I17="",$I27=""),"",ROUND((2*$I17-$I27)*1000,0))</f>
        <v/>
      </c>
      <c r="AV17" s="29" t="str">
        <f aca="false">IF(OR($I17="",$I28=""),"",ROUND((2*$I17-$I28)*1000,0))</f>
        <v/>
      </c>
      <c r="AW17" s="29" t="str">
        <f aca="false">IF(OR($I17="",$I29=""),"",ROUND((2*$I17-$I29)*1000,0))</f>
        <v/>
      </c>
      <c r="AX17" s="29" t="str">
        <f aca="false">IF(OR($I17="",$I30=""),"",ROUND((2*$I17-$I30)*1000,0))</f>
        <v/>
      </c>
    </row>
    <row r="18" customFormat="false" ht="21.75" hidden="false" customHeight="true" outlineLevel="0" collapsed="false">
      <c r="B18" s="23" t="n">
        <v>4</v>
      </c>
      <c r="C18" s="5"/>
      <c r="D18" s="5"/>
      <c r="E18" s="15"/>
      <c r="F18" s="15"/>
      <c r="G18" s="15"/>
      <c r="H18" s="15"/>
      <c r="I18" s="10"/>
      <c r="J18" s="24" t="str">
        <f aca="false">IF(I18="","",IF(AND(I18&gt;=470,I18&lt;698),INT((I18-470)/6)+14,"–"))</f>
        <v/>
      </c>
      <c r="K18" s="25" t="str">
        <f aca="false">IF(OR(I18="",COUNT($R18:$AG18)=0),"",MIN($R18:$AG18))</f>
        <v/>
      </c>
      <c r="L18" s="24" t="str">
        <f aca="false">IF(K18="","",MATCH(K18,$R18:$AG18,0))</f>
        <v/>
      </c>
      <c r="M18" s="24" t="str">
        <f aca="false">IF(I18="","",COUNTIFS($AI$15:$AX$30,"&gt;"&amp;ROUND((I18-$L$5)*1000,0),$AI$15:$AX$30,"&lt;"&amp;ROUND((I18+$L$5)*1000,0))-COUNTIFS($AI18:$AX18,"&gt;"&amp;ROUND((I18-$L$5)*1000,0),$AI18:$AX18,"&lt;"&amp;ROUND((I18+$L$5)*1000,0))-COUNTIFS(AL$15:AL$30,"&gt;"&amp;ROUND((I18-$L$5)*1000,0),AL$15:AL$30,"&lt;"&amp;ROUND((I18+$L$5)*1000,0)))</f>
        <v/>
      </c>
      <c r="N18" s="26" t="str">
        <f aca="false">IF(I18="",IF(AND(C18&lt;&gt;"",F18="2,4 GHz"),"Automática",""),IF(AND(K18&lt;&gt;"",K18&lt;0.0005),"Repetida",IF(AND(K18&lt;&gt;"",$L$4&lt;&gt;"",K18&lt;$L$4),"Próxima",IF(AND($L$6&lt;&gt;"",$L$7&lt;&gt;"",I18&gt;=$L$6,I18&lt;=$L$7),"Telefonia",IF(AND(I18&gt;=470,I18&lt;698,COUNTIF($E$9:$L$9,INT((I18-470)/6)+14)&gt;0),"TV",IF(M18&gt;0,"Intermod.","OK"))))))</f>
        <v/>
      </c>
      <c r="O18" s="27" t="str">
        <f aca="false">IF(N18="","",IF(N18="Automática","Sem frequência fixa: o sistema escolhe o canal. Afaste o receptor do roteador Wi-Fi",IF(N18="Repetida","Mesma frequência do sistema nº "&amp;L18&amp;": troque o canal de um dos dois",IF(N18="Próxima","Perto demais do sistema nº "&amp;L18&amp;": afaste as duas frequências",IF(N18="Telefonia","Dentro da faixa a evitar: troque de frequência ou de equipamento",IF(N18="TV","Dentro do canal de TV "&amp;J18&amp;", ativo na cidade: use um canal de TV livre",IF(N18="Intermod.","Há "&amp;M18&amp;" produto(s) de intermodulação perto: troque esta frequência ou use o grupo do fabricante","Manter")))))))</f>
        <v/>
      </c>
      <c r="P18" s="5"/>
      <c r="R18" s="28" t="str">
        <f aca="false">IF(OR($I18="",$I15=""),"",ROUND(ABS($I18-$I15),4))</f>
        <v/>
      </c>
      <c r="S18" s="28" t="str">
        <f aca="false">IF(OR($I18="",$I16=""),"",ROUND(ABS($I18-$I16),4))</f>
        <v/>
      </c>
      <c r="T18" s="28" t="str">
        <f aca="false">IF(OR($I18="",$I17=""),"",ROUND(ABS($I18-$I17),4))</f>
        <v/>
      </c>
      <c r="U18" s="6"/>
      <c r="V18" s="28" t="str">
        <f aca="false">IF(OR($I18="",$I19=""),"",ROUND(ABS($I18-$I19),4))</f>
        <v/>
      </c>
      <c r="W18" s="28" t="str">
        <f aca="false">IF(OR($I18="",$I20=""),"",ROUND(ABS($I18-$I20),4))</f>
        <v/>
      </c>
      <c r="X18" s="28" t="str">
        <f aca="false">IF(OR($I18="",$I21=""),"",ROUND(ABS($I18-$I21),4))</f>
        <v/>
      </c>
      <c r="Y18" s="28" t="str">
        <f aca="false">IF(OR($I18="",$I22=""),"",ROUND(ABS($I18-$I22),4))</f>
        <v/>
      </c>
      <c r="Z18" s="28" t="str">
        <f aca="false">IF(OR($I18="",$I23=""),"",ROUND(ABS($I18-$I23),4))</f>
        <v/>
      </c>
      <c r="AA18" s="28" t="str">
        <f aca="false">IF(OR($I18="",$I24=""),"",ROUND(ABS($I18-$I24),4))</f>
        <v/>
      </c>
      <c r="AB18" s="28" t="str">
        <f aca="false">IF(OR($I18="",$I25=""),"",ROUND(ABS($I18-$I25),4))</f>
        <v/>
      </c>
      <c r="AC18" s="28" t="str">
        <f aca="false">IF(OR($I18="",$I26=""),"",ROUND(ABS($I18-$I26),4))</f>
        <v/>
      </c>
      <c r="AD18" s="28" t="str">
        <f aca="false">IF(OR($I18="",$I27=""),"",ROUND(ABS($I18-$I27),4))</f>
        <v/>
      </c>
      <c r="AE18" s="28" t="str">
        <f aca="false">IF(OR($I18="",$I28=""),"",ROUND(ABS($I18-$I28),4))</f>
        <v/>
      </c>
      <c r="AF18" s="28" t="str">
        <f aca="false">IF(OR($I18="",$I29=""),"",ROUND(ABS($I18-$I29),4))</f>
        <v/>
      </c>
      <c r="AG18" s="28" t="str">
        <f aca="false">IF(OR($I18="",$I30=""),"",ROUND(ABS($I18-$I30),4))</f>
        <v/>
      </c>
      <c r="AI18" s="29" t="str">
        <f aca="false">IF(OR($I18="",$I15=""),"",ROUND((2*$I18-$I15)*1000,0))</f>
        <v/>
      </c>
      <c r="AJ18" s="29" t="str">
        <f aca="false">IF(OR($I18="",$I16=""),"",ROUND((2*$I18-$I16)*1000,0))</f>
        <v/>
      </c>
      <c r="AK18" s="29" t="str">
        <f aca="false">IF(OR($I18="",$I17=""),"",ROUND((2*$I18-$I17)*1000,0))</f>
        <v/>
      </c>
      <c r="AL18" s="6"/>
      <c r="AM18" s="29" t="str">
        <f aca="false">IF(OR($I18="",$I19=""),"",ROUND((2*$I18-$I19)*1000,0))</f>
        <v/>
      </c>
      <c r="AN18" s="29" t="str">
        <f aca="false">IF(OR($I18="",$I20=""),"",ROUND((2*$I18-$I20)*1000,0))</f>
        <v/>
      </c>
      <c r="AO18" s="29" t="str">
        <f aca="false">IF(OR($I18="",$I21=""),"",ROUND((2*$I18-$I21)*1000,0))</f>
        <v/>
      </c>
      <c r="AP18" s="29" t="str">
        <f aca="false">IF(OR($I18="",$I22=""),"",ROUND((2*$I18-$I22)*1000,0))</f>
        <v/>
      </c>
      <c r="AQ18" s="29" t="str">
        <f aca="false">IF(OR($I18="",$I23=""),"",ROUND((2*$I18-$I23)*1000,0))</f>
        <v/>
      </c>
      <c r="AR18" s="29" t="str">
        <f aca="false">IF(OR($I18="",$I24=""),"",ROUND((2*$I18-$I24)*1000,0))</f>
        <v/>
      </c>
      <c r="AS18" s="29" t="str">
        <f aca="false">IF(OR($I18="",$I25=""),"",ROUND((2*$I18-$I25)*1000,0))</f>
        <v/>
      </c>
      <c r="AT18" s="29" t="str">
        <f aca="false">IF(OR($I18="",$I26=""),"",ROUND((2*$I18-$I26)*1000,0))</f>
        <v/>
      </c>
      <c r="AU18" s="29" t="str">
        <f aca="false">IF(OR($I18="",$I27=""),"",ROUND((2*$I18-$I27)*1000,0))</f>
        <v/>
      </c>
      <c r="AV18" s="29" t="str">
        <f aca="false">IF(OR($I18="",$I28=""),"",ROUND((2*$I18-$I28)*1000,0))</f>
        <v/>
      </c>
      <c r="AW18" s="29" t="str">
        <f aca="false">IF(OR($I18="",$I29=""),"",ROUND((2*$I18-$I29)*1000,0))</f>
        <v/>
      </c>
      <c r="AX18" s="29" t="str">
        <f aca="false">IF(OR($I18="",$I30=""),"",ROUND((2*$I18-$I30)*1000,0))</f>
        <v/>
      </c>
    </row>
    <row r="19" customFormat="false" ht="21.75" hidden="false" customHeight="true" outlineLevel="0" collapsed="false">
      <c r="B19" s="23" t="n">
        <v>5</v>
      </c>
      <c r="C19" s="5"/>
      <c r="D19" s="5"/>
      <c r="E19" s="15"/>
      <c r="F19" s="15"/>
      <c r="G19" s="15"/>
      <c r="H19" s="15"/>
      <c r="I19" s="10"/>
      <c r="J19" s="24" t="str">
        <f aca="false">IF(I19="","",IF(AND(I19&gt;=470,I19&lt;698),INT((I19-470)/6)+14,"–"))</f>
        <v/>
      </c>
      <c r="K19" s="25" t="str">
        <f aca="false">IF(OR(I19="",COUNT($R19:$AG19)=0),"",MIN($R19:$AG19))</f>
        <v/>
      </c>
      <c r="L19" s="24" t="str">
        <f aca="false">IF(K19="","",MATCH(K19,$R19:$AG19,0))</f>
        <v/>
      </c>
      <c r="M19" s="24" t="str">
        <f aca="false">IF(I19="","",COUNTIFS($AI$15:$AX$30,"&gt;"&amp;ROUND((I19-$L$5)*1000,0),$AI$15:$AX$30,"&lt;"&amp;ROUND((I19+$L$5)*1000,0))-COUNTIFS($AI19:$AX19,"&gt;"&amp;ROUND((I19-$L$5)*1000,0),$AI19:$AX19,"&lt;"&amp;ROUND((I19+$L$5)*1000,0))-COUNTIFS(AM$15:AM$30,"&gt;"&amp;ROUND((I19-$L$5)*1000,0),AM$15:AM$30,"&lt;"&amp;ROUND((I19+$L$5)*1000,0)))</f>
        <v/>
      </c>
      <c r="N19" s="26" t="str">
        <f aca="false">IF(I19="",IF(AND(C19&lt;&gt;"",F19="2,4 GHz"),"Automática",""),IF(AND(K19&lt;&gt;"",K19&lt;0.0005),"Repetida",IF(AND(K19&lt;&gt;"",$L$4&lt;&gt;"",K19&lt;$L$4),"Próxima",IF(AND($L$6&lt;&gt;"",$L$7&lt;&gt;"",I19&gt;=$L$6,I19&lt;=$L$7),"Telefonia",IF(AND(I19&gt;=470,I19&lt;698,COUNTIF($E$9:$L$9,INT((I19-470)/6)+14)&gt;0),"TV",IF(M19&gt;0,"Intermod.","OK"))))))</f>
        <v/>
      </c>
      <c r="O19" s="27" t="str">
        <f aca="false">IF(N19="","",IF(N19="Automática","Sem frequência fixa: o sistema escolhe o canal. Afaste o receptor do roteador Wi-Fi",IF(N19="Repetida","Mesma frequência do sistema nº "&amp;L19&amp;": troque o canal de um dos dois",IF(N19="Próxima","Perto demais do sistema nº "&amp;L19&amp;": afaste as duas frequências",IF(N19="Telefonia","Dentro da faixa a evitar: troque de frequência ou de equipamento",IF(N19="TV","Dentro do canal de TV "&amp;J19&amp;", ativo na cidade: use um canal de TV livre",IF(N19="Intermod.","Há "&amp;M19&amp;" produto(s) de intermodulação perto: troque esta frequência ou use o grupo do fabricante","Manter")))))))</f>
        <v/>
      </c>
      <c r="P19" s="5"/>
      <c r="R19" s="28" t="str">
        <f aca="false">IF(OR($I19="",$I15=""),"",ROUND(ABS($I19-$I15),4))</f>
        <v/>
      </c>
      <c r="S19" s="28" t="str">
        <f aca="false">IF(OR($I19="",$I16=""),"",ROUND(ABS($I19-$I16),4))</f>
        <v/>
      </c>
      <c r="T19" s="28" t="str">
        <f aca="false">IF(OR($I19="",$I17=""),"",ROUND(ABS($I19-$I17),4))</f>
        <v/>
      </c>
      <c r="U19" s="28" t="str">
        <f aca="false">IF(OR($I19="",$I18=""),"",ROUND(ABS($I19-$I18),4))</f>
        <v/>
      </c>
      <c r="V19" s="6"/>
      <c r="W19" s="28" t="str">
        <f aca="false">IF(OR($I19="",$I20=""),"",ROUND(ABS($I19-$I20),4))</f>
        <v/>
      </c>
      <c r="X19" s="28" t="str">
        <f aca="false">IF(OR($I19="",$I21=""),"",ROUND(ABS($I19-$I21),4))</f>
        <v/>
      </c>
      <c r="Y19" s="28" t="str">
        <f aca="false">IF(OR($I19="",$I22=""),"",ROUND(ABS($I19-$I22),4))</f>
        <v/>
      </c>
      <c r="Z19" s="28" t="str">
        <f aca="false">IF(OR($I19="",$I23=""),"",ROUND(ABS($I19-$I23),4))</f>
        <v/>
      </c>
      <c r="AA19" s="28" t="str">
        <f aca="false">IF(OR($I19="",$I24=""),"",ROUND(ABS($I19-$I24),4))</f>
        <v/>
      </c>
      <c r="AB19" s="28" t="str">
        <f aca="false">IF(OR($I19="",$I25=""),"",ROUND(ABS($I19-$I25),4))</f>
        <v/>
      </c>
      <c r="AC19" s="28" t="str">
        <f aca="false">IF(OR($I19="",$I26=""),"",ROUND(ABS($I19-$I26),4))</f>
        <v/>
      </c>
      <c r="AD19" s="28" t="str">
        <f aca="false">IF(OR($I19="",$I27=""),"",ROUND(ABS($I19-$I27),4))</f>
        <v/>
      </c>
      <c r="AE19" s="28" t="str">
        <f aca="false">IF(OR($I19="",$I28=""),"",ROUND(ABS($I19-$I28),4))</f>
        <v/>
      </c>
      <c r="AF19" s="28" t="str">
        <f aca="false">IF(OR($I19="",$I29=""),"",ROUND(ABS($I19-$I29),4))</f>
        <v/>
      </c>
      <c r="AG19" s="28" t="str">
        <f aca="false">IF(OR($I19="",$I30=""),"",ROUND(ABS($I19-$I30),4))</f>
        <v/>
      </c>
      <c r="AI19" s="29" t="str">
        <f aca="false">IF(OR($I19="",$I15=""),"",ROUND((2*$I19-$I15)*1000,0))</f>
        <v/>
      </c>
      <c r="AJ19" s="29" t="str">
        <f aca="false">IF(OR($I19="",$I16=""),"",ROUND((2*$I19-$I16)*1000,0))</f>
        <v/>
      </c>
      <c r="AK19" s="29" t="str">
        <f aca="false">IF(OR($I19="",$I17=""),"",ROUND((2*$I19-$I17)*1000,0))</f>
        <v/>
      </c>
      <c r="AL19" s="29" t="str">
        <f aca="false">IF(OR($I19="",$I18=""),"",ROUND((2*$I19-$I18)*1000,0))</f>
        <v/>
      </c>
      <c r="AM19" s="6"/>
      <c r="AN19" s="29" t="str">
        <f aca="false">IF(OR($I19="",$I20=""),"",ROUND((2*$I19-$I20)*1000,0))</f>
        <v/>
      </c>
      <c r="AO19" s="29" t="str">
        <f aca="false">IF(OR($I19="",$I21=""),"",ROUND((2*$I19-$I21)*1000,0))</f>
        <v/>
      </c>
      <c r="AP19" s="29" t="str">
        <f aca="false">IF(OR($I19="",$I22=""),"",ROUND((2*$I19-$I22)*1000,0))</f>
        <v/>
      </c>
      <c r="AQ19" s="29" t="str">
        <f aca="false">IF(OR($I19="",$I23=""),"",ROUND((2*$I19-$I23)*1000,0))</f>
        <v/>
      </c>
      <c r="AR19" s="29" t="str">
        <f aca="false">IF(OR($I19="",$I24=""),"",ROUND((2*$I19-$I24)*1000,0))</f>
        <v/>
      </c>
      <c r="AS19" s="29" t="str">
        <f aca="false">IF(OR($I19="",$I25=""),"",ROUND((2*$I19-$I25)*1000,0))</f>
        <v/>
      </c>
      <c r="AT19" s="29" t="str">
        <f aca="false">IF(OR($I19="",$I26=""),"",ROUND((2*$I19-$I26)*1000,0))</f>
        <v/>
      </c>
      <c r="AU19" s="29" t="str">
        <f aca="false">IF(OR($I19="",$I27=""),"",ROUND((2*$I19-$I27)*1000,0))</f>
        <v/>
      </c>
      <c r="AV19" s="29" t="str">
        <f aca="false">IF(OR($I19="",$I28=""),"",ROUND((2*$I19-$I28)*1000,0))</f>
        <v/>
      </c>
      <c r="AW19" s="29" t="str">
        <f aca="false">IF(OR($I19="",$I29=""),"",ROUND((2*$I19-$I29)*1000,0))</f>
        <v/>
      </c>
      <c r="AX19" s="29" t="str">
        <f aca="false">IF(OR($I19="",$I30=""),"",ROUND((2*$I19-$I30)*1000,0))</f>
        <v/>
      </c>
    </row>
    <row r="20" customFormat="false" ht="21.75" hidden="false" customHeight="true" outlineLevel="0" collapsed="false">
      <c r="B20" s="23" t="n">
        <v>6</v>
      </c>
      <c r="C20" s="5"/>
      <c r="D20" s="5"/>
      <c r="E20" s="15"/>
      <c r="F20" s="15"/>
      <c r="G20" s="15"/>
      <c r="H20" s="15"/>
      <c r="I20" s="10"/>
      <c r="J20" s="24" t="str">
        <f aca="false">IF(I20="","",IF(AND(I20&gt;=470,I20&lt;698),INT((I20-470)/6)+14,"–"))</f>
        <v/>
      </c>
      <c r="K20" s="25" t="str">
        <f aca="false">IF(OR(I20="",COUNT($R20:$AG20)=0),"",MIN($R20:$AG20))</f>
        <v/>
      </c>
      <c r="L20" s="24" t="str">
        <f aca="false">IF(K20="","",MATCH(K20,$R20:$AG20,0))</f>
        <v/>
      </c>
      <c r="M20" s="24" t="str">
        <f aca="false">IF(I20="","",COUNTIFS($AI$15:$AX$30,"&gt;"&amp;ROUND((I20-$L$5)*1000,0),$AI$15:$AX$30,"&lt;"&amp;ROUND((I20+$L$5)*1000,0))-COUNTIFS($AI20:$AX20,"&gt;"&amp;ROUND((I20-$L$5)*1000,0),$AI20:$AX20,"&lt;"&amp;ROUND((I20+$L$5)*1000,0))-COUNTIFS(AN$15:AN$30,"&gt;"&amp;ROUND((I20-$L$5)*1000,0),AN$15:AN$30,"&lt;"&amp;ROUND((I20+$L$5)*1000,0)))</f>
        <v/>
      </c>
      <c r="N20" s="26" t="str">
        <f aca="false">IF(I20="",IF(AND(C20&lt;&gt;"",F20="2,4 GHz"),"Automática",""),IF(AND(K20&lt;&gt;"",K20&lt;0.0005),"Repetida",IF(AND(K20&lt;&gt;"",$L$4&lt;&gt;"",K20&lt;$L$4),"Próxima",IF(AND($L$6&lt;&gt;"",$L$7&lt;&gt;"",I20&gt;=$L$6,I20&lt;=$L$7),"Telefonia",IF(AND(I20&gt;=470,I20&lt;698,COUNTIF($E$9:$L$9,INT((I20-470)/6)+14)&gt;0),"TV",IF(M20&gt;0,"Intermod.","OK"))))))</f>
        <v/>
      </c>
      <c r="O20" s="27" t="str">
        <f aca="false">IF(N20="","",IF(N20="Automática","Sem frequência fixa: o sistema escolhe o canal. Afaste o receptor do roteador Wi-Fi",IF(N20="Repetida","Mesma frequência do sistema nº "&amp;L20&amp;": troque o canal de um dos dois",IF(N20="Próxima","Perto demais do sistema nº "&amp;L20&amp;": afaste as duas frequências",IF(N20="Telefonia","Dentro da faixa a evitar: troque de frequência ou de equipamento",IF(N20="TV","Dentro do canal de TV "&amp;J20&amp;", ativo na cidade: use um canal de TV livre",IF(N20="Intermod.","Há "&amp;M20&amp;" produto(s) de intermodulação perto: troque esta frequência ou use o grupo do fabricante","Manter")))))))</f>
        <v/>
      </c>
      <c r="P20" s="5"/>
      <c r="R20" s="28" t="str">
        <f aca="false">IF(OR($I20="",$I15=""),"",ROUND(ABS($I20-$I15),4))</f>
        <v/>
      </c>
      <c r="S20" s="28" t="str">
        <f aca="false">IF(OR($I20="",$I16=""),"",ROUND(ABS($I20-$I16),4))</f>
        <v/>
      </c>
      <c r="T20" s="28" t="str">
        <f aca="false">IF(OR($I20="",$I17=""),"",ROUND(ABS($I20-$I17),4))</f>
        <v/>
      </c>
      <c r="U20" s="28" t="str">
        <f aca="false">IF(OR($I20="",$I18=""),"",ROUND(ABS($I20-$I18),4))</f>
        <v/>
      </c>
      <c r="V20" s="28" t="str">
        <f aca="false">IF(OR($I20="",$I19=""),"",ROUND(ABS($I20-$I19),4))</f>
        <v/>
      </c>
      <c r="W20" s="6"/>
      <c r="X20" s="28" t="str">
        <f aca="false">IF(OR($I20="",$I21=""),"",ROUND(ABS($I20-$I21),4))</f>
        <v/>
      </c>
      <c r="Y20" s="28" t="str">
        <f aca="false">IF(OR($I20="",$I22=""),"",ROUND(ABS($I20-$I22),4))</f>
        <v/>
      </c>
      <c r="Z20" s="28" t="str">
        <f aca="false">IF(OR($I20="",$I23=""),"",ROUND(ABS($I20-$I23),4))</f>
        <v/>
      </c>
      <c r="AA20" s="28" t="str">
        <f aca="false">IF(OR($I20="",$I24=""),"",ROUND(ABS($I20-$I24),4))</f>
        <v/>
      </c>
      <c r="AB20" s="28" t="str">
        <f aca="false">IF(OR($I20="",$I25=""),"",ROUND(ABS($I20-$I25),4))</f>
        <v/>
      </c>
      <c r="AC20" s="28" t="str">
        <f aca="false">IF(OR($I20="",$I26=""),"",ROUND(ABS($I20-$I26),4))</f>
        <v/>
      </c>
      <c r="AD20" s="28" t="str">
        <f aca="false">IF(OR($I20="",$I27=""),"",ROUND(ABS($I20-$I27),4))</f>
        <v/>
      </c>
      <c r="AE20" s="28" t="str">
        <f aca="false">IF(OR($I20="",$I28=""),"",ROUND(ABS($I20-$I28),4))</f>
        <v/>
      </c>
      <c r="AF20" s="28" t="str">
        <f aca="false">IF(OR($I20="",$I29=""),"",ROUND(ABS($I20-$I29),4))</f>
        <v/>
      </c>
      <c r="AG20" s="28" t="str">
        <f aca="false">IF(OR($I20="",$I30=""),"",ROUND(ABS($I20-$I30),4))</f>
        <v/>
      </c>
      <c r="AI20" s="29" t="str">
        <f aca="false">IF(OR($I20="",$I15=""),"",ROUND((2*$I20-$I15)*1000,0))</f>
        <v/>
      </c>
      <c r="AJ20" s="29" t="str">
        <f aca="false">IF(OR($I20="",$I16=""),"",ROUND((2*$I20-$I16)*1000,0))</f>
        <v/>
      </c>
      <c r="AK20" s="29" t="str">
        <f aca="false">IF(OR($I20="",$I17=""),"",ROUND((2*$I20-$I17)*1000,0))</f>
        <v/>
      </c>
      <c r="AL20" s="29" t="str">
        <f aca="false">IF(OR($I20="",$I18=""),"",ROUND((2*$I20-$I18)*1000,0))</f>
        <v/>
      </c>
      <c r="AM20" s="29" t="str">
        <f aca="false">IF(OR($I20="",$I19=""),"",ROUND((2*$I20-$I19)*1000,0))</f>
        <v/>
      </c>
      <c r="AN20" s="6"/>
      <c r="AO20" s="29" t="str">
        <f aca="false">IF(OR($I20="",$I21=""),"",ROUND((2*$I20-$I21)*1000,0))</f>
        <v/>
      </c>
      <c r="AP20" s="29" t="str">
        <f aca="false">IF(OR($I20="",$I22=""),"",ROUND((2*$I20-$I22)*1000,0))</f>
        <v/>
      </c>
      <c r="AQ20" s="29" t="str">
        <f aca="false">IF(OR($I20="",$I23=""),"",ROUND((2*$I20-$I23)*1000,0))</f>
        <v/>
      </c>
      <c r="AR20" s="29" t="str">
        <f aca="false">IF(OR($I20="",$I24=""),"",ROUND((2*$I20-$I24)*1000,0))</f>
        <v/>
      </c>
      <c r="AS20" s="29" t="str">
        <f aca="false">IF(OR($I20="",$I25=""),"",ROUND((2*$I20-$I25)*1000,0))</f>
        <v/>
      </c>
      <c r="AT20" s="29" t="str">
        <f aca="false">IF(OR($I20="",$I26=""),"",ROUND((2*$I20-$I26)*1000,0))</f>
        <v/>
      </c>
      <c r="AU20" s="29" t="str">
        <f aca="false">IF(OR($I20="",$I27=""),"",ROUND((2*$I20-$I27)*1000,0))</f>
        <v/>
      </c>
      <c r="AV20" s="29" t="str">
        <f aca="false">IF(OR($I20="",$I28=""),"",ROUND((2*$I20-$I28)*1000,0))</f>
        <v/>
      </c>
      <c r="AW20" s="29" t="str">
        <f aca="false">IF(OR($I20="",$I29=""),"",ROUND((2*$I20-$I29)*1000,0))</f>
        <v/>
      </c>
      <c r="AX20" s="29" t="str">
        <f aca="false">IF(OR($I20="",$I30=""),"",ROUND((2*$I20-$I30)*1000,0))</f>
        <v/>
      </c>
    </row>
    <row r="21" customFormat="false" ht="21.75" hidden="false" customHeight="true" outlineLevel="0" collapsed="false">
      <c r="B21" s="23" t="n">
        <v>7</v>
      </c>
      <c r="C21" s="5"/>
      <c r="D21" s="5"/>
      <c r="E21" s="15"/>
      <c r="F21" s="15"/>
      <c r="G21" s="15"/>
      <c r="H21" s="15"/>
      <c r="I21" s="10"/>
      <c r="J21" s="24" t="str">
        <f aca="false">IF(I21="","",IF(AND(I21&gt;=470,I21&lt;698),INT((I21-470)/6)+14,"–"))</f>
        <v/>
      </c>
      <c r="K21" s="25" t="str">
        <f aca="false">IF(OR(I21="",COUNT($R21:$AG21)=0),"",MIN($R21:$AG21))</f>
        <v/>
      </c>
      <c r="L21" s="24" t="str">
        <f aca="false">IF(K21="","",MATCH(K21,$R21:$AG21,0))</f>
        <v/>
      </c>
      <c r="M21" s="24" t="str">
        <f aca="false">IF(I21="","",COUNTIFS($AI$15:$AX$30,"&gt;"&amp;ROUND((I21-$L$5)*1000,0),$AI$15:$AX$30,"&lt;"&amp;ROUND((I21+$L$5)*1000,0))-COUNTIFS($AI21:$AX21,"&gt;"&amp;ROUND((I21-$L$5)*1000,0),$AI21:$AX21,"&lt;"&amp;ROUND((I21+$L$5)*1000,0))-COUNTIFS(AO$15:AO$30,"&gt;"&amp;ROUND((I21-$L$5)*1000,0),AO$15:AO$30,"&lt;"&amp;ROUND((I21+$L$5)*1000,0)))</f>
        <v/>
      </c>
      <c r="N21" s="26" t="str">
        <f aca="false">IF(I21="",IF(AND(C21&lt;&gt;"",F21="2,4 GHz"),"Automática",""),IF(AND(K21&lt;&gt;"",K21&lt;0.0005),"Repetida",IF(AND(K21&lt;&gt;"",$L$4&lt;&gt;"",K21&lt;$L$4),"Próxima",IF(AND($L$6&lt;&gt;"",$L$7&lt;&gt;"",I21&gt;=$L$6,I21&lt;=$L$7),"Telefonia",IF(AND(I21&gt;=470,I21&lt;698,COUNTIF($E$9:$L$9,INT((I21-470)/6)+14)&gt;0),"TV",IF(M21&gt;0,"Intermod.","OK"))))))</f>
        <v/>
      </c>
      <c r="O21" s="27" t="str">
        <f aca="false">IF(N21="","",IF(N21="Automática","Sem frequência fixa: o sistema escolhe o canal. Afaste o receptor do roteador Wi-Fi",IF(N21="Repetida","Mesma frequência do sistema nº "&amp;L21&amp;": troque o canal de um dos dois",IF(N21="Próxima","Perto demais do sistema nº "&amp;L21&amp;": afaste as duas frequências",IF(N21="Telefonia","Dentro da faixa a evitar: troque de frequência ou de equipamento",IF(N21="TV","Dentro do canal de TV "&amp;J21&amp;", ativo na cidade: use um canal de TV livre",IF(N21="Intermod.","Há "&amp;M21&amp;" produto(s) de intermodulação perto: troque esta frequência ou use o grupo do fabricante","Manter")))))))</f>
        <v/>
      </c>
      <c r="P21" s="5"/>
      <c r="R21" s="28" t="str">
        <f aca="false">IF(OR($I21="",$I15=""),"",ROUND(ABS($I21-$I15),4))</f>
        <v/>
      </c>
      <c r="S21" s="28" t="str">
        <f aca="false">IF(OR($I21="",$I16=""),"",ROUND(ABS($I21-$I16),4))</f>
        <v/>
      </c>
      <c r="T21" s="28" t="str">
        <f aca="false">IF(OR($I21="",$I17=""),"",ROUND(ABS($I21-$I17),4))</f>
        <v/>
      </c>
      <c r="U21" s="28" t="str">
        <f aca="false">IF(OR($I21="",$I18=""),"",ROUND(ABS($I21-$I18),4))</f>
        <v/>
      </c>
      <c r="V21" s="28" t="str">
        <f aca="false">IF(OR($I21="",$I19=""),"",ROUND(ABS($I21-$I19),4))</f>
        <v/>
      </c>
      <c r="W21" s="28" t="str">
        <f aca="false">IF(OR($I21="",$I20=""),"",ROUND(ABS($I21-$I20),4))</f>
        <v/>
      </c>
      <c r="X21" s="6"/>
      <c r="Y21" s="28" t="str">
        <f aca="false">IF(OR($I21="",$I22=""),"",ROUND(ABS($I21-$I22),4))</f>
        <v/>
      </c>
      <c r="Z21" s="28" t="str">
        <f aca="false">IF(OR($I21="",$I23=""),"",ROUND(ABS($I21-$I23),4))</f>
        <v/>
      </c>
      <c r="AA21" s="28" t="str">
        <f aca="false">IF(OR($I21="",$I24=""),"",ROUND(ABS($I21-$I24),4))</f>
        <v/>
      </c>
      <c r="AB21" s="28" t="str">
        <f aca="false">IF(OR($I21="",$I25=""),"",ROUND(ABS($I21-$I25),4))</f>
        <v/>
      </c>
      <c r="AC21" s="28" t="str">
        <f aca="false">IF(OR($I21="",$I26=""),"",ROUND(ABS($I21-$I26),4))</f>
        <v/>
      </c>
      <c r="AD21" s="28" t="str">
        <f aca="false">IF(OR($I21="",$I27=""),"",ROUND(ABS($I21-$I27),4))</f>
        <v/>
      </c>
      <c r="AE21" s="28" t="str">
        <f aca="false">IF(OR($I21="",$I28=""),"",ROUND(ABS($I21-$I28),4))</f>
        <v/>
      </c>
      <c r="AF21" s="28" t="str">
        <f aca="false">IF(OR($I21="",$I29=""),"",ROUND(ABS($I21-$I29),4))</f>
        <v/>
      </c>
      <c r="AG21" s="28" t="str">
        <f aca="false">IF(OR($I21="",$I30=""),"",ROUND(ABS($I21-$I30),4))</f>
        <v/>
      </c>
      <c r="AI21" s="29" t="str">
        <f aca="false">IF(OR($I21="",$I15=""),"",ROUND((2*$I21-$I15)*1000,0))</f>
        <v/>
      </c>
      <c r="AJ21" s="29" t="str">
        <f aca="false">IF(OR($I21="",$I16=""),"",ROUND((2*$I21-$I16)*1000,0))</f>
        <v/>
      </c>
      <c r="AK21" s="29" t="str">
        <f aca="false">IF(OR($I21="",$I17=""),"",ROUND((2*$I21-$I17)*1000,0))</f>
        <v/>
      </c>
      <c r="AL21" s="29" t="str">
        <f aca="false">IF(OR($I21="",$I18=""),"",ROUND((2*$I21-$I18)*1000,0))</f>
        <v/>
      </c>
      <c r="AM21" s="29" t="str">
        <f aca="false">IF(OR($I21="",$I19=""),"",ROUND((2*$I21-$I19)*1000,0))</f>
        <v/>
      </c>
      <c r="AN21" s="29" t="str">
        <f aca="false">IF(OR($I21="",$I20=""),"",ROUND((2*$I21-$I20)*1000,0))</f>
        <v/>
      </c>
      <c r="AO21" s="6"/>
      <c r="AP21" s="29" t="str">
        <f aca="false">IF(OR($I21="",$I22=""),"",ROUND((2*$I21-$I22)*1000,0))</f>
        <v/>
      </c>
      <c r="AQ21" s="29" t="str">
        <f aca="false">IF(OR($I21="",$I23=""),"",ROUND((2*$I21-$I23)*1000,0))</f>
        <v/>
      </c>
      <c r="AR21" s="29" t="str">
        <f aca="false">IF(OR($I21="",$I24=""),"",ROUND((2*$I21-$I24)*1000,0))</f>
        <v/>
      </c>
      <c r="AS21" s="29" t="str">
        <f aca="false">IF(OR($I21="",$I25=""),"",ROUND((2*$I21-$I25)*1000,0))</f>
        <v/>
      </c>
      <c r="AT21" s="29" t="str">
        <f aca="false">IF(OR($I21="",$I26=""),"",ROUND((2*$I21-$I26)*1000,0))</f>
        <v/>
      </c>
      <c r="AU21" s="29" t="str">
        <f aca="false">IF(OR($I21="",$I27=""),"",ROUND((2*$I21-$I27)*1000,0))</f>
        <v/>
      </c>
      <c r="AV21" s="29" t="str">
        <f aca="false">IF(OR($I21="",$I28=""),"",ROUND((2*$I21-$I28)*1000,0))</f>
        <v/>
      </c>
      <c r="AW21" s="29" t="str">
        <f aca="false">IF(OR($I21="",$I29=""),"",ROUND((2*$I21-$I29)*1000,0))</f>
        <v/>
      </c>
      <c r="AX21" s="29" t="str">
        <f aca="false">IF(OR($I21="",$I30=""),"",ROUND((2*$I21-$I30)*1000,0))</f>
        <v/>
      </c>
    </row>
    <row r="22" customFormat="false" ht="21.75" hidden="false" customHeight="true" outlineLevel="0" collapsed="false">
      <c r="B22" s="23" t="n">
        <v>8</v>
      </c>
      <c r="C22" s="5"/>
      <c r="D22" s="5"/>
      <c r="E22" s="15"/>
      <c r="F22" s="15"/>
      <c r="G22" s="15"/>
      <c r="H22" s="15"/>
      <c r="I22" s="10"/>
      <c r="J22" s="24" t="str">
        <f aca="false">IF(I22="","",IF(AND(I22&gt;=470,I22&lt;698),INT((I22-470)/6)+14,"–"))</f>
        <v/>
      </c>
      <c r="K22" s="25" t="str">
        <f aca="false">IF(OR(I22="",COUNT($R22:$AG22)=0),"",MIN($R22:$AG22))</f>
        <v/>
      </c>
      <c r="L22" s="24" t="str">
        <f aca="false">IF(K22="","",MATCH(K22,$R22:$AG22,0))</f>
        <v/>
      </c>
      <c r="M22" s="24" t="str">
        <f aca="false">IF(I22="","",COUNTIFS($AI$15:$AX$30,"&gt;"&amp;ROUND((I22-$L$5)*1000,0),$AI$15:$AX$30,"&lt;"&amp;ROUND((I22+$L$5)*1000,0))-COUNTIFS($AI22:$AX22,"&gt;"&amp;ROUND((I22-$L$5)*1000,0),$AI22:$AX22,"&lt;"&amp;ROUND((I22+$L$5)*1000,0))-COUNTIFS(AP$15:AP$30,"&gt;"&amp;ROUND((I22-$L$5)*1000,0),AP$15:AP$30,"&lt;"&amp;ROUND((I22+$L$5)*1000,0)))</f>
        <v/>
      </c>
      <c r="N22" s="26" t="str">
        <f aca="false">IF(I22="",IF(AND(C22&lt;&gt;"",F22="2,4 GHz"),"Automática",""),IF(AND(K22&lt;&gt;"",K22&lt;0.0005),"Repetida",IF(AND(K22&lt;&gt;"",$L$4&lt;&gt;"",K22&lt;$L$4),"Próxima",IF(AND($L$6&lt;&gt;"",$L$7&lt;&gt;"",I22&gt;=$L$6,I22&lt;=$L$7),"Telefonia",IF(AND(I22&gt;=470,I22&lt;698,COUNTIF($E$9:$L$9,INT((I22-470)/6)+14)&gt;0),"TV",IF(M22&gt;0,"Intermod.","OK"))))))</f>
        <v/>
      </c>
      <c r="O22" s="27" t="str">
        <f aca="false">IF(N22="","",IF(N22="Automática","Sem frequência fixa: o sistema escolhe o canal. Afaste o receptor do roteador Wi-Fi",IF(N22="Repetida","Mesma frequência do sistema nº "&amp;L22&amp;": troque o canal de um dos dois",IF(N22="Próxima","Perto demais do sistema nº "&amp;L22&amp;": afaste as duas frequências",IF(N22="Telefonia","Dentro da faixa a evitar: troque de frequência ou de equipamento",IF(N22="TV","Dentro do canal de TV "&amp;J22&amp;", ativo na cidade: use um canal de TV livre",IF(N22="Intermod.","Há "&amp;M22&amp;" produto(s) de intermodulação perto: troque esta frequência ou use o grupo do fabricante","Manter")))))))</f>
        <v/>
      </c>
      <c r="P22" s="5"/>
      <c r="R22" s="28" t="str">
        <f aca="false">IF(OR($I22="",$I15=""),"",ROUND(ABS($I22-$I15),4))</f>
        <v/>
      </c>
      <c r="S22" s="28" t="str">
        <f aca="false">IF(OR($I22="",$I16=""),"",ROUND(ABS($I22-$I16),4))</f>
        <v/>
      </c>
      <c r="T22" s="28" t="str">
        <f aca="false">IF(OR($I22="",$I17=""),"",ROUND(ABS($I22-$I17),4))</f>
        <v/>
      </c>
      <c r="U22" s="28" t="str">
        <f aca="false">IF(OR($I22="",$I18=""),"",ROUND(ABS($I22-$I18),4))</f>
        <v/>
      </c>
      <c r="V22" s="28" t="str">
        <f aca="false">IF(OR($I22="",$I19=""),"",ROUND(ABS($I22-$I19),4))</f>
        <v/>
      </c>
      <c r="W22" s="28" t="str">
        <f aca="false">IF(OR($I22="",$I20=""),"",ROUND(ABS($I22-$I20),4))</f>
        <v/>
      </c>
      <c r="X22" s="28" t="str">
        <f aca="false">IF(OR($I22="",$I21=""),"",ROUND(ABS($I22-$I21),4))</f>
        <v/>
      </c>
      <c r="Y22" s="6"/>
      <c r="Z22" s="28" t="str">
        <f aca="false">IF(OR($I22="",$I23=""),"",ROUND(ABS($I22-$I23),4))</f>
        <v/>
      </c>
      <c r="AA22" s="28" t="str">
        <f aca="false">IF(OR($I22="",$I24=""),"",ROUND(ABS($I22-$I24),4))</f>
        <v/>
      </c>
      <c r="AB22" s="28" t="str">
        <f aca="false">IF(OR($I22="",$I25=""),"",ROUND(ABS($I22-$I25),4))</f>
        <v/>
      </c>
      <c r="AC22" s="28" t="str">
        <f aca="false">IF(OR($I22="",$I26=""),"",ROUND(ABS($I22-$I26),4))</f>
        <v/>
      </c>
      <c r="AD22" s="28" t="str">
        <f aca="false">IF(OR($I22="",$I27=""),"",ROUND(ABS($I22-$I27),4))</f>
        <v/>
      </c>
      <c r="AE22" s="28" t="str">
        <f aca="false">IF(OR($I22="",$I28=""),"",ROUND(ABS($I22-$I28),4))</f>
        <v/>
      </c>
      <c r="AF22" s="28" t="str">
        <f aca="false">IF(OR($I22="",$I29=""),"",ROUND(ABS($I22-$I29),4))</f>
        <v/>
      </c>
      <c r="AG22" s="28" t="str">
        <f aca="false">IF(OR($I22="",$I30=""),"",ROUND(ABS($I22-$I30),4))</f>
        <v/>
      </c>
      <c r="AI22" s="29" t="str">
        <f aca="false">IF(OR($I22="",$I15=""),"",ROUND((2*$I22-$I15)*1000,0))</f>
        <v/>
      </c>
      <c r="AJ22" s="29" t="str">
        <f aca="false">IF(OR($I22="",$I16=""),"",ROUND((2*$I22-$I16)*1000,0))</f>
        <v/>
      </c>
      <c r="AK22" s="29" t="str">
        <f aca="false">IF(OR($I22="",$I17=""),"",ROUND((2*$I22-$I17)*1000,0))</f>
        <v/>
      </c>
      <c r="AL22" s="29" t="str">
        <f aca="false">IF(OR($I22="",$I18=""),"",ROUND((2*$I22-$I18)*1000,0))</f>
        <v/>
      </c>
      <c r="AM22" s="29" t="str">
        <f aca="false">IF(OR($I22="",$I19=""),"",ROUND((2*$I22-$I19)*1000,0))</f>
        <v/>
      </c>
      <c r="AN22" s="29" t="str">
        <f aca="false">IF(OR($I22="",$I20=""),"",ROUND((2*$I22-$I20)*1000,0))</f>
        <v/>
      </c>
      <c r="AO22" s="29" t="str">
        <f aca="false">IF(OR($I22="",$I21=""),"",ROUND((2*$I22-$I21)*1000,0))</f>
        <v/>
      </c>
      <c r="AP22" s="6"/>
      <c r="AQ22" s="29" t="str">
        <f aca="false">IF(OR($I22="",$I23=""),"",ROUND((2*$I22-$I23)*1000,0))</f>
        <v/>
      </c>
      <c r="AR22" s="29" t="str">
        <f aca="false">IF(OR($I22="",$I24=""),"",ROUND((2*$I22-$I24)*1000,0))</f>
        <v/>
      </c>
      <c r="AS22" s="29" t="str">
        <f aca="false">IF(OR($I22="",$I25=""),"",ROUND((2*$I22-$I25)*1000,0))</f>
        <v/>
      </c>
      <c r="AT22" s="29" t="str">
        <f aca="false">IF(OR($I22="",$I26=""),"",ROUND((2*$I22-$I26)*1000,0))</f>
        <v/>
      </c>
      <c r="AU22" s="29" t="str">
        <f aca="false">IF(OR($I22="",$I27=""),"",ROUND((2*$I22-$I27)*1000,0))</f>
        <v/>
      </c>
      <c r="AV22" s="29" t="str">
        <f aca="false">IF(OR($I22="",$I28=""),"",ROUND((2*$I22-$I28)*1000,0))</f>
        <v/>
      </c>
      <c r="AW22" s="29" t="str">
        <f aca="false">IF(OR($I22="",$I29=""),"",ROUND((2*$I22-$I29)*1000,0))</f>
        <v/>
      </c>
      <c r="AX22" s="29" t="str">
        <f aca="false">IF(OR($I22="",$I30=""),"",ROUND((2*$I22-$I30)*1000,0))</f>
        <v/>
      </c>
    </row>
    <row r="23" customFormat="false" ht="21.75" hidden="false" customHeight="true" outlineLevel="0" collapsed="false">
      <c r="B23" s="23" t="n">
        <v>9</v>
      </c>
      <c r="C23" s="5"/>
      <c r="D23" s="5"/>
      <c r="E23" s="15"/>
      <c r="F23" s="15"/>
      <c r="G23" s="15"/>
      <c r="H23" s="15"/>
      <c r="I23" s="10"/>
      <c r="J23" s="24" t="str">
        <f aca="false">IF(I23="","",IF(AND(I23&gt;=470,I23&lt;698),INT((I23-470)/6)+14,"–"))</f>
        <v/>
      </c>
      <c r="K23" s="25" t="str">
        <f aca="false">IF(OR(I23="",COUNT($R23:$AG23)=0),"",MIN($R23:$AG23))</f>
        <v/>
      </c>
      <c r="L23" s="24" t="str">
        <f aca="false">IF(K23="","",MATCH(K23,$R23:$AG23,0))</f>
        <v/>
      </c>
      <c r="M23" s="24" t="str">
        <f aca="false">IF(I23="","",COUNTIFS($AI$15:$AX$30,"&gt;"&amp;ROUND((I23-$L$5)*1000,0),$AI$15:$AX$30,"&lt;"&amp;ROUND((I23+$L$5)*1000,0))-COUNTIFS($AI23:$AX23,"&gt;"&amp;ROUND((I23-$L$5)*1000,0),$AI23:$AX23,"&lt;"&amp;ROUND((I23+$L$5)*1000,0))-COUNTIFS(AQ$15:AQ$30,"&gt;"&amp;ROUND((I23-$L$5)*1000,0),AQ$15:AQ$30,"&lt;"&amp;ROUND((I23+$L$5)*1000,0)))</f>
        <v/>
      </c>
      <c r="N23" s="26" t="str">
        <f aca="false">IF(I23="",IF(AND(C23&lt;&gt;"",F23="2,4 GHz"),"Automática",""),IF(AND(K23&lt;&gt;"",K23&lt;0.0005),"Repetida",IF(AND(K23&lt;&gt;"",$L$4&lt;&gt;"",K23&lt;$L$4),"Próxima",IF(AND($L$6&lt;&gt;"",$L$7&lt;&gt;"",I23&gt;=$L$6,I23&lt;=$L$7),"Telefonia",IF(AND(I23&gt;=470,I23&lt;698,COUNTIF($E$9:$L$9,INT((I23-470)/6)+14)&gt;0),"TV",IF(M23&gt;0,"Intermod.","OK"))))))</f>
        <v/>
      </c>
      <c r="O23" s="27" t="str">
        <f aca="false">IF(N23="","",IF(N23="Automática","Sem frequência fixa: o sistema escolhe o canal. Afaste o receptor do roteador Wi-Fi",IF(N23="Repetida","Mesma frequência do sistema nº "&amp;L23&amp;": troque o canal de um dos dois",IF(N23="Próxima","Perto demais do sistema nº "&amp;L23&amp;": afaste as duas frequências",IF(N23="Telefonia","Dentro da faixa a evitar: troque de frequência ou de equipamento",IF(N23="TV","Dentro do canal de TV "&amp;J23&amp;", ativo na cidade: use um canal de TV livre",IF(N23="Intermod.","Há "&amp;M23&amp;" produto(s) de intermodulação perto: troque esta frequência ou use o grupo do fabricante","Manter")))))))</f>
        <v/>
      </c>
      <c r="P23" s="5"/>
      <c r="R23" s="28" t="str">
        <f aca="false">IF(OR($I23="",$I15=""),"",ROUND(ABS($I23-$I15),4))</f>
        <v/>
      </c>
      <c r="S23" s="28" t="str">
        <f aca="false">IF(OR($I23="",$I16=""),"",ROUND(ABS($I23-$I16),4))</f>
        <v/>
      </c>
      <c r="T23" s="28" t="str">
        <f aca="false">IF(OR($I23="",$I17=""),"",ROUND(ABS($I23-$I17),4))</f>
        <v/>
      </c>
      <c r="U23" s="28" t="str">
        <f aca="false">IF(OR($I23="",$I18=""),"",ROUND(ABS($I23-$I18),4))</f>
        <v/>
      </c>
      <c r="V23" s="28" t="str">
        <f aca="false">IF(OR($I23="",$I19=""),"",ROUND(ABS($I23-$I19),4))</f>
        <v/>
      </c>
      <c r="W23" s="28" t="str">
        <f aca="false">IF(OR($I23="",$I20=""),"",ROUND(ABS($I23-$I20),4))</f>
        <v/>
      </c>
      <c r="X23" s="28" t="str">
        <f aca="false">IF(OR($I23="",$I21=""),"",ROUND(ABS($I23-$I21),4))</f>
        <v/>
      </c>
      <c r="Y23" s="28" t="str">
        <f aca="false">IF(OR($I23="",$I22=""),"",ROUND(ABS($I23-$I22),4))</f>
        <v/>
      </c>
      <c r="Z23" s="6"/>
      <c r="AA23" s="28" t="str">
        <f aca="false">IF(OR($I23="",$I24=""),"",ROUND(ABS($I23-$I24),4))</f>
        <v/>
      </c>
      <c r="AB23" s="28" t="str">
        <f aca="false">IF(OR($I23="",$I25=""),"",ROUND(ABS($I23-$I25),4))</f>
        <v/>
      </c>
      <c r="AC23" s="28" t="str">
        <f aca="false">IF(OR($I23="",$I26=""),"",ROUND(ABS($I23-$I26),4))</f>
        <v/>
      </c>
      <c r="AD23" s="28" t="str">
        <f aca="false">IF(OR($I23="",$I27=""),"",ROUND(ABS($I23-$I27),4))</f>
        <v/>
      </c>
      <c r="AE23" s="28" t="str">
        <f aca="false">IF(OR($I23="",$I28=""),"",ROUND(ABS($I23-$I28),4))</f>
        <v/>
      </c>
      <c r="AF23" s="28" t="str">
        <f aca="false">IF(OR($I23="",$I29=""),"",ROUND(ABS($I23-$I29),4))</f>
        <v/>
      </c>
      <c r="AG23" s="28" t="str">
        <f aca="false">IF(OR($I23="",$I30=""),"",ROUND(ABS($I23-$I30),4))</f>
        <v/>
      </c>
      <c r="AI23" s="29" t="str">
        <f aca="false">IF(OR($I23="",$I15=""),"",ROUND((2*$I23-$I15)*1000,0))</f>
        <v/>
      </c>
      <c r="AJ23" s="29" t="str">
        <f aca="false">IF(OR($I23="",$I16=""),"",ROUND((2*$I23-$I16)*1000,0))</f>
        <v/>
      </c>
      <c r="AK23" s="29" t="str">
        <f aca="false">IF(OR($I23="",$I17=""),"",ROUND((2*$I23-$I17)*1000,0))</f>
        <v/>
      </c>
      <c r="AL23" s="29" t="str">
        <f aca="false">IF(OR($I23="",$I18=""),"",ROUND((2*$I23-$I18)*1000,0))</f>
        <v/>
      </c>
      <c r="AM23" s="29" t="str">
        <f aca="false">IF(OR($I23="",$I19=""),"",ROUND((2*$I23-$I19)*1000,0))</f>
        <v/>
      </c>
      <c r="AN23" s="29" t="str">
        <f aca="false">IF(OR($I23="",$I20=""),"",ROUND((2*$I23-$I20)*1000,0))</f>
        <v/>
      </c>
      <c r="AO23" s="29" t="str">
        <f aca="false">IF(OR($I23="",$I21=""),"",ROUND((2*$I23-$I21)*1000,0))</f>
        <v/>
      </c>
      <c r="AP23" s="29" t="str">
        <f aca="false">IF(OR($I23="",$I22=""),"",ROUND((2*$I23-$I22)*1000,0))</f>
        <v/>
      </c>
      <c r="AQ23" s="6"/>
      <c r="AR23" s="29" t="str">
        <f aca="false">IF(OR($I23="",$I24=""),"",ROUND((2*$I23-$I24)*1000,0))</f>
        <v/>
      </c>
      <c r="AS23" s="29" t="str">
        <f aca="false">IF(OR($I23="",$I25=""),"",ROUND((2*$I23-$I25)*1000,0))</f>
        <v/>
      </c>
      <c r="AT23" s="29" t="str">
        <f aca="false">IF(OR($I23="",$I26=""),"",ROUND((2*$I23-$I26)*1000,0))</f>
        <v/>
      </c>
      <c r="AU23" s="29" t="str">
        <f aca="false">IF(OR($I23="",$I27=""),"",ROUND((2*$I23-$I27)*1000,0))</f>
        <v/>
      </c>
      <c r="AV23" s="29" t="str">
        <f aca="false">IF(OR($I23="",$I28=""),"",ROUND((2*$I23-$I28)*1000,0))</f>
        <v/>
      </c>
      <c r="AW23" s="29" t="str">
        <f aca="false">IF(OR($I23="",$I29=""),"",ROUND((2*$I23-$I29)*1000,0))</f>
        <v/>
      </c>
      <c r="AX23" s="29" t="str">
        <f aca="false">IF(OR($I23="",$I30=""),"",ROUND((2*$I23-$I30)*1000,0))</f>
        <v/>
      </c>
    </row>
    <row r="24" customFormat="false" ht="21.75" hidden="false" customHeight="true" outlineLevel="0" collapsed="false">
      <c r="B24" s="23" t="n">
        <v>10</v>
      </c>
      <c r="C24" s="5"/>
      <c r="D24" s="5"/>
      <c r="E24" s="15"/>
      <c r="F24" s="15"/>
      <c r="G24" s="15"/>
      <c r="H24" s="15"/>
      <c r="I24" s="10"/>
      <c r="J24" s="24" t="str">
        <f aca="false">IF(I24="","",IF(AND(I24&gt;=470,I24&lt;698),INT((I24-470)/6)+14,"–"))</f>
        <v/>
      </c>
      <c r="K24" s="25" t="str">
        <f aca="false">IF(OR(I24="",COUNT($R24:$AG24)=0),"",MIN($R24:$AG24))</f>
        <v/>
      </c>
      <c r="L24" s="24" t="str">
        <f aca="false">IF(K24="","",MATCH(K24,$R24:$AG24,0))</f>
        <v/>
      </c>
      <c r="M24" s="24" t="str">
        <f aca="false">IF(I24="","",COUNTIFS($AI$15:$AX$30,"&gt;"&amp;ROUND((I24-$L$5)*1000,0),$AI$15:$AX$30,"&lt;"&amp;ROUND((I24+$L$5)*1000,0))-COUNTIFS($AI24:$AX24,"&gt;"&amp;ROUND((I24-$L$5)*1000,0),$AI24:$AX24,"&lt;"&amp;ROUND((I24+$L$5)*1000,0))-COUNTIFS(AR$15:AR$30,"&gt;"&amp;ROUND((I24-$L$5)*1000,0),AR$15:AR$30,"&lt;"&amp;ROUND((I24+$L$5)*1000,0)))</f>
        <v/>
      </c>
      <c r="N24" s="26" t="str">
        <f aca="false">IF(I24="",IF(AND(C24&lt;&gt;"",F24="2,4 GHz"),"Automática",""),IF(AND(K24&lt;&gt;"",K24&lt;0.0005),"Repetida",IF(AND(K24&lt;&gt;"",$L$4&lt;&gt;"",K24&lt;$L$4),"Próxima",IF(AND($L$6&lt;&gt;"",$L$7&lt;&gt;"",I24&gt;=$L$6,I24&lt;=$L$7),"Telefonia",IF(AND(I24&gt;=470,I24&lt;698,COUNTIF($E$9:$L$9,INT((I24-470)/6)+14)&gt;0),"TV",IF(M24&gt;0,"Intermod.","OK"))))))</f>
        <v/>
      </c>
      <c r="O24" s="27" t="str">
        <f aca="false">IF(N24="","",IF(N24="Automática","Sem frequência fixa: o sistema escolhe o canal. Afaste o receptor do roteador Wi-Fi",IF(N24="Repetida","Mesma frequência do sistema nº "&amp;L24&amp;": troque o canal de um dos dois",IF(N24="Próxima","Perto demais do sistema nº "&amp;L24&amp;": afaste as duas frequências",IF(N24="Telefonia","Dentro da faixa a evitar: troque de frequência ou de equipamento",IF(N24="TV","Dentro do canal de TV "&amp;J24&amp;", ativo na cidade: use um canal de TV livre",IF(N24="Intermod.","Há "&amp;M24&amp;" produto(s) de intermodulação perto: troque esta frequência ou use o grupo do fabricante","Manter")))))))</f>
        <v/>
      </c>
      <c r="P24" s="5"/>
      <c r="R24" s="28" t="str">
        <f aca="false">IF(OR($I24="",$I15=""),"",ROUND(ABS($I24-$I15),4))</f>
        <v/>
      </c>
      <c r="S24" s="28" t="str">
        <f aca="false">IF(OR($I24="",$I16=""),"",ROUND(ABS($I24-$I16),4))</f>
        <v/>
      </c>
      <c r="T24" s="28" t="str">
        <f aca="false">IF(OR($I24="",$I17=""),"",ROUND(ABS($I24-$I17),4))</f>
        <v/>
      </c>
      <c r="U24" s="28" t="str">
        <f aca="false">IF(OR($I24="",$I18=""),"",ROUND(ABS($I24-$I18),4))</f>
        <v/>
      </c>
      <c r="V24" s="28" t="str">
        <f aca="false">IF(OR($I24="",$I19=""),"",ROUND(ABS($I24-$I19),4))</f>
        <v/>
      </c>
      <c r="W24" s="28" t="str">
        <f aca="false">IF(OR($I24="",$I20=""),"",ROUND(ABS($I24-$I20),4))</f>
        <v/>
      </c>
      <c r="X24" s="28" t="str">
        <f aca="false">IF(OR($I24="",$I21=""),"",ROUND(ABS($I24-$I21),4))</f>
        <v/>
      </c>
      <c r="Y24" s="28" t="str">
        <f aca="false">IF(OR($I24="",$I22=""),"",ROUND(ABS($I24-$I22),4))</f>
        <v/>
      </c>
      <c r="Z24" s="28" t="str">
        <f aca="false">IF(OR($I24="",$I23=""),"",ROUND(ABS($I24-$I23),4))</f>
        <v/>
      </c>
      <c r="AA24" s="6"/>
      <c r="AB24" s="28" t="str">
        <f aca="false">IF(OR($I24="",$I25=""),"",ROUND(ABS($I24-$I25),4))</f>
        <v/>
      </c>
      <c r="AC24" s="28" t="str">
        <f aca="false">IF(OR($I24="",$I26=""),"",ROUND(ABS($I24-$I26),4))</f>
        <v/>
      </c>
      <c r="AD24" s="28" t="str">
        <f aca="false">IF(OR($I24="",$I27=""),"",ROUND(ABS($I24-$I27),4))</f>
        <v/>
      </c>
      <c r="AE24" s="28" t="str">
        <f aca="false">IF(OR($I24="",$I28=""),"",ROUND(ABS($I24-$I28),4))</f>
        <v/>
      </c>
      <c r="AF24" s="28" t="str">
        <f aca="false">IF(OR($I24="",$I29=""),"",ROUND(ABS($I24-$I29),4))</f>
        <v/>
      </c>
      <c r="AG24" s="28" t="str">
        <f aca="false">IF(OR($I24="",$I30=""),"",ROUND(ABS($I24-$I30),4))</f>
        <v/>
      </c>
      <c r="AI24" s="29" t="str">
        <f aca="false">IF(OR($I24="",$I15=""),"",ROUND((2*$I24-$I15)*1000,0))</f>
        <v/>
      </c>
      <c r="AJ24" s="29" t="str">
        <f aca="false">IF(OR($I24="",$I16=""),"",ROUND((2*$I24-$I16)*1000,0))</f>
        <v/>
      </c>
      <c r="AK24" s="29" t="str">
        <f aca="false">IF(OR($I24="",$I17=""),"",ROUND((2*$I24-$I17)*1000,0))</f>
        <v/>
      </c>
      <c r="AL24" s="29" t="str">
        <f aca="false">IF(OR($I24="",$I18=""),"",ROUND((2*$I24-$I18)*1000,0))</f>
        <v/>
      </c>
      <c r="AM24" s="29" t="str">
        <f aca="false">IF(OR($I24="",$I19=""),"",ROUND((2*$I24-$I19)*1000,0))</f>
        <v/>
      </c>
      <c r="AN24" s="29" t="str">
        <f aca="false">IF(OR($I24="",$I20=""),"",ROUND((2*$I24-$I20)*1000,0))</f>
        <v/>
      </c>
      <c r="AO24" s="29" t="str">
        <f aca="false">IF(OR($I24="",$I21=""),"",ROUND((2*$I24-$I21)*1000,0))</f>
        <v/>
      </c>
      <c r="AP24" s="29" t="str">
        <f aca="false">IF(OR($I24="",$I22=""),"",ROUND((2*$I24-$I22)*1000,0))</f>
        <v/>
      </c>
      <c r="AQ24" s="29" t="str">
        <f aca="false">IF(OR($I24="",$I23=""),"",ROUND((2*$I24-$I23)*1000,0))</f>
        <v/>
      </c>
      <c r="AR24" s="6"/>
      <c r="AS24" s="29" t="str">
        <f aca="false">IF(OR($I24="",$I25=""),"",ROUND((2*$I24-$I25)*1000,0))</f>
        <v/>
      </c>
      <c r="AT24" s="29" t="str">
        <f aca="false">IF(OR($I24="",$I26=""),"",ROUND((2*$I24-$I26)*1000,0))</f>
        <v/>
      </c>
      <c r="AU24" s="29" t="str">
        <f aca="false">IF(OR($I24="",$I27=""),"",ROUND((2*$I24-$I27)*1000,0))</f>
        <v/>
      </c>
      <c r="AV24" s="29" t="str">
        <f aca="false">IF(OR($I24="",$I28=""),"",ROUND((2*$I24-$I28)*1000,0))</f>
        <v/>
      </c>
      <c r="AW24" s="29" t="str">
        <f aca="false">IF(OR($I24="",$I29=""),"",ROUND((2*$I24-$I29)*1000,0))</f>
        <v/>
      </c>
      <c r="AX24" s="29" t="str">
        <f aca="false">IF(OR($I24="",$I30=""),"",ROUND((2*$I24-$I30)*1000,0))</f>
        <v/>
      </c>
    </row>
    <row r="25" customFormat="false" ht="21.75" hidden="false" customHeight="true" outlineLevel="0" collapsed="false">
      <c r="B25" s="23" t="n">
        <v>11</v>
      </c>
      <c r="C25" s="5"/>
      <c r="D25" s="5"/>
      <c r="E25" s="15"/>
      <c r="F25" s="15"/>
      <c r="G25" s="15"/>
      <c r="H25" s="15"/>
      <c r="I25" s="10"/>
      <c r="J25" s="24" t="str">
        <f aca="false">IF(I25="","",IF(AND(I25&gt;=470,I25&lt;698),INT((I25-470)/6)+14,"–"))</f>
        <v/>
      </c>
      <c r="K25" s="25" t="str">
        <f aca="false">IF(OR(I25="",COUNT($R25:$AG25)=0),"",MIN($R25:$AG25))</f>
        <v/>
      </c>
      <c r="L25" s="24" t="str">
        <f aca="false">IF(K25="","",MATCH(K25,$R25:$AG25,0))</f>
        <v/>
      </c>
      <c r="M25" s="24" t="str">
        <f aca="false">IF(I25="","",COUNTIFS($AI$15:$AX$30,"&gt;"&amp;ROUND((I25-$L$5)*1000,0),$AI$15:$AX$30,"&lt;"&amp;ROUND((I25+$L$5)*1000,0))-COUNTIFS($AI25:$AX25,"&gt;"&amp;ROUND((I25-$L$5)*1000,0),$AI25:$AX25,"&lt;"&amp;ROUND((I25+$L$5)*1000,0))-COUNTIFS(AS$15:AS$30,"&gt;"&amp;ROUND((I25-$L$5)*1000,0),AS$15:AS$30,"&lt;"&amp;ROUND((I25+$L$5)*1000,0)))</f>
        <v/>
      </c>
      <c r="N25" s="26" t="str">
        <f aca="false">IF(I25="",IF(AND(C25&lt;&gt;"",F25="2,4 GHz"),"Automática",""),IF(AND(K25&lt;&gt;"",K25&lt;0.0005),"Repetida",IF(AND(K25&lt;&gt;"",$L$4&lt;&gt;"",K25&lt;$L$4),"Próxima",IF(AND($L$6&lt;&gt;"",$L$7&lt;&gt;"",I25&gt;=$L$6,I25&lt;=$L$7),"Telefonia",IF(AND(I25&gt;=470,I25&lt;698,COUNTIF($E$9:$L$9,INT((I25-470)/6)+14)&gt;0),"TV",IF(M25&gt;0,"Intermod.","OK"))))))</f>
        <v/>
      </c>
      <c r="O25" s="27" t="str">
        <f aca="false">IF(N25="","",IF(N25="Automática","Sem frequência fixa: o sistema escolhe o canal. Afaste o receptor do roteador Wi-Fi",IF(N25="Repetida","Mesma frequência do sistema nº "&amp;L25&amp;": troque o canal de um dos dois",IF(N25="Próxima","Perto demais do sistema nº "&amp;L25&amp;": afaste as duas frequências",IF(N25="Telefonia","Dentro da faixa a evitar: troque de frequência ou de equipamento",IF(N25="TV","Dentro do canal de TV "&amp;J25&amp;", ativo na cidade: use um canal de TV livre",IF(N25="Intermod.","Há "&amp;M25&amp;" produto(s) de intermodulação perto: troque esta frequência ou use o grupo do fabricante","Manter")))))))</f>
        <v/>
      </c>
      <c r="P25" s="5"/>
      <c r="R25" s="28" t="str">
        <f aca="false">IF(OR($I25="",$I15=""),"",ROUND(ABS($I25-$I15),4))</f>
        <v/>
      </c>
      <c r="S25" s="28" t="str">
        <f aca="false">IF(OR($I25="",$I16=""),"",ROUND(ABS($I25-$I16),4))</f>
        <v/>
      </c>
      <c r="T25" s="28" t="str">
        <f aca="false">IF(OR($I25="",$I17=""),"",ROUND(ABS($I25-$I17),4))</f>
        <v/>
      </c>
      <c r="U25" s="28" t="str">
        <f aca="false">IF(OR($I25="",$I18=""),"",ROUND(ABS($I25-$I18),4))</f>
        <v/>
      </c>
      <c r="V25" s="28" t="str">
        <f aca="false">IF(OR($I25="",$I19=""),"",ROUND(ABS($I25-$I19),4))</f>
        <v/>
      </c>
      <c r="W25" s="28" t="str">
        <f aca="false">IF(OR($I25="",$I20=""),"",ROUND(ABS($I25-$I20),4))</f>
        <v/>
      </c>
      <c r="X25" s="28" t="str">
        <f aca="false">IF(OR($I25="",$I21=""),"",ROUND(ABS($I25-$I21),4))</f>
        <v/>
      </c>
      <c r="Y25" s="28" t="str">
        <f aca="false">IF(OR($I25="",$I22=""),"",ROUND(ABS($I25-$I22),4))</f>
        <v/>
      </c>
      <c r="Z25" s="28" t="str">
        <f aca="false">IF(OR($I25="",$I23=""),"",ROUND(ABS($I25-$I23),4))</f>
        <v/>
      </c>
      <c r="AA25" s="28" t="str">
        <f aca="false">IF(OR($I25="",$I24=""),"",ROUND(ABS($I25-$I24),4))</f>
        <v/>
      </c>
      <c r="AB25" s="6"/>
      <c r="AC25" s="28" t="str">
        <f aca="false">IF(OR($I25="",$I26=""),"",ROUND(ABS($I25-$I26),4))</f>
        <v/>
      </c>
      <c r="AD25" s="28" t="str">
        <f aca="false">IF(OR($I25="",$I27=""),"",ROUND(ABS($I25-$I27),4))</f>
        <v/>
      </c>
      <c r="AE25" s="28" t="str">
        <f aca="false">IF(OR($I25="",$I28=""),"",ROUND(ABS($I25-$I28),4))</f>
        <v/>
      </c>
      <c r="AF25" s="28" t="str">
        <f aca="false">IF(OR($I25="",$I29=""),"",ROUND(ABS($I25-$I29),4))</f>
        <v/>
      </c>
      <c r="AG25" s="28" t="str">
        <f aca="false">IF(OR($I25="",$I30=""),"",ROUND(ABS($I25-$I30),4))</f>
        <v/>
      </c>
      <c r="AI25" s="29" t="str">
        <f aca="false">IF(OR($I25="",$I15=""),"",ROUND((2*$I25-$I15)*1000,0))</f>
        <v/>
      </c>
      <c r="AJ25" s="29" t="str">
        <f aca="false">IF(OR($I25="",$I16=""),"",ROUND((2*$I25-$I16)*1000,0))</f>
        <v/>
      </c>
      <c r="AK25" s="29" t="str">
        <f aca="false">IF(OR($I25="",$I17=""),"",ROUND((2*$I25-$I17)*1000,0))</f>
        <v/>
      </c>
      <c r="AL25" s="29" t="str">
        <f aca="false">IF(OR($I25="",$I18=""),"",ROUND((2*$I25-$I18)*1000,0))</f>
        <v/>
      </c>
      <c r="AM25" s="29" t="str">
        <f aca="false">IF(OR($I25="",$I19=""),"",ROUND((2*$I25-$I19)*1000,0))</f>
        <v/>
      </c>
      <c r="AN25" s="29" t="str">
        <f aca="false">IF(OR($I25="",$I20=""),"",ROUND((2*$I25-$I20)*1000,0))</f>
        <v/>
      </c>
      <c r="AO25" s="29" t="str">
        <f aca="false">IF(OR($I25="",$I21=""),"",ROUND((2*$I25-$I21)*1000,0))</f>
        <v/>
      </c>
      <c r="AP25" s="29" t="str">
        <f aca="false">IF(OR($I25="",$I22=""),"",ROUND((2*$I25-$I22)*1000,0))</f>
        <v/>
      </c>
      <c r="AQ25" s="29" t="str">
        <f aca="false">IF(OR($I25="",$I23=""),"",ROUND((2*$I25-$I23)*1000,0))</f>
        <v/>
      </c>
      <c r="AR25" s="29" t="str">
        <f aca="false">IF(OR($I25="",$I24=""),"",ROUND((2*$I25-$I24)*1000,0))</f>
        <v/>
      </c>
      <c r="AS25" s="6"/>
      <c r="AT25" s="29" t="str">
        <f aca="false">IF(OR($I25="",$I26=""),"",ROUND((2*$I25-$I26)*1000,0))</f>
        <v/>
      </c>
      <c r="AU25" s="29" t="str">
        <f aca="false">IF(OR($I25="",$I27=""),"",ROUND((2*$I25-$I27)*1000,0))</f>
        <v/>
      </c>
      <c r="AV25" s="29" t="str">
        <f aca="false">IF(OR($I25="",$I28=""),"",ROUND((2*$I25-$I28)*1000,0))</f>
        <v/>
      </c>
      <c r="AW25" s="29" t="str">
        <f aca="false">IF(OR($I25="",$I29=""),"",ROUND((2*$I25-$I29)*1000,0))</f>
        <v/>
      </c>
      <c r="AX25" s="29" t="str">
        <f aca="false">IF(OR($I25="",$I30=""),"",ROUND((2*$I25-$I30)*1000,0))</f>
        <v/>
      </c>
    </row>
    <row r="26" customFormat="false" ht="21.75" hidden="false" customHeight="true" outlineLevel="0" collapsed="false">
      <c r="B26" s="23" t="n">
        <v>12</v>
      </c>
      <c r="C26" s="5"/>
      <c r="D26" s="5"/>
      <c r="E26" s="15"/>
      <c r="F26" s="15"/>
      <c r="G26" s="15"/>
      <c r="H26" s="15"/>
      <c r="I26" s="10"/>
      <c r="J26" s="24" t="str">
        <f aca="false">IF(I26="","",IF(AND(I26&gt;=470,I26&lt;698),INT((I26-470)/6)+14,"–"))</f>
        <v/>
      </c>
      <c r="K26" s="25" t="str">
        <f aca="false">IF(OR(I26="",COUNT($R26:$AG26)=0),"",MIN($R26:$AG26))</f>
        <v/>
      </c>
      <c r="L26" s="24" t="str">
        <f aca="false">IF(K26="","",MATCH(K26,$R26:$AG26,0))</f>
        <v/>
      </c>
      <c r="M26" s="24" t="str">
        <f aca="false">IF(I26="","",COUNTIFS($AI$15:$AX$30,"&gt;"&amp;ROUND((I26-$L$5)*1000,0),$AI$15:$AX$30,"&lt;"&amp;ROUND((I26+$L$5)*1000,0))-COUNTIFS($AI26:$AX26,"&gt;"&amp;ROUND((I26-$L$5)*1000,0),$AI26:$AX26,"&lt;"&amp;ROUND((I26+$L$5)*1000,0))-COUNTIFS(AT$15:AT$30,"&gt;"&amp;ROUND((I26-$L$5)*1000,0),AT$15:AT$30,"&lt;"&amp;ROUND((I26+$L$5)*1000,0)))</f>
        <v/>
      </c>
      <c r="N26" s="26" t="str">
        <f aca="false">IF(I26="",IF(AND(C26&lt;&gt;"",F26="2,4 GHz"),"Automática",""),IF(AND(K26&lt;&gt;"",K26&lt;0.0005),"Repetida",IF(AND(K26&lt;&gt;"",$L$4&lt;&gt;"",K26&lt;$L$4),"Próxima",IF(AND($L$6&lt;&gt;"",$L$7&lt;&gt;"",I26&gt;=$L$6,I26&lt;=$L$7),"Telefonia",IF(AND(I26&gt;=470,I26&lt;698,COUNTIF($E$9:$L$9,INT((I26-470)/6)+14)&gt;0),"TV",IF(M26&gt;0,"Intermod.","OK"))))))</f>
        <v/>
      </c>
      <c r="O26" s="27" t="str">
        <f aca="false">IF(N26="","",IF(N26="Automática","Sem frequência fixa: o sistema escolhe o canal. Afaste o receptor do roteador Wi-Fi",IF(N26="Repetida","Mesma frequência do sistema nº "&amp;L26&amp;": troque o canal de um dos dois",IF(N26="Próxima","Perto demais do sistema nº "&amp;L26&amp;": afaste as duas frequências",IF(N26="Telefonia","Dentro da faixa a evitar: troque de frequência ou de equipamento",IF(N26="TV","Dentro do canal de TV "&amp;J26&amp;", ativo na cidade: use um canal de TV livre",IF(N26="Intermod.","Há "&amp;M26&amp;" produto(s) de intermodulação perto: troque esta frequência ou use o grupo do fabricante","Manter")))))))</f>
        <v/>
      </c>
      <c r="P26" s="5"/>
      <c r="R26" s="28" t="str">
        <f aca="false">IF(OR($I26="",$I15=""),"",ROUND(ABS($I26-$I15),4))</f>
        <v/>
      </c>
      <c r="S26" s="28" t="str">
        <f aca="false">IF(OR($I26="",$I16=""),"",ROUND(ABS($I26-$I16),4))</f>
        <v/>
      </c>
      <c r="T26" s="28" t="str">
        <f aca="false">IF(OR($I26="",$I17=""),"",ROUND(ABS($I26-$I17),4))</f>
        <v/>
      </c>
      <c r="U26" s="28" t="str">
        <f aca="false">IF(OR($I26="",$I18=""),"",ROUND(ABS($I26-$I18),4))</f>
        <v/>
      </c>
      <c r="V26" s="28" t="str">
        <f aca="false">IF(OR($I26="",$I19=""),"",ROUND(ABS($I26-$I19),4))</f>
        <v/>
      </c>
      <c r="W26" s="28" t="str">
        <f aca="false">IF(OR($I26="",$I20=""),"",ROUND(ABS($I26-$I20),4))</f>
        <v/>
      </c>
      <c r="X26" s="28" t="str">
        <f aca="false">IF(OR($I26="",$I21=""),"",ROUND(ABS($I26-$I21),4))</f>
        <v/>
      </c>
      <c r="Y26" s="28" t="str">
        <f aca="false">IF(OR($I26="",$I22=""),"",ROUND(ABS($I26-$I22),4))</f>
        <v/>
      </c>
      <c r="Z26" s="28" t="str">
        <f aca="false">IF(OR($I26="",$I23=""),"",ROUND(ABS($I26-$I23),4))</f>
        <v/>
      </c>
      <c r="AA26" s="28" t="str">
        <f aca="false">IF(OR($I26="",$I24=""),"",ROUND(ABS($I26-$I24),4))</f>
        <v/>
      </c>
      <c r="AB26" s="28" t="str">
        <f aca="false">IF(OR($I26="",$I25=""),"",ROUND(ABS($I26-$I25),4))</f>
        <v/>
      </c>
      <c r="AC26" s="6"/>
      <c r="AD26" s="28" t="str">
        <f aca="false">IF(OR($I26="",$I27=""),"",ROUND(ABS($I26-$I27),4))</f>
        <v/>
      </c>
      <c r="AE26" s="28" t="str">
        <f aca="false">IF(OR($I26="",$I28=""),"",ROUND(ABS($I26-$I28),4))</f>
        <v/>
      </c>
      <c r="AF26" s="28" t="str">
        <f aca="false">IF(OR($I26="",$I29=""),"",ROUND(ABS($I26-$I29),4))</f>
        <v/>
      </c>
      <c r="AG26" s="28" t="str">
        <f aca="false">IF(OR($I26="",$I30=""),"",ROUND(ABS($I26-$I30),4))</f>
        <v/>
      </c>
      <c r="AI26" s="29" t="str">
        <f aca="false">IF(OR($I26="",$I15=""),"",ROUND((2*$I26-$I15)*1000,0))</f>
        <v/>
      </c>
      <c r="AJ26" s="29" t="str">
        <f aca="false">IF(OR($I26="",$I16=""),"",ROUND((2*$I26-$I16)*1000,0))</f>
        <v/>
      </c>
      <c r="AK26" s="29" t="str">
        <f aca="false">IF(OR($I26="",$I17=""),"",ROUND((2*$I26-$I17)*1000,0))</f>
        <v/>
      </c>
      <c r="AL26" s="29" t="str">
        <f aca="false">IF(OR($I26="",$I18=""),"",ROUND((2*$I26-$I18)*1000,0))</f>
        <v/>
      </c>
      <c r="AM26" s="29" t="str">
        <f aca="false">IF(OR($I26="",$I19=""),"",ROUND((2*$I26-$I19)*1000,0))</f>
        <v/>
      </c>
      <c r="AN26" s="29" t="str">
        <f aca="false">IF(OR($I26="",$I20=""),"",ROUND((2*$I26-$I20)*1000,0))</f>
        <v/>
      </c>
      <c r="AO26" s="29" t="str">
        <f aca="false">IF(OR($I26="",$I21=""),"",ROUND((2*$I26-$I21)*1000,0))</f>
        <v/>
      </c>
      <c r="AP26" s="29" t="str">
        <f aca="false">IF(OR($I26="",$I22=""),"",ROUND((2*$I26-$I22)*1000,0))</f>
        <v/>
      </c>
      <c r="AQ26" s="29" t="str">
        <f aca="false">IF(OR($I26="",$I23=""),"",ROUND((2*$I26-$I23)*1000,0))</f>
        <v/>
      </c>
      <c r="AR26" s="29" t="str">
        <f aca="false">IF(OR($I26="",$I24=""),"",ROUND((2*$I26-$I24)*1000,0))</f>
        <v/>
      </c>
      <c r="AS26" s="29" t="str">
        <f aca="false">IF(OR($I26="",$I25=""),"",ROUND((2*$I26-$I25)*1000,0))</f>
        <v/>
      </c>
      <c r="AT26" s="6"/>
      <c r="AU26" s="29" t="str">
        <f aca="false">IF(OR($I26="",$I27=""),"",ROUND((2*$I26-$I27)*1000,0))</f>
        <v/>
      </c>
      <c r="AV26" s="29" t="str">
        <f aca="false">IF(OR($I26="",$I28=""),"",ROUND((2*$I26-$I28)*1000,0))</f>
        <v/>
      </c>
      <c r="AW26" s="29" t="str">
        <f aca="false">IF(OR($I26="",$I29=""),"",ROUND((2*$I26-$I29)*1000,0))</f>
        <v/>
      </c>
      <c r="AX26" s="29" t="str">
        <f aca="false">IF(OR($I26="",$I30=""),"",ROUND((2*$I26-$I30)*1000,0))</f>
        <v/>
      </c>
    </row>
    <row r="27" customFormat="false" ht="21.75" hidden="false" customHeight="true" outlineLevel="0" collapsed="false">
      <c r="B27" s="23" t="n">
        <v>13</v>
      </c>
      <c r="C27" s="5"/>
      <c r="D27" s="5"/>
      <c r="E27" s="15"/>
      <c r="F27" s="15"/>
      <c r="G27" s="15"/>
      <c r="H27" s="15"/>
      <c r="I27" s="10"/>
      <c r="J27" s="24" t="str">
        <f aca="false">IF(I27="","",IF(AND(I27&gt;=470,I27&lt;698),INT((I27-470)/6)+14,"–"))</f>
        <v/>
      </c>
      <c r="K27" s="25" t="str">
        <f aca="false">IF(OR(I27="",COUNT($R27:$AG27)=0),"",MIN($R27:$AG27))</f>
        <v/>
      </c>
      <c r="L27" s="24" t="str">
        <f aca="false">IF(K27="","",MATCH(K27,$R27:$AG27,0))</f>
        <v/>
      </c>
      <c r="M27" s="24" t="str">
        <f aca="false">IF(I27="","",COUNTIFS($AI$15:$AX$30,"&gt;"&amp;ROUND((I27-$L$5)*1000,0),$AI$15:$AX$30,"&lt;"&amp;ROUND((I27+$L$5)*1000,0))-COUNTIFS($AI27:$AX27,"&gt;"&amp;ROUND((I27-$L$5)*1000,0),$AI27:$AX27,"&lt;"&amp;ROUND((I27+$L$5)*1000,0))-COUNTIFS(AU$15:AU$30,"&gt;"&amp;ROUND((I27-$L$5)*1000,0),AU$15:AU$30,"&lt;"&amp;ROUND((I27+$L$5)*1000,0)))</f>
        <v/>
      </c>
      <c r="N27" s="26" t="str">
        <f aca="false">IF(I27="",IF(AND(C27&lt;&gt;"",F27="2,4 GHz"),"Automática",""),IF(AND(K27&lt;&gt;"",K27&lt;0.0005),"Repetida",IF(AND(K27&lt;&gt;"",$L$4&lt;&gt;"",K27&lt;$L$4),"Próxima",IF(AND($L$6&lt;&gt;"",$L$7&lt;&gt;"",I27&gt;=$L$6,I27&lt;=$L$7),"Telefonia",IF(AND(I27&gt;=470,I27&lt;698,COUNTIF($E$9:$L$9,INT((I27-470)/6)+14)&gt;0),"TV",IF(M27&gt;0,"Intermod.","OK"))))))</f>
        <v/>
      </c>
      <c r="O27" s="27" t="str">
        <f aca="false">IF(N27="","",IF(N27="Automática","Sem frequência fixa: o sistema escolhe o canal. Afaste o receptor do roteador Wi-Fi",IF(N27="Repetida","Mesma frequência do sistema nº "&amp;L27&amp;": troque o canal de um dos dois",IF(N27="Próxima","Perto demais do sistema nº "&amp;L27&amp;": afaste as duas frequências",IF(N27="Telefonia","Dentro da faixa a evitar: troque de frequência ou de equipamento",IF(N27="TV","Dentro do canal de TV "&amp;J27&amp;", ativo na cidade: use um canal de TV livre",IF(N27="Intermod.","Há "&amp;M27&amp;" produto(s) de intermodulação perto: troque esta frequência ou use o grupo do fabricante","Manter")))))))</f>
        <v/>
      </c>
      <c r="P27" s="5"/>
      <c r="R27" s="28" t="str">
        <f aca="false">IF(OR($I27="",$I15=""),"",ROUND(ABS($I27-$I15),4))</f>
        <v/>
      </c>
      <c r="S27" s="28" t="str">
        <f aca="false">IF(OR($I27="",$I16=""),"",ROUND(ABS($I27-$I16),4))</f>
        <v/>
      </c>
      <c r="T27" s="28" t="str">
        <f aca="false">IF(OR($I27="",$I17=""),"",ROUND(ABS($I27-$I17),4))</f>
        <v/>
      </c>
      <c r="U27" s="28" t="str">
        <f aca="false">IF(OR($I27="",$I18=""),"",ROUND(ABS($I27-$I18),4))</f>
        <v/>
      </c>
      <c r="V27" s="28" t="str">
        <f aca="false">IF(OR($I27="",$I19=""),"",ROUND(ABS($I27-$I19),4))</f>
        <v/>
      </c>
      <c r="W27" s="28" t="str">
        <f aca="false">IF(OR($I27="",$I20=""),"",ROUND(ABS($I27-$I20),4))</f>
        <v/>
      </c>
      <c r="X27" s="28" t="str">
        <f aca="false">IF(OR($I27="",$I21=""),"",ROUND(ABS($I27-$I21),4))</f>
        <v/>
      </c>
      <c r="Y27" s="28" t="str">
        <f aca="false">IF(OR($I27="",$I22=""),"",ROUND(ABS($I27-$I22),4))</f>
        <v/>
      </c>
      <c r="Z27" s="28" t="str">
        <f aca="false">IF(OR($I27="",$I23=""),"",ROUND(ABS($I27-$I23),4))</f>
        <v/>
      </c>
      <c r="AA27" s="28" t="str">
        <f aca="false">IF(OR($I27="",$I24=""),"",ROUND(ABS($I27-$I24),4))</f>
        <v/>
      </c>
      <c r="AB27" s="28" t="str">
        <f aca="false">IF(OR($I27="",$I25=""),"",ROUND(ABS($I27-$I25),4))</f>
        <v/>
      </c>
      <c r="AC27" s="28" t="str">
        <f aca="false">IF(OR($I27="",$I26=""),"",ROUND(ABS($I27-$I26),4))</f>
        <v/>
      </c>
      <c r="AD27" s="6"/>
      <c r="AE27" s="28" t="str">
        <f aca="false">IF(OR($I27="",$I28=""),"",ROUND(ABS($I27-$I28),4))</f>
        <v/>
      </c>
      <c r="AF27" s="28" t="str">
        <f aca="false">IF(OR($I27="",$I29=""),"",ROUND(ABS($I27-$I29),4))</f>
        <v/>
      </c>
      <c r="AG27" s="28" t="str">
        <f aca="false">IF(OR($I27="",$I30=""),"",ROUND(ABS($I27-$I30),4))</f>
        <v/>
      </c>
      <c r="AI27" s="29" t="str">
        <f aca="false">IF(OR($I27="",$I15=""),"",ROUND((2*$I27-$I15)*1000,0))</f>
        <v/>
      </c>
      <c r="AJ27" s="29" t="str">
        <f aca="false">IF(OR($I27="",$I16=""),"",ROUND((2*$I27-$I16)*1000,0))</f>
        <v/>
      </c>
      <c r="AK27" s="29" t="str">
        <f aca="false">IF(OR($I27="",$I17=""),"",ROUND((2*$I27-$I17)*1000,0))</f>
        <v/>
      </c>
      <c r="AL27" s="29" t="str">
        <f aca="false">IF(OR($I27="",$I18=""),"",ROUND((2*$I27-$I18)*1000,0))</f>
        <v/>
      </c>
      <c r="AM27" s="29" t="str">
        <f aca="false">IF(OR($I27="",$I19=""),"",ROUND((2*$I27-$I19)*1000,0))</f>
        <v/>
      </c>
      <c r="AN27" s="29" t="str">
        <f aca="false">IF(OR($I27="",$I20=""),"",ROUND((2*$I27-$I20)*1000,0))</f>
        <v/>
      </c>
      <c r="AO27" s="29" t="str">
        <f aca="false">IF(OR($I27="",$I21=""),"",ROUND((2*$I27-$I21)*1000,0))</f>
        <v/>
      </c>
      <c r="AP27" s="29" t="str">
        <f aca="false">IF(OR($I27="",$I22=""),"",ROUND((2*$I27-$I22)*1000,0))</f>
        <v/>
      </c>
      <c r="AQ27" s="29" t="str">
        <f aca="false">IF(OR($I27="",$I23=""),"",ROUND((2*$I27-$I23)*1000,0))</f>
        <v/>
      </c>
      <c r="AR27" s="29" t="str">
        <f aca="false">IF(OR($I27="",$I24=""),"",ROUND((2*$I27-$I24)*1000,0))</f>
        <v/>
      </c>
      <c r="AS27" s="29" t="str">
        <f aca="false">IF(OR($I27="",$I25=""),"",ROUND((2*$I27-$I25)*1000,0))</f>
        <v/>
      </c>
      <c r="AT27" s="29" t="str">
        <f aca="false">IF(OR($I27="",$I26=""),"",ROUND((2*$I27-$I26)*1000,0))</f>
        <v/>
      </c>
      <c r="AU27" s="6"/>
      <c r="AV27" s="29" t="str">
        <f aca="false">IF(OR($I27="",$I28=""),"",ROUND((2*$I27-$I28)*1000,0))</f>
        <v/>
      </c>
      <c r="AW27" s="29" t="str">
        <f aca="false">IF(OR($I27="",$I29=""),"",ROUND((2*$I27-$I29)*1000,0))</f>
        <v/>
      </c>
      <c r="AX27" s="29" t="str">
        <f aca="false">IF(OR($I27="",$I30=""),"",ROUND((2*$I27-$I30)*1000,0))</f>
        <v/>
      </c>
    </row>
    <row r="28" customFormat="false" ht="21.75" hidden="false" customHeight="true" outlineLevel="0" collapsed="false">
      <c r="B28" s="23" t="n">
        <v>14</v>
      </c>
      <c r="C28" s="5"/>
      <c r="D28" s="5"/>
      <c r="E28" s="15"/>
      <c r="F28" s="15"/>
      <c r="G28" s="15"/>
      <c r="H28" s="15"/>
      <c r="I28" s="10"/>
      <c r="J28" s="24" t="str">
        <f aca="false">IF(I28="","",IF(AND(I28&gt;=470,I28&lt;698),INT((I28-470)/6)+14,"–"))</f>
        <v/>
      </c>
      <c r="K28" s="25" t="str">
        <f aca="false">IF(OR(I28="",COUNT($R28:$AG28)=0),"",MIN($R28:$AG28))</f>
        <v/>
      </c>
      <c r="L28" s="24" t="str">
        <f aca="false">IF(K28="","",MATCH(K28,$R28:$AG28,0))</f>
        <v/>
      </c>
      <c r="M28" s="24" t="str">
        <f aca="false">IF(I28="","",COUNTIFS($AI$15:$AX$30,"&gt;"&amp;ROUND((I28-$L$5)*1000,0),$AI$15:$AX$30,"&lt;"&amp;ROUND((I28+$L$5)*1000,0))-COUNTIFS($AI28:$AX28,"&gt;"&amp;ROUND((I28-$L$5)*1000,0),$AI28:$AX28,"&lt;"&amp;ROUND((I28+$L$5)*1000,0))-COUNTIFS(AV$15:AV$30,"&gt;"&amp;ROUND((I28-$L$5)*1000,0),AV$15:AV$30,"&lt;"&amp;ROUND((I28+$L$5)*1000,0)))</f>
        <v/>
      </c>
      <c r="N28" s="26" t="str">
        <f aca="false">IF(I28="",IF(AND(C28&lt;&gt;"",F28="2,4 GHz"),"Automática",""),IF(AND(K28&lt;&gt;"",K28&lt;0.0005),"Repetida",IF(AND(K28&lt;&gt;"",$L$4&lt;&gt;"",K28&lt;$L$4),"Próxima",IF(AND($L$6&lt;&gt;"",$L$7&lt;&gt;"",I28&gt;=$L$6,I28&lt;=$L$7),"Telefonia",IF(AND(I28&gt;=470,I28&lt;698,COUNTIF($E$9:$L$9,INT((I28-470)/6)+14)&gt;0),"TV",IF(M28&gt;0,"Intermod.","OK"))))))</f>
        <v/>
      </c>
      <c r="O28" s="27" t="str">
        <f aca="false">IF(N28="","",IF(N28="Automática","Sem frequência fixa: o sistema escolhe o canal. Afaste o receptor do roteador Wi-Fi",IF(N28="Repetida","Mesma frequência do sistema nº "&amp;L28&amp;": troque o canal de um dos dois",IF(N28="Próxima","Perto demais do sistema nº "&amp;L28&amp;": afaste as duas frequências",IF(N28="Telefonia","Dentro da faixa a evitar: troque de frequência ou de equipamento",IF(N28="TV","Dentro do canal de TV "&amp;J28&amp;", ativo na cidade: use um canal de TV livre",IF(N28="Intermod.","Há "&amp;M28&amp;" produto(s) de intermodulação perto: troque esta frequência ou use o grupo do fabricante","Manter")))))))</f>
        <v/>
      </c>
      <c r="P28" s="5"/>
      <c r="R28" s="28" t="str">
        <f aca="false">IF(OR($I28="",$I15=""),"",ROUND(ABS($I28-$I15),4))</f>
        <v/>
      </c>
      <c r="S28" s="28" t="str">
        <f aca="false">IF(OR($I28="",$I16=""),"",ROUND(ABS($I28-$I16),4))</f>
        <v/>
      </c>
      <c r="T28" s="28" t="str">
        <f aca="false">IF(OR($I28="",$I17=""),"",ROUND(ABS($I28-$I17),4))</f>
        <v/>
      </c>
      <c r="U28" s="28" t="str">
        <f aca="false">IF(OR($I28="",$I18=""),"",ROUND(ABS($I28-$I18),4))</f>
        <v/>
      </c>
      <c r="V28" s="28" t="str">
        <f aca="false">IF(OR($I28="",$I19=""),"",ROUND(ABS($I28-$I19),4))</f>
        <v/>
      </c>
      <c r="W28" s="28" t="str">
        <f aca="false">IF(OR($I28="",$I20=""),"",ROUND(ABS($I28-$I20),4))</f>
        <v/>
      </c>
      <c r="X28" s="28" t="str">
        <f aca="false">IF(OR($I28="",$I21=""),"",ROUND(ABS($I28-$I21),4))</f>
        <v/>
      </c>
      <c r="Y28" s="28" t="str">
        <f aca="false">IF(OR($I28="",$I22=""),"",ROUND(ABS($I28-$I22),4))</f>
        <v/>
      </c>
      <c r="Z28" s="28" t="str">
        <f aca="false">IF(OR($I28="",$I23=""),"",ROUND(ABS($I28-$I23),4))</f>
        <v/>
      </c>
      <c r="AA28" s="28" t="str">
        <f aca="false">IF(OR($I28="",$I24=""),"",ROUND(ABS($I28-$I24),4))</f>
        <v/>
      </c>
      <c r="AB28" s="28" t="str">
        <f aca="false">IF(OR($I28="",$I25=""),"",ROUND(ABS($I28-$I25),4))</f>
        <v/>
      </c>
      <c r="AC28" s="28" t="str">
        <f aca="false">IF(OR($I28="",$I26=""),"",ROUND(ABS($I28-$I26),4))</f>
        <v/>
      </c>
      <c r="AD28" s="28" t="str">
        <f aca="false">IF(OR($I28="",$I27=""),"",ROUND(ABS($I28-$I27),4))</f>
        <v/>
      </c>
      <c r="AE28" s="6"/>
      <c r="AF28" s="28" t="str">
        <f aca="false">IF(OR($I28="",$I29=""),"",ROUND(ABS($I28-$I29),4))</f>
        <v/>
      </c>
      <c r="AG28" s="28" t="str">
        <f aca="false">IF(OR($I28="",$I30=""),"",ROUND(ABS($I28-$I30),4))</f>
        <v/>
      </c>
      <c r="AI28" s="29" t="str">
        <f aca="false">IF(OR($I28="",$I15=""),"",ROUND((2*$I28-$I15)*1000,0))</f>
        <v/>
      </c>
      <c r="AJ28" s="29" t="str">
        <f aca="false">IF(OR($I28="",$I16=""),"",ROUND((2*$I28-$I16)*1000,0))</f>
        <v/>
      </c>
      <c r="AK28" s="29" t="str">
        <f aca="false">IF(OR($I28="",$I17=""),"",ROUND((2*$I28-$I17)*1000,0))</f>
        <v/>
      </c>
      <c r="AL28" s="29" t="str">
        <f aca="false">IF(OR($I28="",$I18=""),"",ROUND((2*$I28-$I18)*1000,0))</f>
        <v/>
      </c>
      <c r="AM28" s="29" t="str">
        <f aca="false">IF(OR($I28="",$I19=""),"",ROUND((2*$I28-$I19)*1000,0))</f>
        <v/>
      </c>
      <c r="AN28" s="29" t="str">
        <f aca="false">IF(OR($I28="",$I20=""),"",ROUND((2*$I28-$I20)*1000,0))</f>
        <v/>
      </c>
      <c r="AO28" s="29" t="str">
        <f aca="false">IF(OR($I28="",$I21=""),"",ROUND((2*$I28-$I21)*1000,0))</f>
        <v/>
      </c>
      <c r="AP28" s="29" t="str">
        <f aca="false">IF(OR($I28="",$I22=""),"",ROUND((2*$I28-$I22)*1000,0))</f>
        <v/>
      </c>
      <c r="AQ28" s="29" t="str">
        <f aca="false">IF(OR($I28="",$I23=""),"",ROUND((2*$I28-$I23)*1000,0))</f>
        <v/>
      </c>
      <c r="AR28" s="29" t="str">
        <f aca="false">IF(OR($I28="",$I24=""),"",ROUND((2*$I28-$I24)*1000,0))</f>
        <v/>
      </c>
      <c r="AS28" s="29" t="str">
        <f aca="false">IF(OR($I28="",$I25=""),"",ROUND((2*$I28-$I25)*1000,0))</f>
        <v/>
      </c>
      <c r="AT28" s="29" t="str">
        <f aca="false">IF(OR($I28="",$I26=""),"",ROUND((2*$I28-$I26)*1000,0))</f>
        <v/>
      </c>
      <c r="AU28" s="29" t="str">
        <f aca="false">IF(OR($I28="",$I27=""),"",ROUND((2*$I28-$I27)*1000,0))</f>
        <v/>
      </c>
      <c r="AV28" s="6"/>
      <c r="AW28" s="29" t="str">
        <f aca="false">IF(OR($I28="",$I29=""),"",ROUND((2*$I28-$I29)*1000,0))</f>
        <v/>
      </c>
      <c r="AX28" s="29" t="str">
        <f aca="false">IF(OR($I28="",$I30=""),"",ROUND((2*$I28-$I30)*1000,0))</f>
        <v/>
      </c>
    </row>
    <row r="29" customFormat="false" ht="21.75" hidden="false" customHeight="true" outlineLevel="0" collapsed="false">
      <c r="B29" s="23" t="n">
        <v>15</v>
      </c>
      <c r="C29" s="5"/>
      <c r="D29" s="5"/>
      <c r="E29" s="15"/>
      <c r="F29" s="15"/>
      <c r="G29" s="15"/>
      <c r="H29" s="15"/>
      <c r="I29" s="10"/>
      <c r="J29" s="24" t="str">
        <f aca="false">IF(I29="","",IF(AND(I29&gt;=470,I29&lt;698),INT((I29-470)/6)+14,"–"))</f>
        <v/>
      </c>
      <c r="K29" s="25" t="str">
        <f aca="false">IF(OR(I29="",COUNT($R29:$AG29)=0),"",MIN($R29:$AG29))</f>
        <v/>
      </c>
      <c r="L29" s="24" t="str">
        <f aca="false">IF(K29="","",MATCH(K29,$R29:$AG29,0))</f>
        <v/>
      </c>
      <c r="M29" s="24" t="str">
        <f aca="false">IF(I29="","",COUNTIFS($AI$15:$AX$30,"&gt;"&amp;ROUND((I29-$L$5)*1000,0),$AI$15:$AX$30,"&lt;"&amp;ROUND((I29+$L$5)*1000,0))-COUNTIFS($AI29:$AX29,"&gt;"&amp;ROUND((I29-$L$5)*1000,0),$AI29:$AX29,"&lt;"&amp;ROUND((I29+$L$5)*1000,0))-COUNTIFS(AW$15:AW$30,"&gt;"&amp;ROUND((I29-$L$5)*1000,0),AW$15:AW$30,"&lt;"&amp;ROUND((I29+$L$5)*1000,0)))</f>
        <v/>
      </c>
      <c r="N29" s="26" t="str">
        <f aca="false">IF(I29="",IF(AND(C29&lt;&gt;"",F29="2,4 GHz"),"Automática",""),IF(AND(K29&lt;&gt;"",K29&lt;0.0005),"Repetida",IF(AND(K29&lt;&gt;"",$L$4&lt;&gt;"",K29&lt;$L$4),"Próxima",IF(AND($L$6&lt;&gt;"",$L$7&lt;&gt;"",I29&gt;=$L$6,I29&lt;=$L$7),"Telefonia",IF(AND(I29&gt;=470,I29&lt;698,COUNTIF($E$9:$L$9,INT((I29-470)/6)+14)&gt;0),"TV",IF(M29&gt;0,"Intermod.","OK"))))))</f>
        <v/>
      </c>
      <c r="O29" s="27" t="str">
        <f aca="false">IF(N29="","",IF(N29="Automática","Sem frequência fixa: o sistema escolhe o canal. Afaste o receptor do roteador Wi-Fi",IF(N29="Repetida","Mesma frequência do sistema nº "&amp;L29&amp;": troque o canal de um dos dois",IF(N29="Próxima","Perto demais do sistema nº "&amp;L29&amp;": afaste as duas frequências",IF(N29="Telefonia","Dentro da faixa a evitar: troque de frequência ou de equipamento",IF(N29="TV","Dentro do canal de TV "&amp;J29&amp;", ativo na cidade: use um canal de TV livre",IF(N29="Intermod.","Há "&amp;M29&amp;" produto(s) de intermodulação perto: troque esta frequência ou use o grupo do fabricante","Manter")))))))</f>
        <v/>
      </c>
      <c r="P29" s="5"/>
      <c r="R29" s="28" t="str">
        <f aca="false">IF(OR($I29="",$I15=""),"",ROUND(ABS($I29-$I15),4))</f>
        <v/>
      </c>
      <c r="S29" s="28" t="str">
        <f aca="false">IF(OR($I29="",$I16=""),"",ROUND(ABS($I29-$I16),4))</f>
        <v/>
      </c>
      <c r="T29" s="28" t="str">
        <f aca="false">IF(OR($I29="",$I17=""),"",ROUND(ABS($I29-$I17),4))</f>
        <v/>
      </c>
      <c r="U29" s="28" t="str">
        <f aca="false">IF(OR($I29="",$I18=""),"",ROUND(ABS($I29-$I18),4))</f>
        <v/>
      </c>
      <c r="V29" s="28" t="str">
        <f aca="false">IF(OR($I29="",$I19=""),"",ROUND(ABS($I29-$I19),4))</f>
        <v/>
      </c>
      <c r="W29" s="28" t="str">
        <f aca="false">IF(OR($I29="",$I20=""),"",ROUND(ABS($I29-$I20),4))</f>
        <v/>
      </c>
      <c r="X29" s="28" t="str">
        <f aca="false">IF(OR($I29="",$I21=""),"",ROUND(ABS($I29-$I21),4))</f>
        <v/>
      </c>
      <c r="Y29" s="28" t="str">
        <f aca="false">IF(OR($I29="",$I22=""),"",ROUND(ABS($I29-$I22),4))</f>
        <v/>
      </c>
      <c r="Z29" s="28" t="str">
        <f aca="false">IF(OR($I29="",$I23=""),"",ROUND(ABS($I29-$I23),4))</f>
        <v/>
      </c>
      <c r="AA29" s="28" t="str">
        <f aca="false">IF(OR($I29="",$I24=""),"",ROUND(ABS($I29-$I24),4))</f>
        <v/>
      </c>
      <c r="AB29" s="28" t="str">
        <f aca="false">IF(OR($I29="",$I25=""),"",ROUND(ABS($I29-$I25),4))</f>
        <v/>
      </c>
      <c r="AC29" s="28" t="str">
        <f aca="false">IF(OR($I29="",$I26=""),"",ROUND(ABS($I29-$I26),4))</f>
        <v/>
      </c>
      <c r="AD29" s="28" t="str">
        <f aca="false">IF(OR($I29="",$I27=""),"",ROUND(ABS($I29-$I27),4))</f>
        <v/>
      </c>
      <c r="AE29" s="28" t="str">
        <f aca="false">IF(OR($I29="",$I28=""),"",ROUND(ABS($I29-$I28),4))</f>
        <v/>
      </c>
      <c r="AF29" s="6"/>
      <c r="AG29" s="28" t="str">
        <f aca="false">IF(OR($I29="",$I30=""),"",ROUND(ABS($I29-$I30),4))</f>
        <v/>
      </c>
      <c r="AI29" s="29" t="str">
        <f aca="false">IF(OR($I29="",$I15=""),"",ROUND((2*$I29-$I15)*1000,0))</f>
        <v/>
      </c>
      <c r="AJ29" s="29" t="str">
        <f aca="false">IF(OR($I29="",$I16=""),"",ROUND((2*$I29-$I16)*1000,0))</f>
        <v/>
      </c>
      <c r="AK29" s="29" t="str">
        <f aca="false">IF(OR($I29="",$I17=""),"",ROUND((2*$I29-$I17)*1000,0))</f>
        <v/>
      </c>
      <c r="AL29" s="29" t="str">
        <f aca="false">IF(OR($I29="",$I18=""),"",ROUND((2*$I29-$I18)*1000,0))</f>
        <v/>
      </c>
      <c r="AM29" s="29" t="str">
        <f aca="false">IF(OR($I29="",$I19=""),"",ROUND((2*$I29-$I19)*1000,0))</f>
        <v/>
      </c>
      <c r="AN29" s="29" t="str">
        <f aca="false">IF(OR($I29="",$I20=""),"",ROUND((2*$I29-$I20)*1000,0))</f>
        <v/>
      </c>
      <c r="AO29" s="29" t="str">
        <f aca="false">IF(OR($I29="",$I21=""),"",ROUND((2*$I29-$I21)*1000,0))</f>
        <v/>
      </c>
      <c r="AP29" s="29" t="str">
        <f aca="false">IF(OR($I29="",$I22=""),"",ROUND((2*$I29-$I22)*1000,0))</f>
        <v/>
      </c>
      <c r="AQ29" s="29" t="str">
        <f aca="false">IF(OR($I29="",$I23=""),"",ROUND((2*$I29-$I23)*1000,0))</f>
        <v/>
      </c>
      <c r="AR29" s="29" t="str">
        <f aca="false">IF(OR($I29="",$I24=""),"",ROUND((2*$I29-$I24)*1000,0))</f>
        <v/>
      </c>
      <c r="AS29" s="29" t="str">
        <f aca="false">IF(OR($I29="",$I25=""),"",ROUND((2*$I29-$I25)*1000,0))</f>
        <v/>
      </c>
      <c r="AT29" s="29" t="str">
        <f aca="false">IF(OR($I29="",$I26=""),"",ROUND((2*$I29-$I26)*1000,0))</f>
        <v/>
      </c>
      <c r="AU29" s="29" t="str">
        <f aca="false">IF(OR($I29="",$I27=""),"",ROUND((2*$I29-$I27)*1000,0))</f>
        <v/>
      </c>
      <c r="AV29" s="29" t="str">
        <f aca="false">IF(OR($I29="",$I28=""),"",ROUND((2*$I29-$I28)*1000,0))</f>
        <v/>
      </c>
      <c r="AW29" s="6"/>
      <c r="AX29" s="29" t="str">
        <f aca="false">IF(OR($I29="",$I30=""),"",ROUND((2*$I29-$I30)*1000,0))</f>
        <v/>
      </c>
    </row>
    <row r="30" customFormat="false" ht="21.75" hidden="false" customHeight="true" outlineLevel="0" collapsed="false">
      <c r="B30" s="23" t="n">
        <v>16</v>
      </c>
      <c r="C30" s="5"/>
      <c r="D30" s="5"/>
      <c r="E30" s="15"/>
      <c r="F30" s="15"/>
      <c r="G30" s="15"/>
      <c r="H30" s="15"/>
      <c r="I30" s="10"/>
      <c r="J30" s="24" t="str">
        <f aca="false">IF(I30="","",IF(AND(I30&gt;=470,I30&lt;698),INT((I30-470)/6)+14,"–"))</f>
        <v/>
      </c>
      <c r="K30" s="25" t="str">
        <f aca="false">IF(OR(I30="",COUNT($R30:$AG30)=0),"",MIN($R30:$AG30))</f>
        <v/>
      </c>
      <c r="L30" s="24" t="str">
        <f aca="false">IF(K30="","",MATCH(K30,$R30:$AG30,0))</f>
        <v/>
      </c>
      <c r="M30" s="24" t="str">
        <f aca="false">IF(I30="","",COUNTIFS($AI$15:$AX$30,"&gt;"&amp;ROUND((I30-$L$5)*1000,0),$AI$15:$AX$30,"&lt;"&amp;ROUND((I30+$L$5)*1000,0))-COUNTIFS($AI30:$AX30,"&gt;"&amp;ROUND((I30-$L$5)*1000,0),$AI30:$AX30,"&lt;"&amp;ROUND((I30+$L$5)*1000,0))-COUNTIFS(AX$15:AX$30,"&gt;"&amp;ROUND((I30-$L$5)*1000,0),AX$15:AX$30,"&lt;"&amp;ROUND((I30+$L$5)*1000,0)))</f>
        <v/>
      </c>
      <c r="N30" s="26" t="str">
        <f aca="false">IF(I30="",IF(AND(C30&lt;&gt;"",F30="2,4 GHz"),"Automática",""),IF(AND(K30&lt;&gt;"",K30&lt;0.0005),"Repetida",IF(AND(K30&lt;&gt;"",$L$4&lt;&gt;"",K30&lt;$L$4),"Próxima",IF(AND($L$6&lt;&gt;"",$L$7&lt;&gt;"",I30&gt;=$L$6,I30&lt;=$L$7),"Telefonia",IF(AND(I30&gt;=470,I30&lt;698,COUNTIF($E$9:$L$9,INT((I30-470)/6)+14)&gt;0),"TV",IF(M30&gt;0,"Intermod.","OK"))))))</f>
        <v/>
      </c>
      <c r="O30" s="27" t="str">
        <f aca="false">IF(N30="","",IF(N30="Automática","Sem frequência fixa: o sistema escolhe o canal. Afaste o receptor do roteador Wi-Fi",IF(N30="Repetida","Mesma frequência do sistema nº "&amp;L30&amp;": troque o canal de um dos dois",IF(N30="Próxima","Perto demais do sistema nº "&amp;L30&amp;": afaste as duas frequências",IF(N30="Telefonia","Dentro da faixa a evitar: troque de frequência ou de equipamento",IF(N30="TV","Dentro do canal de TV "&amp;J30&amp;", ativo na cidade: use um canal de TV livre",IF(N30="Intermod.","Há "&amp;M30&amp;" produto(s) de intermodulação perto: troque esta frequência ou use o grupo do fabricante","Manter")))))))</f>
        <v/>
      </c>
      <c r="P30" s="5"/>
      <c r="R30" s="28" t="str">
        <f aca="false">IF(OR($I30="",$I15=""),"",ROUND(ABS($I30-$I15),4))</f>
        <v/>
      </c>
      <c r="S30" s="28" t="str">
        <f aca="false">IF(OR($I30="",$I16=""),"",ROUND(ABS($I30-$I16),4))</f>
        <v/>
      </c>
      <c r="T30" s="28" t="str">
        <f aca="false">IF(OR($I30="",$I17=""),"",ROUND(ABS($I30-$I17),4))</f>
        <v/>
      </c>
      <c r="U30" s="28" t="str">
        <f aca="false">IF(OR($I30="",$I18=""),"",ROUND(ABS($I30-$I18),4))</f>
        <v/>
      </c>
      <c r="V30" s="28" t="str">
        <f aca="false">IF(OR($I30="",$I19=""),"",ROUND(ABS($I30-$I19),4))</f>
        <v/>
      </c>
      <c r="W30" s="28" t="str">
        <f aca="false">IF(OR($I30="",$I20=""),"",ROUND(ABS($I30-$I20),4))</f>
        <v/>
      </c>
      <c r="X30" s="28" t="str">
        <f aca="false">IF(OR($I30="",$I21=""),"",ROUND(ABS($I30-$I21),4))</f>
        <v/>
      </c>
      <c r="Y30" s="28" t="str">
        <f aca="false">IF(OR($I30="",$I22=""),"",ROUND(ABS($I30-$I22),4))</f>
        <v/>
      </c>
      <c r="Z30" s="28" t="str">
        <f aca="false">IF(OR($I30="",$I23=""),"",ROUND(ABS($I30-$I23),4))</f>
        <v/>
      </c>
      <c r="AA30" s="28" t="str">
        <f aca="false">IF(OR($I30="",$I24=""),"",ROUND(ABS($I30-$I24),4))</f>
        <v/>
      </c>
      <c r="AB30" s="28" t="str">
        <f aca="false">IF(OR($I30="",$I25=""),"",ROUND(ABS($I30-$I25),4))</f>
        <v/>
      </c>
      <c r="AC30" s="28" t="str">
        <f aca="false">IF(OR($I30="",$I26=""),"",ROUND(ABS($I30-$I26),4))</f>
        <v/>
      </c>
      <c r="AD30" s="28" t="str">
        <f aca="false">IF(OR($I30="",$I27=""),"",ROUND(ABS($I30-$I27),4))</f>
        <v/>
      </c>
      <c r="AE30" s="28" t="str">
        <f aca="false">IF(OR($I30="",$I28=""),"",ROUND(ABS($I30-$I28),4))</f>
        <v/>
      </c>
      <c r="AF30" s="28" t="str">
        <f aca="false">IF(OR($I30="",$I29=""),"",ROUND(ABS($I30-$I29),4))</f>
        <v/>
      </c>
      <c r="AG30" s="6"/>
      <c r="AI30" s="29" t="str">
        <f aca="false">IF(OR($I30="",$I15=""),"",ROUND((2*$I30-$I15)*1000,0))</f>
        <v/>
      </c>
      <c r="AJ30" s="29" t="str">
        <f aca="false">IF(OR($I30="",$I16=""),"",ROUND((2*$I30-$I16)*1000,0))</f>
        <v/>
      </c>
      <c r="AK30" s="29" t="str">
        <f aca="false">IF(OR($I30="",$I17=""),"",ROUND((2*$I30-$I17)*1000,0))</f>
        <v/>
      </c>
      <c r="AL30" s="29" t="str">
        <f aca="false">IF(OR($I30="",$I18=""),"",ROUND((2*$I30-$I18)*1000,0))</f>
        <v/>
      </c>
      <c r="AM30" s="29" t="str">
        <f aca="false">IF(OR($I30="",$I19=""),"",ROUND((2*$I30-$I19)*1000,0))</f>
        <v/>
      </c>
      <c r="AN30" s="29" t="str">
        <f aca="false">IF(OR($I30="",$I20=""),"",ROUND((2*$I30-$I20)*1000,0))</f>
        <v/>
      </c>
      <c r="AO30" s="29" t="str">
        <f aca="false">IF(OR($I30="",$I21=""),"",ROUND((2*$I30-$I21)*1000,0))</f>
        <v/>
      </c>
      <c r="AP30" s="29" t="str">
        <f aca="false">IF(OR($I30="",$I22=""),"",ROUND((2*$I30-$I22)*1000,0))</f>
        <v/>
      </c>
      <c r="AQ30" s="29" t="str">
        <f aca="false">IF(OR($I30="",$I23=""),"",ROUND((2*$I30-$I23)*1000,0))</f>
        <v/>
      </c>
      <c r="AR30" s="29" t="str">
        <f aca="false">IF(OR($I30="",$I24=""),"",ROUND((2*$I30-$I24)*1000,0))</f>
        <v/>
      </c>
      <c r="AS30" s="29" t="str">
        <f aca="false">IF(OR($I30="",$I25=""),"",ROUND((2*$I30-$I25)*1000,0))</f>
        <v/>
      </c>
      <c r="AT30" s="29" t="str">
        <f aca="false">IF(OR($I30="",$I26=""),"",ROUND((2*$I30-$I26)*1000,0))</f>
        <v/>
      </c>
      <c r="AU30" s="29" t="str">
        <f aca="false">IF(OR($I30="",$I27=""),"",ROUND((2*$I30-$I27)*1000,0))</f>
        <v/>
      </c>
      <c r="AV30" s="29" t="str">
        <f aca="false">IF(OR($I30="",$I28=""),"",ROUND((2*$I30-$I28)*1000,0))</f>
        <v/>
      </c>
      <c r="AW30" s="29" t="str">
        <f aca="false">IF(OR($I30="",$I29=""),"",ROUND((2*$I30-$I29)*1000,0))</f>
        <v/>
      </c>
      <c r="AX30" s="6"/>
    </row>
    <row r="32" customFormat="false" ht="21.75" hidden="false" customHeight="true" outlineLevel="0" collapsed="false">
      <c r="B32" s="16" t="s">
        <v>111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customFormat="false" ht="19.5" hidden="false" customHeight="true" outlineLevel="0" collapsed="false">
      <c r="B33" s="30" t="s">
        <v>112</v>
      </c>
      <c r="C33" s="30"/>
      <c r="D33" s="30"/>
      <c r="E33" s="30"/>
      <c r="F33" s="30"/>
      <c r="G33" s="30"/>
      <c r="H33" s="30"/>
      <c r="I33" s="8" t="n">
        <f aca="false">COUNTA(C15:C30)</f>
        <v>0</v>
      </c>
    </row>
    <row r="34" customFormat="false" ht="19.5" hidden="false" customHeight="true" outlineLevel="0" collapsed="false">
      <c r="B34" s="30" t="s">
        <v>113</v>
      </c>
      <c r="C34" s="30"/>
      <c r="D34" s="30"/>
      <c r="E34" s="30"/>
      <c r="F34" s="30"/>
      <c r="G34" s="30"/>
      <c r="H34" s="30"/>
      <c r="I34" s="8" t="n">
        <f aca="false">COUNT(I15:I30)</f>
        <v>0</v>
      </c>
    </row>
    <row r="35" customFormat="false" ht="19.5" hidden="false" customHeight="true" outlineLevel="0" collapsed="false">
      <c r="B35" s="30" t="s">
        <v>114</v>
      </c>
      <c r="C35" s="30"/>
      <c r="D35" s="30"/>
      <c r="E35" s="30"/>
      <c r="F35" s="30"/>
      <c r="G35" s="30"/>
      <c r="H35" s="30"/>
      <c r="I35" s="8" t="n">
        <f aca="false">COUNTIF(N15:N30,"OK")</f>
        <v>0</v>
      </c>
    </row>
    <row r="36" customFormat="false" ht="19.5" hidden="false" customHeight="true" outlineLevel="0" collapsed="false">
      <c r="B36" s="30" t="s">
        <v>115</v>
      </c>
      <c r="C36" s="30"/>
      <c r="D36" s="30"/>
      <c r="E36" s="30"/>
      <c r="F36" s="30"/>
      <c r="G36" s="30"/>
      <c r="H36" s="30"/>
      <c r="I36" s="8" t="n">
        <f aca="false">COUNTIF(N15:N30,"Repetida")+COUNTIF(N15:N30,"Próxima")</f>
        <v>0</v>
      </c>
    </row>
    <row r="37" customFormat="false" ht="19.5" hidden="false" customHeight="true" outlineLevel="0" collapsed="false">
      <c r="B37" s="30" t="s">
        <v>116</v>
      </c>
      <c r="C37" s="30"/>
      <c r="D37" s="30"/>
      <c r="E37" s="30"/>
      <c r="F37" s="30"/>
      <c r="G37" s="30"/>
      <c r="H37" s="30"/>
      <c r="I37" s="8" t="n">
        <f aca="false">COUNTIF(N15:N30,"TV")+COUNTIF(N15:N30,"Telefonia")</f>
        <v>0</v>
      </c>
    </row>
    <row r="38" customFormat="false" ht="19.5" hidden="false" customHeight="true" outlineLevel="0" collapsed="false">
      <c r="B38" s="30" t="s">
        <v>117</v>
      </c>
      <c r="C38" s="30"/>
      <c r="D38" s="30"/>
      <c r="E38" s="30"/>
      <c r="F38" s="30"/>
      <c r="G38" s="30"/>
      <c r="H38" s="30"/>
      <c r="I38" s="8" t="n">
        <f aca="false">COUNTIF(N15:N30,"Intermod.")</f>
        <v>0</v>
      </c>
    </row>
    <row r="39" customFormat="false" ht="19.5" hidden="false" customHeight="true" outlineLevel="0" collapsed="false">
      <c r="B39" s="30" t="s">
        <v>118</v>
      </c>
      <c r="C39" s="30"/>
      <c r="D39" s="30"/>
      <c r="E39" s="30"/>
      <c r="F39" s="30"/>
      <c r="G39" s="30"/>
      <c r="H39" s="30"/>
      <c r="I39" s="8" t="n">
        <f aca="false">COUNTIF(N15:N30,"Automática")</f>
        <v>0</v>
      </c>
    </row>
    <row r="40" customFormat="false" ht="21.75" hidden="false" customHeight="true" outlineLevel="0" collapsed="false">
      <c r="B40" s="30" t="s">
        <v>119</v>
      </c>
      <c r="C40" s="30"/>
      <c r="D40" s="30"/>
      <c r="E40" s="30"/>
      <c r="F40" s="30"/>
      <c r="G40" s="30"/>
      <c r="H40" s="30"/>
      <c r="I40" s="31" t="str">
        <f aca="false">IF(I33+I34=0,"Liste os sistemas e as frequências",IF(I36&gt;0,"Há frequências repetidas ou próximas demais: corrija antes de ligar os transmissores",IF(I37&gt;0,"Há frequência em canal de TV ativo ou na faixa a evitar: troque",IF(I38&gt;0,"Há risco de intermodulação: troque as frequências marcadas ou use o grupo do fabricante","OK"))))</f>
        <v>Liste os sistemas e as frequências</v>
      </c>
      <c r="J40" s="31"/>
      <c r="K40" s="31"/>
      <c r="L40" s="31"/>
      <c r="M40" s="31"/>
      <c r="N40" s="31"/>
      <c r="O40" s="31"/>
    </row>
    <row r="41" customFormat="false" ht="27" hidden="false" customHeight="true" outlineLevel="0" collapsed="false">
      <c r="B41" s="11" t="s">
        <v>120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</sheetData>
  <mergeCells count="32">
    <mergeCell ref="B1:P1"/>
    <mergeCell ref="B2:P2"/>
    <mergeCell ref="B4:C4"/>
    <mergeCell ref="D4:F4"/>
    <mergeCell ref="G4:K4"/>
    <mergeCell ref="M4:P4"/>
    <mergeCell ref="B5:C5"/>
    <mergeCell ref="D5:F5"/>
    <mergeCell ref="G5:K5"/>
    <mergeCell ref="M5:P5"/>
    <mergeCell ref="B6:C6"/>
    <mergeCell ref="D6:F6"/>
    <mergeCell ref="G6:K6"/>
    <mergeCell ref="M6:P6"/>
    <mergeCell ref="B7:C7"/>
    <mergeCell ref="D7:F7"/>
    <mergeCell ref="G7:K7"/>
    <mergeCell ref="M7:P7"/>
    <mergeCell ref="B9:D9"/>
    <mergeCell ref="M9:P9"/>
    <mergeCell ref="B11:P11"/>
    <mergeCell ref="B32:P32"/>
    <mergeCell ref="B33:H33"/>
    <mergeCell ref="B34:H34"/>
    <mergeCell ref="B35:H35"/>
    <mergeCell ref="B36:H36"/>
    <mergeCell ref="B37:H37"/>
    <mergeCell ref="B38:H38"/>
    <mergeCell ref="B39:H39"/>
    <mergeCell ref="B40:H40"/>
    <mergeCell ref="I40:O40"/>
    <mergeCell ref="B41:P41"/>
  </mergeCells>
  <conditionalFormatting sqref="N15:N3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"Automática"</formula>
    </cfRule>
    <cfRule type="cellIs" priority="4" operator="equal" aboveAverage="0" equalAverage="0" bottom="0" percent="0" rank="0" text="" dxfId="2">
      <formula>"Repetida"</formula>
    </cfRule>
    <cfRule type="cellIs" priority="5" operator="equal" aboveAverage="0" equalAverage="0" bottom="0" percent="0" rank="0" text="" dxfId="2">
      <formula>"Próxima"</formula>
    </cfRule>
    <cfRule type="cellIs" priority="6" operator="equal" aboveAverage="0" equalAverage="0" bottom="0" percent="0" rank="0" text="" dxfId="2">
      <formula>"Telefonia"</formula>
    </cfRule>
    <cfRule type="cellIs" priority="7" operator="equal" aboveAverage="0" equalAverage="0" bottom="0" percent="0" rank="0" text="" dxfId="3">
      <formula>"TV"</formula>
    </cfRule>
    <cfRule type="cellIs" priority="8" operator="equal" aboveAverage="0" equalAverage="0" bottom="0" percent="0" rank="0" text="" dxfId="3">
      <formula>"Intermod."</formula>
    </cfRule>
  </conditionalFormatting>
  <conditionalFormatting sqref="I40:O40">
    <cfRule type="cellIs" priority="9" operator="equal" aboveAverage="0" equalAverage="0" bottom="0" percent="0" rank="0" text="" dxfId="0">
      <formula>"OK"</formula>
    </cfRule>
    <cfRule type="cellIs" priority="10" operator="notEqual" aboveAverage="0" equalAverage="0" bottom="0" percent="0" rank="0" text="" dxfId="3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L4:L7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E9:L9" type="decimal">
      <formula1>-1000000000</formula1>
      <formula2>1000000000</formula2>
    </dataValidation>
    <dataValidation allowBlank="true" error="Escolha uma das opções da lista." errorStyle="stop" errorTitle="Valor inválido" operator="between" prompt="De mão, Lapela, Headset, Instrumento, In-ear (IEM) ou Outro." promptTitle="Opções" showDropDown="false" showErrorMessage="true" showInputMessage="true" sqref="E15:E30" type="list">
      <formula1>"De mão,Lapela,Headset,Instrumento,In-ear (IEM),Outro"</formula1>
      <formula2>0</formula2>
    </dataValidation>
    <dataValidation allowBlank="true" error="Escolha uma das opções da lista." errorStyle="stop" errorTitle="Valor inválido" operator="between" prompt="VHF, UHF, 2,4 GHz ou Outra." promptTitle="Opções" showDropDown="false" showErrorMessage="true" showInputMessage="true" sqref="F15:F30" type="list">
      <formula1>$R$4:$R$7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I15:I30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M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0" topLeftCell="F11" activePane="bottomRight" state="frozen"/>
      <selection pane="topLeft" activeCell="A1" activeCellId="0" sqref="A1"/>
      <selection pane="topRight" activeCell="F1" activeCellId="0" sqref="F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11" min="8" style="0" width="14"/>
    <col collapsed="false" customWidth="true" hidden="false" outlineLevel="0" max="12" min="12" style="0" width="54"/>
    <col collapsed="false" customWidth="true" hidden="false" outlineLevel="0" max="13" min="13" style="0" width="28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121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122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1.75" hidden="false" customHeight="true" outlineLevel="0" collapsed="false">
      <c r="B4" s="4" t="s">
        <v>63</v>
      </c>
      <c r="C4" s="4"/>
      <c r="D4" s="5"/>
      <c r="E4" s="5"/>
      <c r="F4" s="11" t="s">
        <v>123</v>
      </c>
      <c r="G4" s="11"/>
      <c r="H4" s="11"/>
      <c r="I4" s="11"/>
      <c r="J4" s="11"/>
      <c r="K4" s="11"/>
      <c r="L4" s="11"/>
      <c r="M4" s="11"/>
    </row>
    <row r="5" customFormat="false" ht="21.75" hidden="false" customHeight="true" outlineLevel="0" collapsed="false">
      <c r="B5" s="4" t="s">
        <v>71</v>
      </c>
      <c r="C5" s="4"/>
      <c r="D5" s="13"/>
      <c r="E5" s="13"/>
      <c r="F5" s="11" t="s">
        <v>124</v>
      </c>
      <c r="G5" s="11"/>
      <c r="H5" s="11"/>
      <c r="I5" s="11"/>
      <c r="J5" s="11"/>
      <c r="K5" s="11"/>
      <c r="L5" s="11"/>
      <c r="M5" s="11"/>
    </row>
    <row r="6" customFormat="false" ht="21.75" hidden="false" customHeight="true" outlineLevel="0" collapsed="false">
      <c r="B6" s="4" t="s">
        <v>125</v>
      </c>
      <c r="C6" s="4"/>
      <c r="D6" s="5"/>
      <c r="E6" s="5"/>
      <c r="F6" s="11" t="s">
        <v>126</v>
      </c>
      <c r="G6" s="11"/>
      <c r="H6" s="11"/>
      <c r="I6" s="11"/>
      <c r="J6" s="11"/>
      <c r="K6" s="11"/>
      <c r="L6" s="11"/>
      <c r="M6" s="11"/>
    </row>
    <row r="8" customFormat="false" ht="21.75" hidden="false" customHeight="true" outlineLevel="0" collapsed="false">
      <c r="B8" s="16" t="s">
        <v>127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customFormat="false" ht="57" hidden="false" customHeight="true" outlineLevel="0" collapsed="false">
      <c r="B9" s="17" t="s">
        <v>81</v>
      </c>
      <c r="C9" s="17" t="s">
        <v>128</v>
      </c>
      <c r="D9" s="17" t="s">
        <v>129</v>
      </c>
      <c r="E9" s="17" t="s">
        <v>88</v>
      </c>
      <c r="F9" s="18" t="s">
        <v>130</v>
      </c>
      <c r="G9" s="18" t="s">
        <v>131</v>
      </c>
      <c r="H9" s="18" t="s">
        <v>132</v>
      </c>
      <c r="I9" s="18" t="s">
        <v>133</v>
      </c>
      <c r="J9" s="18" t="s">
        <v>134</v>
      </c>
      <c r="K9" s="19" t="s">
        <v>92</v>
      </c>
      <c r="L9" s="19" t="s">
        <v>93</v>
      </c>
      <c r="M9" s="17" t="s">
        <v>94</v>
      </c>
    </row>
    <row r="10" customFormat="false" ht="21.75" hidden="false" customHeight="true" outlineLevel="0" collapsed="false">
      <c r="B10" s="20"/>
      <c r="C10" s="20" t="s">
        <v>135</v>
      </c>
      <c r="D10" s="20" t="s">
        <v>135</v>
      </c>
      <c r="E10" s="20" t="s">
        <v>102</v>
      </c>
      <c r="F10" s="20" t="s">
        <v>136</v>
      </c>
      <c r="G10" s="20" t="s">
        <v>136</v>
      </c>
      <c r="H10" s="20" t="s">
        <v>136</v>
      </c>
      <c r="I10" s="20" t="s">
        <v>137</v>
      </c>
      <c r="J10" s="20" t="s">
        <v>136</v>
      </c>
      <c r="K10" s="20"/>
      <c r="L10" s="20"/>
      <c r="M10" s="20"/>
    </row>
    <row r="11" customFormat="false" ht="21.75" hidden="false" customHeight="true" outlineLevel="0" collapsed="false">
      <c r="B11" s="23" t="n">
        <v>1</v>
      </c>
      <c r="C11" s="6" t="str">
        <f aca="false">IF('Plano de frequências'!C15="","",'Plano de frequências'!C15)</f>
        <v/>
      </c>
      <c r="D11" s="6" t="str">
        <f aca="false">IF('Plano de frequências'!D15="","",'Plano de frequências'!D15)</f>
        <v/>
      </c>
      <c r="E11" s="25" t="str">
        <f aca="false">IF('Plano de frequências'!I15="","",'Plano de frequências'!I15)</f>
        <v/>
      </c>
      <c r="F11" s="15"/>
      <c r="G11" s="15"/>
      <c r="H11" s="15"/>
      <c r="I11" s="15"/>
      <c r="J11" s="15"/>
      <c r="K11" s="26" t="str">
        <f aca="false">IF(COUNTA(F11:J11)=0,"",IF(F11="Sim","Interferência",IF(G11="Sim","Intermod.",IF(I11="Não","Antena",IF(H11="Sim","Falha",IF(J11="Sim","Ganho alto",IF(COUNTA(F11:J11)&lt;5,"Incompleto","OK")))))))</f>
        <v/>
      </c>
      <c r="L11" s="27" t="str">
        <f aca="false">IF(K11="","",IF(K11="Interferência","Outra emissão na frequência: refaça a varredura e troque o canal",IF(K11="Intermod.","Produto de outros transmissores: refaça o plano com o grupo do fabricante",IF(K11="Antena","Uma antena não recebe: confira conector, cabo e posição",IF(K11="Falha","Dê visada às antenas, aproxime o receptor do palco e repita a caminhada",IF(K11="Ganho alto","Baixe o ganho do transmissor até o pico apagar na voz mais forte",IF(K11="Incompleto","Faça os cinco testes","Manter")))))))</f>
        <v/>
      </c>
      <c r="M11" s="5"/>
    </row>
    <row r="12" customFormat="false" ht="21.75" hidden="false" customHeight="true" outlineLevel="0" collapsed="false">
      <c r="B12" s="23" t="n">
        <v>2</v>
      </c>
      <c r="C12" s="6" t="str">
        <f aca="false">IF('Plano de frequências'!C16="","",'Plano de frequências'!C16)</f>
        <v/>
      </c>
      <c r="D12" s="6" t="str">
        <f aca="false">IF('Plano de frequências'!D16="","",'Plano de frequências'!D16)</f>
        <v/>
      </c>
      <c r="E12" s="25" t="str">
        <f aca="false">IF('Plano de frequências'!I16="","",'Plano de frequências'!I16)</f>
        <v/>
      </c>
      <c r="F12" s="15"/>
      <c r="G12" s="15"/>
      <c r="H12" s="15"/>
      <c r="I12" s="15"/>
      <c r="J12" s="15"/>
      <c r="K12" s="26" t="str">
        <f aca="false">IF(COUNTA(F12:J12)=0,"",IF(F12="Sim","Interferência",IF(G12="Sim","Intermod.",IF(I12="Não","Antena",IF(H12="Sim","Falha",IF(J12="Sim","Ganho alto",IF(COUNTA(F12:J12)&lt;5,"Incompleto","OK")))))))</f>
        <v/>
      </c>
      <c r="L12" s="27" t="str">
        <f aca="false">IF(K12="","",IF(K12="Interferência","Outra emissão na frequência: refaça a varredura e troque o canal",IF(K12="Intermod.","Produto de outros transmissores: refaça o plano com o grupo do fabricante",IF(K12="Antena","Uma antena não recebe: confira conector, cabo e posição",IF(K12="Falha","Dê visada às antenas, aproxime o receptor do palco e repita a caminhada",IF(K12="Ganho alto","Baixe o ganho do transmissor até o pico apagar na voz mais forte",IF(K12="Incompleto","Faça os cinco testes","Manter")))))))</f>
        <v/>
      </c>
      <c r="M12" s="5"/>
    </row>
    <row r="13" customFormat="false" ht="21.75" hidden="false" customHeight="true" outlineLevel="0" collapsed="false">
      <c r="B13" s="23" t="n">
        <v>3</v>
      </c>
      <c r="C13" s="6" t="str">
        <f aca="false">IF('Plano de frequências'!C17="","",'Plano de frequências'!C17)</f>
        <v/>
      </c>
      <c r="D13" s="6" t="str">
        <f aca="false">IF('Plano de frequências'!D17="","",'Plano de frequências'!D17)</f>
        <v/>
      </c>
      <c r="E13" s="25" t="str">
        <f aca="false">IF('Plano de frequências'!I17="","",'Plano de frequências'!I17)</f>
        <v/>
      </c>
      <c r="F13" s="15"/>
      <c r="G13" s="15"/>
      <c r="H13" s="15"/>
      <c r="I13" s="15"/>
      <c r="J13" s="15"/>
      <c r="K13" s="26" t="str">
        <f aca="false">IF(COUNTA(F13:J13)=0,"",IF(F13="Sim","Interferência",IF(G13="Sim","Intermod.",IF(I13="Não","Antena",IF(H13="Sim","Falha",IF(J13="Sim","Ganho alto",IF(COUNTA(F13:J13)&lt;5,"Incompleto","OK")))))))</f>
        <v/>
      </c>
      <c r="L13" s="27" t="str">
        <f aca="false">IF(K13="","",IF(K13="Interferência","Outra emissão na frequência: refaça a varredura e troque o canal",IF(K13="Intermod.","Produto de outros transmissores: refaça o plano com o grupo do fabricante",IF(K13="Antena","Uma antena não recebe: confira conector, cabo e posição",IF(K13="Falha","Dê visada às antenas, aproxime o receptor do palco e repita a caminhada",IF(K13="Ganho alto","Baixe o ganho do transmissor até o pico apagar na voz mais forte",IF(K13="Incompleto","Faça os cinco testes","Manter")))))))</f>
        <v/>
      </c>
      <c r="M13" s="5"/>
    </row>
    <row r="14" customFormat="false" ht="21.75" hidden="false" customHeight="true" outlineLevel="0" collapsed="false">
      <c r="B14" s="23" t="n">
        <v>4</v>
      </c>
      <c r="C14" s="6" t="str">
        <f aca="false">IF('Plano de frequências'!C18="","",'Plano de frequências'!C18)</f>
        <v/>
      </c>
      <c r="D14" s="6" t="str">
        <f aca="false">IF('Plano de frequências'!D18="","",'Plano de frequências'!D18)</f>
        <v/>
      </c>
      <c r="E14" s="25" t="str">
        <f aca="false">IF('Plano de frequências'!I18="","",'Plano de frequências'!I18)</f>
        <v/>
      </c>
      <c r="F14" s="15"/>
      <c r="G14" s="15"/>
      <c r="H14" s="15"/>
      <c r="I14" s="15"/>
      <c r="J14" s="15"/>
      <c r="K14" s="26" t="str">
        <f aca="false">IF(COUNTA(F14:J14)=0,"",IF(F14="Sim","Interferência",IF(G14="Sim","Intermod.",IF(I14="Não","Antena",IF(H14="Sim","Falha",IF(J14="Sim","Ganho alto",IF(COUNTA(F14:J14)&lt;5,"Incompleto","OK")))))))</f>
        <v/>
      </c>
      <c r="L14" s="27" t="str">
        <f aca="false">IF(K14="","",IF(K14="Interferência","Outra emissão na frequência: refaça a varredura e troque o canal",IF(K14="Intermod.","Produto de outros transmissores: refaça o plano com o grupo do fabricante",IF(K14="Antena","Uma antena não recebe: confira conector, cabo e posição",IF(K14="Falha","Dê visada às antenas, aproxime o receptor do palco e repita a caminhada",IF(K14="Ganho alto","Baixe o ganho do transmissor até o pico apagar na voz mais forte",IF(K14="Incompleto","Faça os cinco testes","Manter")))))))</f>
        <v/>
      </c>
      <c r="M14" s="5"/>
    </row>
    <row r="15" customFormat="false" ht="21.75" hidden="false" customHeight="true" outlineLevel="0" collapsed="false">
      <c r="B15" s="23" t="n">
        <v>5</v>
      </c>
      <c r="C15" s="6" t="str">
        <f aca="false">IF('Plano de frequências'!C19="","",'Plano de frequências'!C19)</f>
        <v/>
      </c>
      <c r="D15" s="6" t="str">
        <f aca="false">IF('Plano de frequências'!D19="","",'Plano de frequências'!D19)</f>
        <v/>
      </c>
      <c r="E15" s="25" t="str">
        <f aca="false">IF('Plano de frequências'!I19="","",'Plano de frequências'!I19)</f>
        <v/>
      </c>
      <c r="F15" s="15"/>
      <c r="G15" s="15"/>
      <c r="H15" s="15"/>
      <c r="I15" s="15"/>
      <c r="J15" s="15"/>
      <c r="K15" s="26" t="str">
        <f aca="false">IF(COUNTA(F15:J15)=0,"",IF(F15="Sim","Interferência",IF(G15="Sim","Intermod.",IF(I15="Não","Antena",IF(H15="Sim","Falha",IF(J15="Sim","Ganho alto",IF(COUNTA(F15:J15)&lt;5,"Incompleto","OK")))))))</f>
        <v/>
      </c>
      <c r="L15" s="27" t="str">
        <f aca="false">IF(K15="","",IF(K15="Interferência","Outra emissão na frequência: refaça a varredura e troque o canal",IF(K15="Intermod.","Produto de outros transmissores: refaça o plano com o grupo do fabricante",IF(K15="Antena","Uma antena não recebe: confira conector, cabo e posição",IF(K15="Falha","Dê visada às antenas, aproxime o receptor do palco e repita a caminhada",IF(K15="Ganho alto","Baixe o ganho do transmissor até o pico apagar na voz mais forte",IF(K15="Incompleto","Faça os cinco testes","Manter")))))))</f>
        <v/>
      </c>
      <c r="M15" s="5"/>
    </row>
    <row r="16" customFormat="false" ht="21.75" hidden="false" customHeight="true" outlineLevel="0" collapsed="false">
      <c r="B16" s="23" t="n">
        <v>6</v>
      </c>
      <c r="C16" s="6" t="str">
        <f aca="false">IF('Plano de frequências'!C20="","",'Plano de frequências'!C20)</f>
        <v/>
      </c>
      <c r="D16" s="6" t="str">
        <f aca="false">IF('Plano de frequências'!D20="","",'Plano de frequências'!D20)</f>
        <v/>
      </c>
      <c r="E16" s="25" t="str">
        <f aca="false">IF('Plano de frequências'!I20="","",'Plano de frequências'!I20)</f>
        <v/>
      </c>
      <c r="F16" s="15"/>
      <c r="G16" s="15"/>
      <c r="H16" s="15"/>
      <c r="I16" s="15"/>
      <c r="J16" s="15"/>
      <c r="K16" s="26" t="str">
        <f aca="false">IF(COUNTA(F16:J16)=0,"",IF(F16="Sim","Interferência",IF(G16="Sim","Intermod.",IF(I16="Não","Antena",IF(H16="Sim","Falha",IF(J16="Sim","Ganho alto",IF(COUNTA(F16:J16)&lt;5,"Incompleto","OK")))))))</f>
        <v/>
      </c>
      <c r="L16" s="27" t="str">
        <f aca="false">IF(K16="","",IF(K16="Interferência","Outra emissão na frequência: refaça a varredura e troque o canal",IF(K16="Intermod.","Produto de outros transmissores: refaça o plano com o grupo do fabricante",IF(K16="Antena","Uma antena não recebe: confira conector, cabo e posição",IF(K16="Falha","Dê visada às antenas, aproxime o receptor do palco e repita a caminhada",IF(K16="Ganho alto","Baixe o ganho do transmissor até o pico apagar na voz mais forte",IF(K16="Incompleto","Faça os cinco testes","Manter")))))))</f>
        <v/>
      </c>
      <c r="M16" s="5"/>
    </row>
    <row r="17" customFormat="false" ht="21.75" hidden="false" customHeight="true" outlineLevel="0" collapsed="false">
      <c r="B17" s="23" t="n">
        <v>7</v>
      </c>
      <c r="C17" s="6" t="str">
        <f aca="false">IF('Plano de frequências'!C21="","",'Plano de frequências'!C21)</f>
        <v/>
      </c>
      <c r="D17" s="6" t="str">
        <f aca="false">IF('Plano de frequências'!D21="","",'Plano de frequências'!D21)</f>
        <v/>
      </c>
      <c r="E17" s="25" t="str">
        <f aca="false">IF('Plano de frequências'!I21="","",'Plano de frequências'!I21)</f>
        <v/>
      </c>
      <c r="F17" s="15"/>
      <c r="G17" s="15"/>
      <c r="H17" s="15"/>
      <c r="I17" s="15"/>
      <c r="J17" s="15"/>
      <c r="K17" s="26" t="str">
        <f aca="false">IF(COUNTA(F17:J17)=0,"",IF(F17="Sim","Interferência",IF(G17="Sim","Intermod.",IF(I17="Não","Antena",IF(H17="Sim","Falha",IF(J17="Sim","Ganho alto",IF(COUNTA(F17:J17)&lt;5,"Incompleto","OK")))))))</f>
        <v/>
      </c>
      <c r="L17" s="27" t="str">
        <f aca="false">IF(K17="","",IF(K17="Interferência","Outra emissão na frequência: refaça a varredura e troque o canal",IF(K17="Intermod.","Produto de outros transmissores: refaça o plano com o grupo do fabricante",IF(K17="Antena","Uma antena não recebe: confira conector, cabo e posição",IF(K17="Falha","Dê visada às antenas, aproxime o receptor do palco e repita a caminhada",IF(K17="Ganho alto","Baixe o ganho do transmissor até o pico apagar na voz mais forte",IF(K17="Incompleto","Faça os cinco testes","Manter")))))))</f>
        <v/>
      </c>
      <c r="M17" s="5"/>
    </row>
    <row r="18" customFormat="false" ht="21.75" hidden="false" customHeight="true" outlineLevel="0" collapsed="false">
      <c r="B18" s="23" t="n">
        <v>8</v>
      </c>
      <c r="C18" s="6" t="str">
        <f aca="false">IF('Plano de frequências'!C22="","",'Plano de frequências'!C22)</f>
        <v/>
      </c>
      <c r="D18" s="6" t="str">
        <f aca="false">IF('Plano de frequências'!D22="","",'Plano de frequências'!D22)</f>
        <v/>
      </c>
      <c r="E18" s="25" t="str">
        <f aca="false">IF('Plano de frequências'!I22="","",'Plano de frequências'!I22)</f>
        <v/>
      </c>
      <c r="F18" s="15"/>
      <c r="G18" s="15"/>
      <c r="H18" s="15"/>
      <c r="I18" s="15"/>
      <c r="J18" s="15"/>
      <c r="K18" s="26" t="str">
        <f aca="false">IF(COUNTA(F18:J18)=0,"",IF(F18="Sim","Interferência",IF(G18="Sim","Intermod.",IF(I18="Não","Antena",IF(H18="Sim","Falha",IF(J18="Sim","Ganho alto",IF(COUNTA(F18:J18)&lt;5,"Incompleto","OK")))))))</f>
        <v/>
      </c>
      <c r="L18" s="27" t="str">
        <f aca="false">IF(K18="","",IF(K18="Interferência","Outra emissão na frequência: refaça a varredura e troque o canal",IF(K18="Intermod.","Produto de outros transmissores: refaça o plano com o grupo do fabricante",IF(K18="Antena","Uma antena não recebe: confira conector, cabo e posição",IF(K18="Falha","Dê visada às antenas, aproxime o receptor do palco e repita a caminhada",IF(K18="Ganho alto","Baixe o ganho do transmissor até o pico apagar na voz mais forte",IF(K18="Incompleto","Faça os cinco testes","Manter")))))))</f>
        <v/>
      </c>
      <c r="M18" s="5"/>
    </row>
    <row r="19" customFormat="false" ht="21.75" hidden="false" customHeight="true" outlineLevel="0" collapsed="false">
      <c r="B19" s="23" t="n">
        <v>9</v>
      </c>
      <c r="C19" s="6" t="str">
        <f aca="false">IF('Plano de frequências'!C23="","",'Plano de frequências'!C23)</f>
        <v/>
      </c>
      <c r="D19" s="6" t="str">
        <f aca="false">IF('Plano de frequências'!D23="","",'Plano de frequências'!D23)</f>
        <v/>
      </c>
      <c r="E19" s="25" t="str">
        <f aca="false">IF('Plano de frequências'!I23="","",'Plano de frequências'!I23)</f>
        <v/>
      </c>
      <c r="F19" s="15"/>
      <c r="G19" s="15"/>
      <c r="H19" s="15"/>
      <c r="I19" s="15"/>
      <c r="J19" s="15"/>
      <c r="K19" s="26" t="str">
        <f aca="false">IF(COUNTA(F19:J19)=0,"",IF(F19="Sim","Interferência",IF(G19="Sim","Intermod.",IF(I19="Não","Antena",IF(H19="Sim","Falha",IF(J19="Sim","Ganho alto",IF(COUNTA(F19:J19)&lt;5,"Incompleto","OK")))))))</f>
        <v/>
      </c>
      <c r="L19" s="27" t="str">
        <f aca="false">IF(K19="","",IF(K19="Interferência","Outra emissão na frequência: refaça a varredura e troque o canal",IF(K19="Intermod.","Produto de outros transmissores: refaça o plano com o grupo do fabricante",IF(K19="Antena","Uma antena não recebe: confira conector, cabo e posição",IF(K19="Falha","Dê visada às antenas, aproxime o receptor do palco e repita a caminhada",IF(K19="Ganho alto","Baixe o ganho do transmissor até o pico apagar na voz mais forte",IF(K19="Incompleto","Faça os cinco testes","Manter")))))))</f>
        <v/>
      </c>
      <c r="M19" s="5"/>
    </row>
    <row r="20" customFormat="false" ht="21.75" hidden="false" customHeight="true" outlineLevel="0" collapsed="false">
      <c r="B20" s="23" t="n">
        <v>10</v>
      </c>
      <c r="C20" s="6" t="str">
        <f aca="false">IF('Plano de frequências'!C24="","",'Plano de frequências'!C24)</f>
        <v/>
      </c>
      <c r="D20" s="6" t="str">
        <f aca="false">IF('Plano de frequências'!D24="","",'Plano de frequências'!D24)</f>
        <v/>
      </c>
      <c r="E20" s="25" t="str">
        <f aca="false">IF('Plano de frequências'!I24="","",'Plano de frequências'!I24)</f>
        <v/>
      </c>
      <c r="F20" s="15"/>
      <c r="G20" s="15"/>
      <c r="H20" s="15"/>
      <c r="I20" s="15"/>
      <c r="J20" s="15"/>
      <c r="K20" s="26" t="str">
        <f aca="false">IF(COUNTA(F20:J20)=0,"",IF(F20="Sim","Interferência",IF(G20="Sim","Intermod.",IF(I20="Não","Antena",IF(H20="Sim","Falha",IF(J20="Sim","Ganho alto",IF(COUNTA(F20:J20)&lt;5,"Incompleto","OK")))))))</f>
        <v/>
      </c>
      <c r="L20" s="27" t="str">
        <f aca="false">IF(K20="","",IF(K20="Interferência","Outra emissão na frequência: refaça a varredura e troque o canal",IF(K20="Intermod.","Produto de outros transmissores: refaça o plano com o grupo do fabricante",IF(K20="Antena","Uma antena não recebe: confira conector, cabo e posição",IF(K20="Falha","Dê visada às antenas, aproxime o receptor do palco e repita a caminhada",IF(K20="Ganho alto","Baixe o ganho do transmissor até o pico apagar na voz mais forte",IF(K20="Incompleto","Faça os cinco testes","Manter")))))))</f>
        <v/>
      </c>
      <c r="M20" s="5"/>
    </row>
    <row r="21" customFormat="false" ht="21.75" hidden="false" customHeight="true" outlineLevel="0" collapsed="false">
      <c r="B21" s="23" t="n">
        <v>11</v>
      </c>
      <c r="C21" s="6" t="str">
        <f aca="false">IF('Plano de frequências'!C25="","",'Plano de frequências'!C25)</f>
        <v/>
      </c>
      <c r="D21" s="6" t="str">
        <f aca="false">IF('Plano de frequências'!D25="","",'Plano de frequências'!D25)</f>
        <v/>
      </c>
      <c r="E21" s="25" t="str">
        <f aca="false">IF('Plano de frequências'!I25="","",'Plano de frequências'!I25)</f>
        <v/>
      </c>
      <c r="F21" s="15"/>
      <c r="G21" s="15"/>
      <c r="H21" s="15"/>
      <c r="I21" s="15"/>
      <c r="J21" s="15"/>
      <c r="K21" s="26" t="str">
        <f aca="false">IF(COUNTA(F21:J21)=0,"",IF(F21="Sim","Interferência",IF(G21="Sim","Intermod.",IF(I21="Não","Antena",IF(H21="Sim","Falha",IF(J21="Sim","Ganho alto",IF(COUNTA(F21:J21)&lt;5,"Incompleto","OK")))))))</f>
        <v/>
      </c>
      <c r="L21" s="27" t="str">
        <f aca="false">IF(K21="","",IF(K21="Interferência","Outra emissão na frequência: refaça a varredura e troque o canal",IF(K21="Intermod.","Produto de outros transmissores: refaça o plano com o grupo do fabricante",IF(K21="Antena","Uma antena não recebe: confira conector, cabo e posição",IF(K21="Falha","Dê visada às antenas, aproxime o receptor do palco e repita a caminhada",IF(K21="Ganho alto","Baixe o ganho do transmissor até o pico apagar na voz mais forte",IF(K21="Incompleto","Faça os cinco testes","Manter")))))))</f>
        <v/>
      </c>
      <c r="M21" s="5"/>
    </row>
    <row r="22" customFormat="false" ht="21.75" hidden="false" customHeight="true" outlineLevel="0" collapsed="false">
      <c r="B22" s="23" t="n">
        <v>12</v>
      </c>
      <c r="C22" s="6" t="str">
        <f aca="false">IF('Plano de frequências'!C26="","",'Plano de frequências'!C26)</f>
        <v/>
      </c>
      <c r="D22" s="6" t="str">
        <f aca="false">IF('Plano de frequências'!D26="","",'Plano de frequências'!D26)</f>
        <v/>
      </c>
      <c r="E22" s="25" t="str">
        <f aca="false">IF('Plano de frequências'!I26="","",'Plano de frequências'!I26)</f>
        <v/>
      </c>
      <c r="F22" s="15"/>
      <c r="G22" s="15"/>
      <c r="H22" s="15"/>
      <c r="I22" s="15"/>
      <c r="J22" s="15"/>
      <c r="K22" s="26" t="str">
        <f aca="false">IF(COUNTA(F22:J22)=0,"",IF(F22="Sim","Interferência",IF(G22="Sim","Intermod.",IF(I22="Não","Antena",IF(H22="Sim","Falha",IF(J22="Sim","Ganho alto",IF(COUNTA(F22:J22)&lt;5,"Incompleto","OK")))))))</f>
        <v/>
      </c>
      <c r="L22" s="27" t="str">
        <f aca="false">IF(K22="","",IF(K22="Interferência","Outra emissão na frequência: refaça a varredura e troque o canal",IF(K22="Intermod.","Produto de outros transmissores: refaça o plano com o grupo do fabricante",IF(K22="Antena","Uma antena não recebe: confira conector, cabo e posição",IF(K22="Falha","Dê visada às antenas, aproxime o receptor do palco e repita a caminhada",IF(K22="Ganho alto","Baixe o ganho do transmissor até o pico apagar na voz mais forte",IF(K22="Incompleto","Faça os cinco testes","Manter")))))))</f>
        <v/>
      </c>
      <c r="M22" s="5"/>
    </row>
    <row r="23" customFormat="false" ht="21.75" hidden="false" customHeight="true" outlineLevel="0" collapsed="false">
      <c r="B23" s="23" t="n">
        <v>13</v>
      </c>
      <c r="C23" s="6" t="str">
        <f aca="false">IF('Plano de frequências'!C27="","",'Plano de frequências'!C27)</f>
        <v/>
      </c>
      <c r="D23" s="6" t="str">
        <f aca="false">IF('Plano de frequências'!D27="","",'Plano de frequências'!D27)</f>
        <v/>
      </c>
      <c r="E23" s="25" t="str">
        <f aca="false">IF('Plano de frequências'!I27="","",'Plano de frequências'!I27)</f>
        <v/>
      </c>
      <c r="F23" s="15"/>
      <c r="G23" s="15"/>
      <c r="H23" s="15"/>
      <c r="I23" s="15"/>
      <c r="J23" s="15"/>
      <c r="K23" s="26" t="str">
        <f aca="false">IF(COUNTA(F23:J23)=0,"",IF(F23="Sim","Interferência",IF(G23="Sim","Intermod.",IF(I23="Não","Antena",IF(H23="Sim","Falha",IF(J23="Sim","Ganho alto",IF(COUNTA(F23:J23)&lt;5,"Incompleto","OK")))))))</f>
        <v/>
      </c>
      <c r="L23" s="27" t="str">
        <f aca="false">IF(K23="","",IF(K23="Interferência","Outra emissão na frequência: refaça a varredura e troque o canal",IF(K23="Intermod.","Produto de outros transmissores: refaça o plano com o grupo do fabricante",IF(K23="Antena","Uma antena não recebe: confira conector, cabo e posição",IF(K23="Falha","Dê visada às antenas, aproxime o receptor do palco e repita a caminhada",IF(K23="Ganho alto","Baixe o ganho do transmissor até o pico apagar na voz mais forte",IF(K23="Incompleto","Faça os cinco testes","Manter")))))))</f>
        <v/>
      </c>
      <c r="M23" s="5"/>
    </row>
    <row r="24" customFormat="false" ht="21.75" hidden="false" customHeight="true" outlineLevel="0" collapsed="false">
      <c r="B24" s="23" t="n">
        <v>14</v>
      </c>
      <c r="C24" s="6" t="str">
        <f aca="false">IF('Plano de frequências'!C28="","",'Plano de frequências'!C28)</f>
        <v/>
      </c>
      <c r="D24" s="6" t="str">
        <f aca="false">IF('Plano de frequências'!D28="","",'Plano de frequências'!D28)</f>
        <v/>
      </c>
      <c r="E24" s="25" t="str">
        <f aca="false">IF('Plano de frequências'!I28="","",'Plano de frequências'!I28)</f>
        <v/>
      </c>
      <c r="F24" s="15"/>
      <c r="G24" s="15"/>
      <c r="H24" s="15"/>
      <c r="I24" s="15"/>
      <c r="J24" s="15"/>
      <c r="K24" s="26" t="str">
        <f aca="false">IF(COUNTA(F24:J24)=0,"",IF(F24="Sim","Interferência",IF(G24="Sim","Intermod.",IF(I24="Não","Antena",IF(H24="Sim","Falha",IF(J24="Sim","Ganho alto",IF(COUNTA(F24:J24)&lt;5,"Incompleto","OK")))))))</f>
        <v/>
      </c>
      <c r="L24" s="27" t="str">
        <f aca="false">IF(K24="","",IF(K24="Interferência","Outra emissão na frequência: refaça a varredura e troque o canal",IF(K24="Intermod.","Produto de outros transmissores: refaça o plano com o grupo do fabricante",IF(K24="Antena","Uma antena não recebe: confira conector, cabo e posição",IF(K24="Falha","Dê visada às antenas, aproxime o receptor do palco e repita a caminhada",IF(K24="Ganho alto","Baixe o ganho do transmissor até o pico apagar na voz mais forte",IF(K24="Incompleto","Faça os cinco testes","Manter")))))))</f>
        <v/>
      </c>
      <c r="M24" s="5"/>
    </row>
    <row r="25" customFormat="false" ht="21.75" hidden="false" customHeight="true" outlineLevel="0" collapsed="false">
      <c r="B25" s="23" t="n">
        <v>15</v>
      </c>
      <c r="C25" s="6" t="str">
        <f aca="false">IF('Plano de frequências'!C29="","",'Plano de frequências'!C29)</f>
        <v/>
      </c>
      <c r="D25" s="6" t="str">
        <f aca="false">IF('Plano de frequências'!D29="","",'Plano de frequências'!D29)</f>
        <v/>
      </c>
      <c r="E25" s="25" t="str">
        <f aca="false">IF('Plano de frequências'!I29="","",'Plano de frequências'!I29)</f>
        <v/>
      </c>
      <c r="F25" s="15"/>
      <c r="G25" s="15"/>
      <c r="H25" s="15"/>
      <c r="I25" s="15"/>
      <c r="J25" s="15"/>
      <c r="K25" s="26" t="str">
        <f aca="false">IF(COUNTA(F25:J25)=0,"",IF(F25="Sim","Interferência",IF(G25="Sim","Intermod.",IF(I25="Não","Antena",IF(H25="Sim","Falha",IF(J25="Sim","Ganho alto",IF(COUNTA(F25:J25)&lt;5,"Incompleto","OK")))))))</f>
        <v/>
      </c>
      <c r="L25" s="27" t="str">
        <f aca="false">IF(K25="","",IF(K25="Interferência","Outra emissão na frequência: refaça a varredura e troque o canal",IF(K25="Intermod.","Produto de outros transmissores: refaça o plano com o grupo do fabricante",IF(K25="Antena","Uma antena não recebe: confira conector, cabo e posição",IF(K25="Falha","Dê visada às antenas, aproxime o receptor do palco e repita a caminhada",IF(K25="Ganho alto","Baixe o ganho do transmissor até o pico apagar na voz mais forte",IF(K25="Incompleto","Faça os cinco testes","Manter")))))))</f>
        <v/>
      </c>
      <c r="M25" s="5"/>
    </row>
    <row r="26" customFormat="false" ht="21.75" hidden="false" customHeight="true" outlineLevel="0" collapsed="false">
      <c r="B26" s="23" t="n">
        <v>16</v>
      </c>
      <c r="C26" s="6" t="str">
        <f aca="false">IF('Plano de frequências'!C30="","",'Plano de frequências'!C30)</f>
        <v/>
      </c>
      <c r="D26" s="6" t="str">
        <f aca="false">IF('Plano de frequências'!D30="","",'Plano de frequências'!D30)</f>
        <v/>
      </c>
      <c r="E26" s="25" t="str">
        <f aca="false">IF('Plano de frequências'!I30="","",'Plano de frequências'!I30)</f>
        <v/>
      </c>
      <c r="F26" s="15"/>
      <c r="G26" s="15"/>
      <c r="H26" s="15"/>
      <c r="I26" s="15"/>
      <c r="J26" s="15"/>
      <c r="K26" s="26" t="str">
        <f aca="false">IF(COUNTA(F26:J26)=0,"",IF(F26="Sim","Interferência",IF(G26="Sim","Intermod.",IF(I26="Não","Antena",IF(H26="Sim","Falha",IF(J26="Sim","Ganho alto",IF(COUNTA(F26:J26)&lt;5,"Incompleto","OK")))))))</f>
        <v/>
      </c>
      <c r="L26" s="27" t="str">
        <f aca="false">IF(K26="","",IF(K26="Interferência","Outra emissão na frequência: refaça a varredura e troque o canal",IF(K26="Intermod.","Produto de outros transmissores: refaça o plano com o grupo do fabricante",IF(K26="Antena","Uma antena não recebe: confira conector, cabo e posição",IF(K26="Falha","Dê visada às antenas, aproxime o receptor do palco e repita a caminhada",IF(K26="Ganho alto","Baixe o ganho do transmissor até o pico apagar na voz mais forte",IF(K26="Incompleto","Faça os cinco testes","Manter")))))))</f>
        <v/>
      </c>
      <c r="M26" s="5"/>
    </row>
    <row r="28" customFormat="false" ht="21.75" hidden="false" customHeight="true" outlineLevel="0" collapsed="false">
      <c r="B28" s="16" t="s">
        <v>111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customFormat="false" ht="19.5" hidden="false" customHeight="true" outlineLevel="0" collapsed="false">
      <c r="B29" s="30" t="s">
        <v>138</v>
      </c>
      <c r="C29" s="30"/>
      <c r="D29" s="30"/>
      <c r="E29" s="30"/>
      <c r="F29" s="8" t="n">
        <f aca="false">COUNTA('Plano de frequências'!C15:C30)</f>
        <v>0</v>
      </c>
    </row>
    <row r="30" customFormat="false" ht="19.5" hidden="false" customHeight="true" outlineLevel="0" collapsed="false">
      <c r="B30" s="30" t="s">
        <v>139</v>
      </c>
      <c r="C30" s="30"/>
      <c r="D30" s="30"/>
      <c r="E30" s="30"/>
      <c r="F30" s="8" t="n">
        <f aca="false">COUNTIF(K11:K26,"OK")</f>
        <v>0</v>
      </c>
    </row>
    <row r="31" customFormat="false" ht="19.5" hidden="false" customHeight="true" outlineLevel="0" collapsed="false">
      <c r="B31" s="30" t="s">
        <v>140</v>
      </c>
      <c r="C31" s="30"/>
      <c r="D31" s="30"/>
      <c r="E31" s="30"/>
      <c r="F31" s="8" t="n">
        <f aca="false">COUNTIF(K11:K26,"Interferência")+COUNTIF(K11:K26,"Intermod.")+COUNTIF(K11:K26,"Antena")+COUNTIF(K11:K26,"Falha")+COUNTIF(K11:K26,"Ganho alto")</f>
        <v>0</v>
      </c>
    </row>
    <row r="32" customFormat="false" ht="19.5" hidden="false" customHeight="true" outlineLevel="0" collapsed="false">
      <c r="B32" s="30" t="s">
        <v>141</v>
      </c>
      <c r="C32" s="30"/>
      <c r="D32" s="30"/>
      <c r="E32" s="30"/>
      <c r="F32" s="8" t="n">
        <f aca="false">COUNTIF(K11:K26,"Incompleto")</f>
        <v>0</v>
      </c>
    </row>
    <row r="33" customFormat="false" ht="21.75" hidden="false" customHeight="true" outlineLevel="0" collapsed="false">
      <c r="B33" s="30" t="s">
        <v>119</v>
      </c>
      <c r="C33" s="30"/>
      <c r="D33" s="30"/>
      <c r="E33" s="30"/>
      <c r="F33" s="31" t="str">
        <f aca="false">IF(F29=0,"Preencha primeiro a aba Plano de frequências",IF(F31&gt;0,"Há sistema com problema: corrija e repita o teste",IF(F30&lt;F29,"Há sistema sem teste completo","OK")))</f>
        <v>Preencha primeiro a aba Plano de frequências</v>
      </c>
      <c r="G33" s="31"/>
      <c r="H33" s="31"/>
      <c r="I33" s="31"/>
      <c r="J33" s="31"/>
      <c r="K33" s="31"/>
      <c r="L33" s="31"/>
    </row>
  </sheetData>
  <mergeCells count="19">
    <mergeCell ref="B1:M1"/>
    <mergeCell ref="B2:M2"/>
    <mergeCell ref="B4:C4"/>
    <mergeCell ref="D4:E4"/>
    <mergeCell ref="F4:M4"/>
    <mergeCell ref="B5:C5"/>
    <mergeCell ref="D5:E5"/>
    <mergeCell ref="F5:M5"/>
    <mergeCell ref="B6:C6"/>
    <mergeCell ref="D6:E6"/>
    <mergeCell ref="F6:M6"/>
    <mergeCell ref="B8:M8"/>
    <mergeCell ref="B28:M28"/>
    <mergeCell ref="B29:E29"/>
    <mergeCell ref="B30:E30"/>
    <mergeCell ref="B31:E31"/>
    <mergeCell ref="B32:E32"/>
    <mergeCell ref="B33:E33"/>
    <mergeCell ref="F33:L33"/>
  </mergeCells>
  <conditionalFormatting sqref="K11:K26">
    <cfRule type="cellIs" priority="2" operator="equal" aboveAverage="0" equalAverage="0" bottom="0" percent="0" rank="0" text="" dxfId="0">
      <formula>"OK"</formula>
    </cfRule>
    <cfRule type="expression" priority="3" aboveAverage="0" equalAverage="0" bottom="0" percent="0" rank="0" text="" dxfId="3">
      <formula>AND(LEN(K11)&gt;0,K11&lt;&gt;"OK")</formula>
    </cfRule>
  </conditionalFormatting>
  <conditionalFormatting sqref="F33:L33">
    <cfRule type="cellIs" priority="4" operator="equal" aboveAverage="0" equalAverage="0" bottom="0" percent="0" rank="0" text="" dxfId="0">
      <formula>"OK"</formula>
    </cfRule>
    <cfRule type="cellIs" priority="5" operator="notEqual" aboveAverage="0" equalAverage="0" bottom="0" percent="0" rank="0" text="" dxfId="3">
      <formula>"OK"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D5" type="date">
      <formula1>36526</formula1>
      <formula2>0</formula2>
    </dataValidation>
    <dataValidation allowBlank="true" error="Escolha uma das opções da lista." errorStyle="stop" errorTitle="Valor inválido" operator="between" prompt="Sim ou Não." promptTitle="Opções" showDropDown="false" showErrorMessage="true" showInputMessage="true" sqref="F11:J26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O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10" min="7" style="0" width="12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50"/>
    <col collapsed="false" customWidth="true" hidden="false" outlineLevel="0" max="14" min="14" style="0" width="14"/>
    <col collapsed="false" customWidth="true" hidden="false" outlineLevel="0" max="15" min="15" style="0" width="26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142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143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1.75" hidden="false" customHeight="true" outlineLevel="0" collapsed="false">
      <c r="B4" s="4" t="s">
        <v>63</v>
      </c>
      <c r="C4" s="4"/>
      <c r="D4" s="5"/>
      <c r="E4" s="5"/>
      <c r="F4" s="4" t="s">
        <v>144</v>
      </c>
      <c r="G4" s="4"/>
      <c r="H4" s="4"/>
      <c r="I4" s="4"/>
      <c r="J4" s="4"/>
      <c r="K4" s="32" t="n">
        <v>4</v>
      </c>
      <c r="L4" s="11" t="s">
        <v>145</v>
      </c>
      <c r="M4" s="11"/>
      <c r="N4" s="11"/>
      <c r="O4" s="11"/>
    </row>
    <row r="5" customFormat="false" ht="21.75" hidden="false" customHeight="true" outlineLevel="0" collapsed="false">
      <c r="B5" s="4" t="s">
        <v>71</v>
      </c>
      <c r="C5" s="4"/>
      <c r="D5" s="13"/>
      <c r="E5" s="13"/>
      <c r="F5" s="4" t="s">
        <v>146</v>
      </c>
      <c r="G5" s="4"/>
      <c r="H5" s="4"/>
      <c r="I5" s="4"/>
      <c r="J5" s="4"/>
      <c r="K5" s="32" t="n">
        <v>1.5</v>
      </c>
      <c r="L5" s="11" t="s">
        <v>147</v>
      </c>
      <c r="M5" s="11"/>
      <c r="N5" s="11"/>
      <c r="O5" s="11"/>
    </row>
    <row r="6" customFormat="false" ht="21.75" hidden="false" customHeight="true" outlineLevel="0" collapsed="false">
      <c r="B6" s="4" t="s">
        <v>75</v>
      </c>
      <c r="C6" s="4"/>
      <c r="D6" s="5"/>
      <c r="E6" s="5"/>
      <c r="F6" s="11" t="s">
        <v>148</v>
      </c>
      <c r="G6" s="11"/>
      <c r="H6" s="11"/>
      <c r="I6" s="11"/>
      <c r="J6" s="11"/>
      <c r="K6" s="11"/>
      <c r="L6" s="11"/>
      <c r="M6" s="11"/>
      <c r="N6" s="11"/>
      <c r="O6" s="11"/>
    </row>
    <row r="8" customFormat="false" ht="21.75" hidden="false" customHeight="true" outlineLevel="0" collapsed="false">
      <c r="B8" s="16" t="s">
        <v>149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customFormat="false" ht="30" hidden="false" customHeight="true" outlineLevel="0" collapsed="false">
      <c r="B9" s="17" t="s">
        <v>81</v>
      </c>
      <c r="C9" s="17" t="s">
        <v>150</v>
      </c>
      <c r="D9" s="17" t="s">
        <v>151</v>
      </c>
      <c r="E9" s="17" t="s">
        <v>152</v>
      </c>
      <c r="F9" s="33" t="s">
        <v>153</v>
      </c>
      <c r="G9" s="33" t="s">
        <v>154</v>
      </c>
      <c r="H9" s="33" t="s">
        <v>155</v>
      </c>
      <c r="I9" s="33" t="s">
        <v>156</v>
      </c>
      <c r="J9" s="19" t="s">
        <v>157</v>
      </c>
      <c r="K9" s="19" t="s">
        <v>158</v>
      </c>
      <c r="L9" s="19" t="s">
        <v>92</v>
      </c>
      <c r="M9" s="19" t="s">
        <v>93</v>
      </c>
      <c r="N9" s="17" t="s">
        <v>159</v>
      </c>
      <c r="O9" s="17" t="s">
        <v>94</v>
      </c>
    </row>
    <row r="10" customFormat="false" ht="27" hidden="false" customHeight="true" outlineLevel="0" collapsed="false">
      <c r="B10" s="20" t="s">
        <v>97</v>
      </c>
      <c r="C10" s="20"/>
      <c r="D10" s="20"/>
      <c r="E10" s="20" t="s">
        <v>160</v>
      </c>
      <c r="F10" s="20" t="s">
        <v>161</v>
      </c>
      <c r="G10" s="20" t="s">
        <v>162</v>
      </c>
      <c r="H10" s="20" t="s">
        <v>163</v>
      </c>
      <c r="I10" s="20" t="s">
        <v>164</v>
      </c>
      <c r="J10" s="20" t="s">
        <v>161</v>
      </c>
      <c r="K10" s="20" t="s">
        <v>161</v>
      </c>
      <c r="L10" s="20"/>
      <c r="M10" s="20"/>
      <c r="N10" s="20" t="s">
        <v>165</v>
      </c>
      <c r="O10" s="20"/>
    </row>
    <row r="11" customFormat="false" ht="24" hidden="false" customHeight="true" outlineLevel="0" collapsed="false">
      <c r="B11" s="20" t="s">
        <v>105</v>
      </c>
      <c r="C11" s="11" t="s">
        <v>166</v>
      </c>
      <c r="D11" s="11" t="s">
        <v>167</v>
      </c>
      <c r="E11" s="20" t="n">
        <v>2</v>
      </c>
      <c r="F11" s="20" t="n">
        <v>8</v>
      </c>
      <c r="G11" s="20" t="s">
        <v>168</v>
      </c>
      <c r="H11" s="20" t="n">
        <v>3</v>
      </c>
      <c r="I11" s="20"/>
      <c r="J11" s="20" t="n">
        <v>5</v>
      </c>
      <c r="K11" s="20" t="n">
        <v>1</v>
      </c>
      <c r="L11" s="20" t="s">
        <v>169</v>
      </c>
      <c r="M11" s="11" t="s">
        <v>170</v>
      </c>
      <c r="N11" s="11"/>
      <c r="O11" s="11"/>
    </row>
    <row r="12" customFormat="false" ht="21.75" hidden="false" customHeight="true" outlineLevel="0" collapsed="false">
      <c r="B12" s="23" t="n">
        <v>1</v>
      </c>
      <c r="C12" s="5"/>
      <c r="D12" s="15"/>
      <c r="E12" s="15"/>
      <c r="F12" s="15"/>
      <c r="G12" s="15"/>
      <c r="H12" s="15"/>
      <c r="I12" s="15"/>
      <c r="J12" s="34" t="str">
        <f aca="false">IF(OR(F12="",AND(G12&lt;&gt;"Sim",H12="")),"",MAX(0,F12-IF(G12="Sim",0,H12)))</f>
        <v/>
      </c>
      <c r="K12" s="35" t="str">
        <f aca="false">IF(OR(J12="",IF(I12="",$K$4,I12)=""),"",J12-IF(I12="",$K$4,I12))</f>
        <v/>
      </c>
      <c r="L12" s="26" t="str">
        <f aca="false">IF(AND(C12="",F12=""),"",IF(OR(J12="",K12=""),"Sem dados",IF(K12&lt;0,"Trocar",IF(J12&lt;IF(I12="",$K$4,I12)*$K$5,"Atenção","OK"))))</f>
        <v/>
      </c>
      <c r="M12" s="27" t="str">
        <f aca="false">IF(L12="","",IF(L12="Sem dados","Informe a autonomia e as horas já usadas",IF(L12="Trocar","Não chega ao fim do evento: troque ou recarregue agora",IF(L12="Atenção","Chega ao fim, mas sem a margem: troque ou deixe a reserva ao lado","Manter"))))</f>
        <v/>
      </c>
      <c r="N12" s="36"/>
      <c r="O12" s="5"/>
    </row>
    <row r="13" customFormat="false" ht="21.75" hidden="false" customHeight="true" outlineLevel="0" collapsed="false">
      <c r="B13" s="23" t="n">
        <v>2</v>
      </c>
      <c r="C13" s="5"/>
      <c r="D13" s="15"/>
      <c r="E13" s="15"/>
      <c r="F13" s="15"/>
      <c r="G13" s="15"/>
      <c r="H13" s="15"/>
      <c r="I13" s="15"/>
      <c r="J13" s="34" t="str">
        <f aca="false">IF(OR(F13="",AND(G13&lt;&gt;"Sim",H13="")),"",MAX(0,F13-IF(G13="Sim",0,H13)))</f>
        <v/>
      </c>
      <c r="K13" s="35" t="str">
        <f aca="false">IF(OR(J13="",IF(I13="",$K$4,I13)=""),"",J13-IF(I13="",$K$4,I13))</f>
        <v/>
      </c>
      <c r="L13" s="26" t="str">
        <f aca="false">IF(AND(C13="",F13=""),"",IF(OR(J13="",K13=""),"Sem dados",IF(K13&lt;0,"Trocar",IF(J13&lt;IF(I13="",$K$4,I13)*$K$5,"Atenção","OK"))))</f>
        <v/>
      </c>
      <c r="M13" s="27" t="str">
        <f aca="false">IF(L13="","",IF(L13="Sem dados","Informe a autonomia e as horas já usadas",IF(L13="Trocar","Não chega ao fim do evento: troque ou recarregue agora",IF(L13="Atenção","Chega ao fim, mas sem a margem: troque ou deixe a reserva ao lado","Manter"))))</f>
        <v/>
      </c>
      <c r="N13" s="36"/>
      <c r="O13" s="5"/>
    </row>
    <row r="14" customFormat="false" ht="21.75" hidden="false" customHeight="true" outlineLevel="0" collapsed="false">
      <c r="B14" s="23" t="n">
        <v>3</v>
      </c>
      <c r="C14" s="5"/>
      <c r="D14" s="15"/>
      <c r="E14" s="15"/>
      <c r="F14" s="15"/>
      <c r="G14" s="15"/>
      <c r="H14" s="15"/>
      <c r="I14" s="15"/>
      <c r="J14" s="34" t="str">
        <f aca="false">IF(OR(F14="",AND(G14&lt;&gt;"Sim",H14="")),"",MAX(0,F14-IF(G14="Sim",0,H14)))</f>
        <v/>
      </c>
      <c r="K14" s="35" t="str">
        <f aca="false">IF(OR(J14="",IF(I14="",$K$4,I14)=""),"",J14-IF(I14="",$K$4,I14))</f>
        <v/>
      </c>
      <c r="L14" s="26" t="str">
        <f aca="false">IF(AND(C14="",F14=""),"",IF(OR(J14="",K14=""),"Sem dados",IF(K14&lt;0,"Trocar",IF(J14&lt;IF(I14="",$K$4,I14)*$K$5,"Atenção","OK"))))</f>
        <v/>
      </c>
      <c r="M14" s="27" t="str">
        <f aca="false">IF(L14="","",IF(L14="Sem dados","Informe a autonomia e as horas já usadas",IF(L14="Trocar","Não chega ao fim do evento: troque ou recarregue agora",IF(L14="Atenção","Chega ao fim, mas sem a margem: troque ou deixe a reserva ao lado","Manter"))))</f>
        <v/>
      </c>
      <c r="N14" s="36"/>
      <c r="O14" s="5"/>
    </row>
    <row r="15" customFormat="false" ht="21.75" hidden="false" customHeight="true" outlineLevel="0" collapsed="false">
      <c r="B15" s="23" t="n">
        <v>4</v>
      </c>
      <c r="C15" s="5"/>
      <c r="D15" s="15"/>
      <c r="E15" s="15"/>
      <c r="F15" s="15"/>
      <c r="G15" s="15"/>
      <c r="H15" s="15"/>
      <c r="I15" s="15"/>
      <c r="J15" s="34" t="str">
        <f aca="false">IF(OR(F15="",AND(G15&lt;&gt;"Sim",H15="")),"",MAX(0,F15-IF(G15="Sim",0,H15)))</f>
        <v/>
      </c>
      <c r="K15" s="35" t="str">
        <f aca="false">IF(OR(J15="",IF(I15="",$K$4,I15)=""),"",J15-IF(I15="",$K$4,I15))</f>
        <v/>
      </c>
      <c r="L15" s="26" t="str">
        <f aca="false">IF(AND(C15="",F15=""),"",IF(OR(J15="",K15=""),"Sem dados",IF(K15&lt;0,"Trocar",IF(J15&lt;IF(I15="",$K$4,I15)*$K$5,"Atenção","OK"))))</f>
        <v/>
      </c>
      <c r="M15" s="27" t="str">
        <f aca="false">IF(L15="","",IF(L15="Sem dados","Informe a autonomia e as horas já usadas",IF(L15="Trocar","Não chega ao fim do evento: troque ou recarregue agora",IF(L15="Atenção","Chega ao fim, mas sem a margem: troque ou deixe a reserva ao lado","Manter"))))</f>
        <v/>
      </c>
      <c r="N15" s="36"/>
      <c r="O15" s="5"/>
    </row>
    <row r="16" customFormat="false" ht="21.75" hidden="false" customHeight="true" outlineLevel="0" collapsed="false">
      <c r="B16" s="23" t="n">
        <v>5</v>
      </c>
      <c r="C16" s="5"/>
      <c r="D16" s="15"/>
      <c r="E16" s="15"/>
      <c r="F16" s="15"/>
      <c r="G16" s="15"/>
      <c r="H16" s="15"/>
      <c r="I16" s="15"/>
      <c r="J16" s="34" t="str">
        <f aca="false">IF(OR(F16="",AND(G16&lt;&gt;"Sim",H16="")),"",MAX(0,F16-IF(G16="Sim",0,H16)))</f>
        <v/>
      </c>
      <c r="K16" s="35" t="str">
        <f aca="false">IF(OR(J16="",IF(I16="",$K$4,I16)=""),"",J16-IF(I16="",$K$4,I16))</f>
        <v/>
      </c>
      <c r="L16" s="26" t="str">
        <f aca="false">IF(AND(C16="",F16=""),"",IF(OR(J16="",K16=""),"Sem dados",IF(K16&lt;0,"Trocar",IF(J16&lt;IF(I16="",$K$4,I16)*$K$5,"Atenção","OK"))))</f>
        <v/>
      </c>
      <c r="M16" s="27" t="str">
        <f aca="false">IF(L16="","",IF(L16="Sem dados","Informe a autonomia e as horas já usadas",IF(L16="Trocar","Não chega ao fim do evento: troque ou recarregue agora",IF(L16="Atenção","Chega ao fim, mas sem a margem: troque ou deixe a reserva ao lado","Manter"))))</f>
        <v/>
      </c>
      <c r="N16" s="36"/>
      <c r="O16" s="5"/>
    </row>
    <row r="17" customFormat="false" ht="21.75" hidden="false" customHeight="true" outlineLevel="0" collapsed="false">
      <c r="B17" s="23" t="n">
        <v>6</v>
      </c>
      <c r="C17" s="5"/>
      <c r="D17" s="15"/>
      <c r="E17" s="15"/>
      <c r="F17" s="15"/>
      <c r="G17" s="15"/>
      <c r="H17" s="15"/>
      <c r="I17" s="15"/>
      <c r="J17" s="34" t="str">
        <f aca="false">IF(OR(F17="",AND(G17&lt;&gt;"Sim",H17="")),"",MAX(0,F17-IF(G17="Sim",0,H17)))</f>
        <v/>
      </c>
      <c r="K17" s="35" t="str">
        <f aca="false">IF(OR(J17="",IF(I17="",$K$4,I17)=""),"",J17-IF(I17="",$K$4,I17))</f>
        <v/>
      </c>
      <c r="L17" s="26" t="str">
        <f aca="false">IF(AND(C17="",F17=""),"",IF(OR(J17="",K17=""),"Sem dados",IF(K17&lt;0,"Trocar",IF(J17&lt;IF(I17="",$K$4,I17)*$K$5,"Atenção","OK"))))</f>
        <v/>
      </c>
      <c r="M17" s="27" t="str">
        <f aca="false">IF(L17="","",IF(L17="Sem dados","Informe a autonomia e as horas já usadas",IF(L17="Trocar","Não chega ao fim do evento: troque ou recarregue agora",IF(L17="Atenção","Chega ao fim, mas sem a margem: troque ou deixe a reserva ao lado","Manter"))))</f>
        <v/>
      </c>
      <c r="N17" s="36"/>
      <c r="O17" s="5"/>
    </row>
    <row r="18" customFormat="false" ht="21.75" hidden="false" customHeight="true" outlineLevel="0" collapsed="false">
      <c r="B18" s="23" t="n">
        <v>7</v>
      </c>
      <c r="C18" s="5"/>
      <c r="D18" s="15"/>
      <c r="E18" s="15"/>
      <c r="F18" s="15"/>
      <c r="G18" s="15"/>
      <c r="H18" s="15"/>
      <c r="I18" s="15"/>
      <c r="J18" s="34" t="str">
        <f aca="false">IF(OR(F18="",AND(G18&lt;&gt;"Sim",H18="")),"",MAX(0,F18-IF(G18="Sim",0,H18)))</f>
        <v/>
      </c>
      <c r="K18" s="35" t="str">
        <f aca="false">IF(OR(J18="",IF(I18="",$K$4,I18)=""),"",J18-IF(I18="",$K$4,I18))</f>
        <v/>
      </c>
      <c r="L18" s="26" t="str">
        <f aca="false">IF(AND(C18="",F18=""),"",IF(OR(J18="",K18=""),"Sem dados",IF(K18&lt;0,"Trocar",IF(J18&lt;IF(I18="",$K$4,I18)*$K$5,"Atenção","OK"))))</f>
        <v/>
      </c>
      <c r="M18" s="27" t="str">
        <f aca="false">IF(L18="","",IF(L18="Sem dados","Informe a autonomia e as horas já usadas",IF(L18="Trocar","Não chega ao fim do evento: troque ou recarregue agora",IF(L18="Atenção","Chega ao fim, mas sem a margem: troque ou deixe a reserva ao lado","Manter"))))</f>
        <v/>
      </c>
      <c r="N18" s="36"/>
      <c r="O18" s="5"/>
    </row>
    <row r="19" customFormat="false" ht="21.75" hidden="false" customHeight="true" outlineLevel="0" collapsed="false">
      <c r="B19" s="23" t="n">
        <v>8</v>
      </c>
      <c r="C19" s="5"/>
      <c r="D19" s="15"/>
      <c r="E19" s="15"/>
      <c r="F19" s="15"/>
      <c r="G19" s="15"/>
      <c r="H19" s="15"/>
      <c r="I19" s="15"/>
      <c r="J19" s="34" t="str">
        <f aca="false">IF(OR(F19="",AND(G19&lt;&gt;"Sim",H19="")),"",MAX(0,F19-IF(G19="Sim",0,H19)))</f>
        <v/>
      </c>
      <c r="K19" s="35" t="str">
        <f aca="false">IF(OR(J19="",IF(I19="",$K$4,I19)=""),"",J19-IF(I19="",$K$4,I19))</f>
        <v/>
      </c>
      <c r="L19" s="26" t="str">
        <f aca="false">IF(AND(C19="",F19=""),"",IF(OR(J19="",K19=""),"Sem dados",IF(K19&lt;0,"Trocar",IF(J19&lt;IF(I19="",$K$4,I19)*$K$5,"Atenção","OK"))))</f>
        <v/>
      </c>
      <c r="M19" s="27" t="str">
        <f aca="false">IF(L19="","",IF(L19="Sem dados","Informe a autonomia e as horas já usadas",IF(L19="Trocar","Não chega ao fim do evento: troque ou recarregue agora",IF(L19="Atenção","Chega ao fim, mas sem a margem: troque ou deixe a reserva ao lado","Manter"))))</f>
        <v/>
      </c>
      <c r="N19" s="36"/>
      <c r="O19" s="5"/>
    </row>
    <row r="20" customFormat="false" ht="21.75" hidden="false" customHeight="true" outlineLevel="0" collapsed="false">
      <c r="B20" s="23" t="n">
        <v>9</v>
      </c>
      <c r="C20" s="5"/>
      <c r="D20" s="15"/>
      <c r="E20" s="15"/>
      <c r="F20" s="15"/>
      <c r="G20" s="15"/>
      <c r="H20" s="15"/>
      <c r="I20" s="15"/>
      <c r="J20" s="34" t="str">
        <f aca="false">IF(OR(F20="",AND(G20&lt;&gt;"Sim",H20="")),"",MAX(0,F20-IF(G20="Sim",0,H20)))</f>
        <v/>
      </c>
      <c r="K20" s="35" t="str">
        <f aca="false">IF(OR(J20="",IF(I20="",$K$4,I20)=""),"",J20-IF(I20="",$K$4,I20))</f>
        <v/>
      </c>
      <c r="L20" s="26" t="str">
        <f aca="false">IF(AND(C20="",F20=""),"",IF(OR(J20="",K20=""),"Sem dados",IF(K20&lt;0,"Trocar",IF(J20&lt;IF(I20="",$K$4,I20)*$K$5,"Atenção","OK"))))</f>
        <v/>
      </c>
      <c r="M20" s="27" t="str">
        <f aca="false">IF(L20="","",IF(L20="Sem dados","Informe a autonomia e as horas já usadas",IF(L20="Trocar","Não chega ao fim do evento: troque ou recarregue agora",IF(L20="Atenção","Chega ao fim, mas sem a margem: troque ou deixe a reserva ao lado","Manter"))))</f>
        <v/>
      </c>
      <c r="N20" s="36"/>
      <c r="O20" s="5"/>
    </row>
    <row r="21" customFormat="false" ht="21.75" hidden="false" customHeight="true" outlineLevel="0" collapsed="false">
      <c r="B21" s="23" t="n">
        <v>10</v>
      </c>
      <c r="C21" s="5"/>
      <c r="D21" s="15"/>
      <c r="E21" s="15"/>
      <c r="F21" s="15"/>
      <c r="G21" s="15"/>
      <c r="H21" s="15"/>
      <c r="I21" s="15"/>
      <c r="J21" s="34" t="str">
        <f aca="false">IF(OR(F21="",AND(G21&lt;&gt;"Sim",H21="")),"",MAX(0,F21-IF(G21="Sim",0,H21)))</f>
        <v/>
      </c>
      <c r="K21" s="35" t="str">
        <f aca="false">IF(OR(J21="",IF(I21="",$K$4,I21)=""),"",J21-IF(I21="",$K$4,I21))</f>
        <v/>
      </c>
      <c r="L21" s="26" t="str">
        <f aca="false">IF(AND(C21="",F21=""),"",IF(OR(J21="",K21=""),"Sem dados",IF(K21&lt;0,"Trocar",IF(J21&lt;IF(I21="",$K$4,I21)*$K$5,"Atenção","OK"))))</f>
        <v/>
      </c>
      <c r="M21" s="27" t="str">
        <f aca="false">IF(L21="","",IF(L21="Sem dados","Informe a autonomia e as horas já usadas",IF(L21="Trocar","Não chega ao fim do evento: troque ou recarregue agora",IF(L21="Atenção","Chega ao fim, mas sem a margem: troque ou deixe a reserva ao lado","Manter"))))</f>
        <v/>
      </c>
      <c r="N21" s="36"/>
      <c r="O21" s="5"/>
    </row>
    <row r="22" customFormat="false" ht="21.75" hidden="false" customHeight="true" outlineLevel="0" collapsed="false">
      <c r="B22" s="23" t="n">
        <v>11</v>
      </c>
      <c r="C22" s="5"/>
      <c r="D22" s="15"/>
      <c r="E22" s="15"/>
      <c r="F22" s="15"/>
      <c r="G22" s="15"/>
      <c r="H22" s="15"/>
      <c r="I22" s="15"/>
      <c r="J22" s="34" t="str">
        <f aca="false">IF(OR(F22="",AND(G22&lt;&gt;"Sim",H22="")),"",MAX(0,F22-IF(G22="Sim",0,H22)))</f>
        <v/>
      </c>
      <c r="K22" s="35" t="str">
        <f aca="false">IF(OR(J22="",IF(I22="",$K$4,I22)=""),"",J22-IF(I22="",$K$4,I22))</f>
        <v/>
      </c>
      <c r="L22" s="26" t="str">
        <f aca="false">IF(AND(C22="",F22=""),"",IF(OR(J22="",K22=""),"Sem dados",IF(K22&lt;0,"Trocar",IF(J22&lt;IF(I22="",$K$4,I22)*$K$5,"Atenção","OK"))))</f>
        <v/>
      </c>
      <c r="M22" s="27" t="str">
        <f aca="false">IF(L22="","",IF(L22="Sem dados","Informe a autonomia e as horas já usadas",IF(L22="Trocar","Não chega ao fim do evento: troque ou recarregue agora",IF(L22="Atenção","Chega ao fim, mas sem a margem: troque ou deixe a reserva ao lado","Manter"))))</f>
        <v/>
      </c>
      <c r="N22" s="36"/>
      <c r="O22" s="5"/>
    </row>
    <row r="23" customFormat="false" ht="21.75" hidden="false" customHeight="true" outlineLevel="0" collapsed="false">
      <c r="B23" s="23" t="n">
        <v>12</v>
      </c>
      <c r="C23" s="5"/>
      <c r="D23" s="15"/>
      <c r="E23" s="15"/>
      <c r="F23" s="15"/>
      <c r="G23" s="15"/>
      <c r="H23" s="15"/>
      <c r="I23" s="15"/>
      <c r="J23" s="34" t="str">
        <f aca="false">IF(OR(F23="",AND(G23&lt;&gt;"Sim",H23="")),"",MAX(0,F23-IF(G23="Sim",0,H23)))</f>
        <v/>
      </c>
      <c r="K23" s="35" t="str">
        <f aca="false">IF(OR(J23="",IF(I23="",$K$4,I23)=""),"",J23-IF(I23="",$K$4,I23))</f>
        <v/>
      </c>
      <c r="L23" s="26" t="str">
        <f aca="false">IF(AND(C23="",F23=""),"",IF(OR(J23="",K23=""),"Sem dados",IF(K23&lt;0,"Trocar",IF(J23&lt;IF(I23="",$K$4,I23)*$K$5,"Atenção","OK"))))</f>
        <v/>
      </c>
      <c r="M23" s="27" t="str">
        <f aca="false">IF(L23="","",IF(L23="Sem dados","Informe a autonomia e as horas já usadas",IF(L23="Trocar","Não chega ao fim do evento: troque ou recarregue agora",IF(L23="Atenção","Chega ao fim, mas sem a margem: troque ou deixe a reserva ao lado","Manter"))))</f>
        <v/>
      </c>
      <c r="N23" s="36"/>
      <c r="O23" s="5"/>
    </row>
    <row r="24" customFormat="false" ht="21.75" hidden="false" customHeight="true" outlineLevel="0" collapsed="false">
      <c r="B24" s="23" t="n">
        <v>13</v>
      </c>
      <c r="C24" s="5"/>
      <c r="D24" s="15"/>
      <c r="E24" s="15"/>
      <c r="F24" s="15"/>
      <c r="G24" s="15"/>
      <c r="H24" s="15"/>
      <c r="I24" s="15"/>
      <c r="J24" s="34" t="str">
        <f aca="false">IF(OR(F24="",AND(G24&lt;&gt;"Sim",H24="")),"",MAX(0,F24-IF(G24="Sim",0,H24)))</f>
        <v/>
      </c>
      <c r="K24" s="35" t="str">
        <f aca="false">IF(OR(J24="",IF(I24="",$K$4,I24)=""),"",J24-IF(I24="",$K$4,I24))</f>
        <v/>
      </c>
      <c r="L24" s="26" t="str">
        <f aca="false">IF(AND(C24="",F24=""),"",IF(OR(J24="",K24=""),"Sem dados",IF(K24&lt;0,"Trocar",IF(J24&lt;IF(I24="",$K$4,I24)*$K$5,"Atenção","OK"))))</f>
        <v/>
      </c>
      <c r="M24" s="27" t="str">
        <f aca="false">IF(L24="","",IF(L24="Sem dados","Informe a autonomia e as horas já usadas",IF(L24="Trocar","Não chega ao fim do evento: troque ou recarregue agora",IF(L24="Atenção","Chega ao fim, mas sem a margem: troque ou deixe a reserva ao lado","Manter"))))</f>
        <v/>
      </c>
      <c r="N24" s="36"/>
      <c r="O24" s="5"/>
    </row>
    <row r="25" customFormat="false" ht="21.75" hidden="false" customHeight="true" outlineLevel="0" collapsed="false">
      <c r="B25" s="23" t="n">
        <v>14</v>
      </c>
      <c r="C25" s="5"/>
      <c r="D25" s="15"/>
      <c r="E25" s="15"/>
      <c r="F25" s="15"/>
      <c r="G25" s="15"/>
      <c r="H25" s="15"/>
      <c r="I25" s="15"/>
      <c r="J25" s="34" t="str">
        <f aca="false">IF(OR(F25="",AND(G25&lt;&gt;"Sim",H25="")),"",MAX(0,F25-IF(G25="Sim",0,H25)))</f>
        <v/>
      </c>
      <c r="K25" s="35" t="str">
        <f aca="false">IF(OR(J25="",IF(I25="",$K$4,I25)=""),"",J25-IF(I25="",$K$4,I25))</f>
        <v/>
      </c>
      <c r="L25" s="26" t="str">
        <f aca="false">IF(AND(C25="",F25=""),"",IF(OR(J25="",K25=""),"Sem dados",IF(K25&lt;0,"Trocar",IF(J25&lt;IF(I25="",$K$4,I25)*$K$5,"Atenção","OK"))))</f>
        <v/>
      </c>
      <c r="M25" s="27" t="str">
        <f aca="false">IF(L25="","",IF(L25="Sem dados","Informe a autonomia e as horas já usadas",IF(L25="Trocar","Não chega ao fim do evento: troque ou recarregue agora",IF(L25="Atenção","Chega ao fim, mas sem a margem: troque ou deixe a reserva ao lado","Manter"))))</f>
        <v/>
      </c>
      <c r="N25" s="36"/>
      <c r="O25" s="5"/>
    </row>
    <row r="26" customFormat="false" ht="21.75" hidden="false" customHeight="true" outlineLevel="0" collapsed="false">
      <c r="B26" s="23" t="n">
        <v>15</v>
      </c>
      <c r="C26" s="5"/>
      <c r="D26" s="15"/>
      <c r="E26" s="15"/>
      <c r="F26" s="15"/>
      <c r="G26" s="15"/>
      <c r="H26" s="15"/>
      <c r="I26" s="15"/>
      <c r="J26" s="34" t="str">
        <f aca="false">IF(OR(F26="",AND(G26&lt;&gt;"Sim",H26="")),"",MAX(0,F26-IF(G26="Sim",0,H26)))</f>
        <v/>
      </c>
      <c r="K26" s="35" t="str">
        <f aca="false">IF(OR(J26="",IF(I26="",$K$4,I26)=""),"",J26-IF(I26="",$K$4,I26))</f>
        <v/>
      </c>
      <c r="L26" s="26" t="str">
        <f aca="false">IF(AND(C26="",F26=""),"",IF(OR(J26="",K26=""),"Sem dados",IF(K26&lt;0,"Trocar",IF(J26&lt;IF(I26="",$K$4,I26)*$K$5,"Atenção","OK"))))</f>
        <v/>
      </c>
      <c r="M26" s="27" t="str">
        <f aca="false">IF(L26="","",IF(L26="Sem dados","Informe a autonomia e as horas já usadas",IF(L26="Trocar","Não chega ao fim do evento: troque ou recarregue agora",IF(L26="Atenção","Chega ao fim, mas sem a margem: troque ou deixe a reserva ao lado","Manter"))))</f>
        <v/>
      </c>
      <c r="N26" s="36"/>
      <c r="O26" s="5"/>
    </row>
    <row r="27" customFormat="false" ht="21.75" hidden="false" customHeight="true" outlineLevel="0" collapsed="false">
      <c r="B27" s="23" t="n">
        <v>16</v>
      </c>
      <c r="C27" s="5"/>
      <c r="D27" s="15"/>
      <c r="E27" s="15"/>
      <c r="F27" s="15"/>
      <c r="G27" s="15"/>
      <c r="H27" s="15"/>
      <c r="I27" s="15"/>
      <c r="J27" s="34" t="str">
        <f aca="false">IF(OR(F27="",AND(G27&lt;&gt;"Sim",H27="")),"",MAX(0,F27-IF(G27="Sim",0,H27)))</f>
        <v/>
      </c>
      <c r="K27" s="35" t="str">
        <f aca="false">IF(OR(J27="",IF(I27="",$K$4,I27)=""),"",J27-IF(I27="",$K$4,I27))</f>
        <v/>
      </c>
      <c r="L27" s="26" t="str">
        <f aca="false">IF(AND(C27="",F27=""),"",IF(OR(J27="",K27=""),"Sem dados",IF(K27&lt;0,"Trocar",IF(J27&lt;IF(I27="",$K$4,I27)*$K$5,"Atenção","OK"))))</f>
        <v/>
      </c>
      <c r="M27" s="27" t="str">
        <f aca="false">IF(L27="","",IF(L27="Sem dados","Informe a autonomia e as horas já usadas",IF(L27="Trocar","Não chega ao fim do evento: troque ou recarregue agora",IF(L27="Atenção","Chega ao fim, mas sem a margem: troque ou deixe a reserva ao lado","Manter"))))</f>
        <v/>
      </c>
      <c r="N27" s="36"/>
      <c r="O27" s="5"/>
    </row>
    <row r="29" customFormat="false" ht="21.75" hidden="false" customHeight="true" outlineLevel="0" collapsed="false">
      <c r="B29" s="16" t="s">
        <v>111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customFormat="false" ht="19.5" hidden="false" customHeight="true" outlineLevel="0" collapsed="false">
      <c r="B30" s="30" t="s">
        <v>171</v>
      </c>
      <c r="C30" s="30"/>
      <c r="D30" s="30"/>
      <c r="E30" s="30"/>
      <c r="F30" s="8" t="n">
        <f aca="false">COUNTA(C12:C27)</f>
        <v>0</v>
      </c>
    </row>
    <row r="31" customFormat="false" ht="19.5" hidden="false" customHeight="true" outlineLevel="0" collapsed="false">
      <c r="B31" s="30" t="s">
        <v>172</v>
      </c>
      <c r="C31" s="30"/>
      <c r="D31" s="30"/>
      <c r="E31" s="30"/>
      <c r="F31" s="8" t="n">
        <f aca="false">COUNTIF(L12:L27,"OK")</f>
        <v>0</v>
      </c>
    </row>
    <row r="32" customFormat="false" ht="19.5" hidden="false" customHeight="true" outlineLevel="0" collapsed="false">
      <c r="B32" s="30" t="s">
        <v>173</v>
      </c>
      <c r="C32" s="30"/>
      <c r="D32" s="30"/>
      <c r="E32" s="30"/>
      <c r="F32" s="8" t="n">
        <f aca="false">COUNTIF(L12:L27,"Atenção")</f>
        <v>0</v>
      </c>
    </row>
    <row r="33" customFormat="false" ht="19.5" hidden="false" customHeight="true" outlineLevel="0" collapsed="false">
      <c r="B33" s="30" t="s">
        <v>174</v>
      </c>
      <c r="C33" s="30"/>
      <c r="D33" s="30"/>
      <c r="E33" s="30"/>
      <c r="F33" s="8" t="n">
        <f aca="false">COUNTIF(L12:L27,"Trocar")</f>
        <v>0</v>
      </c>
    </row>
    <row r="34" customFormat="false" ht="19.5" hidden="false" customHeight="true" outlineLevel="0" collapsed="false">
      <c r="B34" s="30" t="s">
        <v>175</v>
      </c>
      <c r="C34" s="30"/>
      <c r="D34" s="30"/>
      <c r="E34" s="30"/>
      <c r="F34" s="8" t="n">
        <f aca="false">SUMIF(L12:L27,"Trocar",E12:E27)+SUMIF(L12:L27,"Atenção",E12:E27)</f>
        <v>0</v>
      </c>
    </row>
    <row r="35" customFormat="false" ht="21.75" hidden="false" customHeight="true" outlineLevel="0" collapsed="false">
      <c r="B35" s="30" t="s">
        <v>119</v>
      </c>
      <c r="C35" s="30"/>
      <c r="D35" s="30"/>
      <c r="E35" s="30"/>
      <c r="F35" s="31" t="str">
        <f aca="false">IF(F30=0,"Liste os transmissores",IF(F33&gt;0,"Há transmissor que não chega ao fim do evento: troque agora",IF(COUNTIF(L12:L27,"Sem dados")&gt;0,"Há transmissor sem dados de carga",IF(F32&gt;0,"Há transmissor sem a margem: tenha reservas à mão","OK"))))</f>
        <v>Liste os transmissores</v>
      </c>
      <c r="G35" s="31"/>
      <c r="H35" s="31"/>
      <c r="I35" s="31"/>
      <c r="J35" s="31"/>
      <c r="K35" s="31"/>
      <c r="L35" s="31"/>
      <c r="M35" s="31"/>
    </row>
  </sheetData>
  <mergeCells count="22">
    <mergeCell ref="B1:O1"/>
    <mergeCell ref="B2:O2"/>
    <mergeCell ref="B4:C4"/>
    <mergeCell ref="D4:E4"/>
    <mergeCell ref="F4:J4"/>
    <mergeCell ref="L4:O4"/>
    <mergeCell ref="B5:C5"/>
    <mergeCell ref="D5:E5"/>
    <mergeCell ref="F5:J5"/>
    <mergeCell ref="L5:O5"/>
    <mergeCell ref="B6:C6"/>
    <mergeCell ref="D6:E6"/>
    <mergeCell ref="F6:O6"/>
    <mergeCell ref="B8:O8"/>
    <mergeCell ref="B29:O29"/>
    <mergeCell ref="B30:E30"/>
    <mergeCell ref="B31:E31"/>
    <mergeCell ref="B32:E32"/>
    <mergeCell ref="B33:E33"/>
    <mergeCell ref="B34:E34"/>
    <mergeCell ref="B35:E35"/>
    <mergeCell ref="F35:M35"/>
  </mergeCells>
  <conditionalFormatting sqref="L12:L2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3">
      <formula>"Atenção"</formula>
    </cfRule>
    <cfRule type="cellIs" priority="4" operator="equal" aboveAverage="0" equalAverage="0" bottom="0" percent="0" rank="0" text="" dxfId="3">
      <formula>"Sem dados"</formula>
    </cfRule>
    <cfRule type="cellIs" priority="5" operator="equal" aboveAverage="0" equalAverage="0" bottom="0" percent="0" rank="0" text="" dxfId="2">
      <formula>"Trocar"</formula>
    </cfRule>
  </conditionalFormatting>
  <conditionalFormatting sqref="F35:M35">
    <cfRule type="cellIs" priority="6" operator="equal" aboveAverage="0" equalAverage="0" bottom="0" percent="0" rank="0" text="" dxfId="0">
      <formula>"OK"</formula>
    </cfRule>
    <cfRule type="cellIs" priority="7" operator="notEqual" aboveAverage="0" equalAverage="0" bottom="0" percent="0" rank="0" text="" dxfId="3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5 N12:N27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K4:K5" type="decimal">
      <formula1>-1000000000</formula1>
      <formula2>1000000000</formula2>
    </dataValidation>
    <dataValidation allowBlank="true" error="Escolha uma das opções da lista." errorStyle="stop" errorTitle="Valor inválido" operator="between" prompt="Alcalina, NiMH recarregável, Lítio recarregável, Lítio descartável ou Outra." promptTitle="Opções" showDropDown="false" showErrorMessage="true" showInputMessage="true" sqref="D12:D27" type="list">
      <formula1>"Alcalina,NiMH recarregável,Lítio recarregável,Lítio descartável,Outra"</formula1>
      <formula2>0</formula2>
    </dataValidation>
    <dataValidation allowBlank="true" error="Escolha uma das opções da lista." errorStyle="stop" errorTitle="Valor inválido" operator="between" prompt="A pilha é nova, ou a bateria saiu agora do carregador?" promptTitle="Opções" showDropDown="false" showErrorMessage="true" showInputMessage="true" sqref="G12:G27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2:F27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H12:I27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62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176</v>
      </c>
      <c r="C1" s="1"/>
      <c r="D1" s="1"/>
      <c r="E1" s="1"/>
    </row>
    <row r="2" customFormat="false" ht="19.5" hidden="false" customHeight="true" outlineLevel="0" collapsed="false">
      <c r="B2" s="2" t="s">
        <v>177</v>
      </c>
      <c r="C2" s="2"/>
      <c r="D2" s="2"/>
      <c r="E2" s="2"/>
    </row>
    <row r="4" customFormat="false" ht="21.75" hidden="false" customHeight="true" outlineLevel="0" collapsed="false">
      <c r="B4" s="16" t="s">
        <v>178</v>
      </c>
      <c r="C4" s="16"/>
      <c r="D4" s="16"/>
      <c r="E4" s="16"/>
    </row>
    <row r="5" customFormat="false" ht="21.75" hidden="false" customHeight="true" outlineLevel="0" collapsed="false">
      <c r="B5" s="8" t="s">
        <v>85</v>
      </c>
      <c r="C5" s="8" t="s">
        <v>179</v>
      </c>
      <c r="D5" s="8" t="s">
        <v>180</v>
      </c>
      <c r="E5" s="8" t="s">
        <v>181</v>
      </c>
    </row>
    <row r="6" customFormat="false" ht="31.5" hidden="false" customHeight="true" outlineLevel="0" collapsed="false">
      <c r="B6" s="37" t="s">
        <v>66</v>
      </c>
      <c r="C6" s="38" t="s">
        <v>182</v>
      </c>
      <c r="D6" s="38" t="s">
        <v>183</v>
      </c>
      <c r="E6" s="7" t="s">
        <v>184</v>
      </c>
    </row>
    <row r="7" customFormat="false" ht="31.5" hidden="false" customHeight="true" outlineLevel="0" collapsed="false">
      <c r="B7" s="37" t="s">
        <v>70</v>
      </c>
      <c r="C7" s="38" t="s">
        <v>185</v>
      </c>
      <c r="D7" s="38" t="s">
        <v>186</v>
      </c>
      <c r="E7" s="7" t="s">
        <v>187</v>
      </c>
    </row>
    <row r="8" customFormat="false" ht="31.5" hidden="false" customHeight="true" outlineLevel="0" collapsed="false">
      <c r="B8" s="37" t="s">
        <v>188</v>
      </c>
      <c r="C8" s="38" t="s">
        <v>189</v>
      </c>
      <c r="D8" s="38" t="s">
        <v>190</v>
      </c>
      <c r="E8" s="7" t="s">
        <v>191</v>
      </c>
    </row>
    <row r="9" customFormat="false" ht="31.5" hidden="false" customHeight="true" outlineLevel="0" collapsed="false">
      <c r="B9" s="37" t="s">
        <v>74</v>
      </c>
      <c r="C9" s="38" t="s">
        <v>192</v>
      </c>
      <c r="D9" s="38" t="s">
        <v>193</v>
      </c>
      <c r="E9" s="7" t="s">
        <v>194</v>
      </c>
    </row>
    <row r="11" customFormat="false" ht="21.75" hidden="false" customHeight="true" outlineLevel="0" collapsed="false">
      <c r="B11" s="16" t="s">
        <v>195</v>
      </c>
      <c r="C11" s="16"/>
      <c r="D11" s="16"/>
      <c r="E11" s="16"/>
    </row>
    <row r="12" customFormat="false" ht="21.75" hidden="false" customHeight="true" outlineLevel="0" collapsed="false">
      <c r="B12" s="8" t="s">
        <v>196</v>
      </c>
      <c r="C12" s="8" t="s">
        <v>197</v>
      </c>
      <c r="D12" s="8" t="s">
        <v>198</v>
      </c>
      <c r="E12" s="8" t="s">
        <v>94</v>
      </c>
    </row>
    <row r="13" customFormat="false" ht="31.5" hidden="false" customHeight="true" outlineLevel="0" collapsed="false">
      <c r="B13" s="37" t="s">
        <v>199</v>
      </c>
      <c r="C13" s="38" t="s">
        <v>200</v>
      </c>
      <c r="D13" s="38" t="s">
        <v>201</v>
      </c>
      <c r="E13" s="7" t="s">
        <v>202</v>
      </c>
    </row>
    <row r="14" customFormat="false" ht="31.5" hidden="false" customHeight="true" outlineLevel="0" collapsed="false">
      <c r="B14" s="37" t="s">
        <v>203</v>
      </c>
      <c r="C14" s="38" t="s">
        <v>204</v>
      </c>
      <c r="D14" s="38" t="s">
        <v>205</v>
      </c>
      <c r="E14" s="7" t="s">
        <v>206</v>
      </c>
    </row>
    <row r="15" customFormat="false" ht="31.5" hidden="false" customHeight="true" outlineLevel="0" collapsed="false">
      <c r="B15" s="37" t="s">
        <v>207</v>
      </c>
      <c r="C15" s="38" t="s">
        <v>208</v>
      </c>
      <c r="D15" s="38" t="s">
        <v>209</v>
      </c>
      <c r="E15" s="7" t="s">
        <v>210</v>
      </c>
    </row>
    <row r="16" customFormat="false" ht="31.5" hidden="false" customHeight="true" outlineLevel="0" collapsed="false">
      <c r="B16" s="37" t="s">
        <v>211</v>
      </c>
      <c r="C16" s="38" t="s">
        <v>212</v>
      </c>
      <c r="D16" s="38" t="s">
        <v>213</v>
      </c>
      <c r="E16" s="7" t="s">
        <v>214</v>
      </c>
    </row>
    <row r="17" customFormat="false" ht="31.5" hidden="false" customHeight="true" outlineLevel="0" collapsed="false">
      <c r="B17" s="37" t="s">
        <v>215</v>
      </c>
      <c r="C17" s="38" t="s">
        <v>216</v>
      </c>
      <c r="D17" s="38" t="s">
        <v>213</v>
      </c>
      <c r="E17" s="7" t="s">
        <v>217</v>
      </c>
    </row>
    <row r="19" customFormat="false" ht="21.75" hidden="false" customHeight="true" outlineLevel="0" collapsed="false">
      <c r="B19" s="16" t="s">
        <v>218</v>
      </c>
      <c r="C19" s="16"/>
      <c r="D19" s="16"/>
      <c r="E19" s="16"/>
    </row>
    <row r="20" customFormat="false" ht="21.75" hidden="false" customHeight="true" outlineLevel="0" collapsed="false">
      <c r="B20" s="8" t="s">
        <v>219</v>
      </c>
      <c r="C20" s="8" t="s">
        <v>197</v>
      </c>
      <c r="D20" s="8" t="s">
        <v>220</v>
      </c>
      <c r="E20" s="8" t="s">
        <v>94</v>
      </c>
    </row>
    <row r="21" customFormat="false" ht="31.5" hidden="false" customHeight="true" outlineLevel="0" collapsed="false">
      <c r="B21" s="37" t="s">
        <v>221</v>
      </c>
      <c r="C21" s="38" t="s">
        <v>222</v>
      </c>
      <c r="D21" s="38" t="s">
        <v>223</v>
      </c>
      <c r="E21" s="7" t="s">
        <v>224</v>
      </c>
    </row>
    <row r="22" customFormat="false" ht="31.5" hidden="false" customHeight="true" outlineLevel="0" collapsed="false">
      <c r="B22" s="37" t="s">
        <v>225</v>
      </c>
      <c r="C22" s="38" t="s">
        <v>226</v>
      </c>
      <c r="D22" s="38" t="s">
        <v>227</v>
      </c>
      <c r="E22" s="7" t="s">
        <v>228</v>
      </c>
    </row>
    <row r="23" customFormat="false" ht="31.5" hidden="false" customHeight="true" outlineLevel="0" collapsed="false">
      <c r="B23" s="37" t="s">
        <v>229</v>
      </c>
      <c r="C23" s="38" t="s">
        <v>230</v>
      </c>
      <c r="D23" s="38" t="s">
        <v>231</v>
      </c>
      <c r="E23" s="7" t="s">
        <v>232</v>
      </c>
    </row>
    <row r="24" customFormat="false" ht="31.5" hidden="false" customHeight="true" outlineLevel="0" collapsed="false">
      <c r="B24" s="37" t="s">
        <v>233</v>
      </c>
      <c r="C24" s="38" t="s">
        <v>234</v>
      </c>
      <c r="D24" s="38" t="s">
        <v>231</v>
      </c>
      <c r="E24" s="7" t="s">
        <v>235</v>
      </c>
    </row>
    <row r="25" customFormat="false" ht="31.5" hidden="false" customHeight="true" outlineLevel="0" collapsed="false">
      <c r="B25" s="37" t="s">
        <v>236</v>
      </c>
      <c r="C25" s="38" t="s">
        <v>237</v>
      </c>
      <c r="D25" s="38" t="s">
        <v>238</v>
      </c>
      <c r="E25" s="7" t="s">
        <v>239</v>
      </c>
    </row>
    <row r="26" customFormat="false" ht="31.5" hidden="false" customHeight="true" outlineLevel="0" collapsed="false">
      <c r="B26" s="37" t="s">
        <v>240</v>
      </c>
      <c r="C26" s="38" t="s">
        <v>241</v>
      </c>
      <c r="D26" s="38" t="s">
        <v>242</v>
      </c>
      <c r="E26" s="7" t="s">
        <v>243</v>
      </c>
    </row>
    <row r="28" customFormat="false" ht="21.75" hidden="false" customHeight="true" outlineLevel="0" collapsed="false">
      <c r="B28" s="16" t="s">
        <v>35</v>
      </c>
      <c r="C28" s="16"/>
      <c r="D28" s="16"/>
      <c r="E28" s="16"/>
    </row>
    <row r="29" customFormat="false" ht="21.75" hidden="false" customHeight="true" outlineLevel="0" collapsed="false">
      <c r="B29" s="8" t="s">
        <v>244</v>
      </c>
      <c r="C29" s="8" t="s">
        <v>245</v>
      </c>
      <c r="D29" s="8" t="s">
        <v>246</v>
      </c>
      <c r="E29" s="8" t="s">
        <v>94</v>
      </c>
    </row>
    <row r="30" customFormat="false" ht="31.5" hidden="false" customHeight="true" outlineLevel="0" collapsed="false">
      <c r="B30" s="37" t="s">
        <v>247</v>
      </c>
      <c r="C30" s="38" t="s">
        <v>248</v>
      </c>
      <c r="D30" s="38" t="s">
        <v>249</v>
      </c>
      <c r="E30" s="7" t="s">
        <v>250</v>
      </c>
    </row>
    <row r="31" customFormat="false" ht="31.5" hidden="false" customHeight="true" outlineLevel="0" collapsed="false">
      <c r="B31" s="37" t="s">
        <v>251</v>
      </c>
      <c r="C31" s="38" t="s">
        <v>252</v>
      </c>
      <c r="D31" s="38" t="s">
        <v>253</v>
      </c>
      <c r="E31" s="7" t="s">
        <v>254</v>
      </c>
    </row>
    <row r="32" customFormat="false" ht="31.5" hidden="false" customHeight="true" outlineLevel="0" collapsed="false">
      <c r="B32" s="37" t="s">
        <v>255</v>
      </c>
      <c r="C32" s="38" t="s">
        <v>256</v>
      </c>
      <c r="D32" s="38" t="s">
        <v>257</v>
      </c>
      <c r="E32" s="7" t="s">
        <v>258</v>
      </c>
    </row>
    <row r="33" customFormat="false" ht="31.5" hidden="false" customHeight="true" outlineLevel="0" collapsed="false">
      <c r="B33" s="37" t="s">
        <v>259</v>
      </c>
      <c r="C33" s="38" t="s">
        <v>260</v>
      </c>
      <c r="D33" s="38" t="s">
        <v>261</v>
      </c>
      <c r="E33" s="7" t="s">
        <v>262</v>
      </c>
    </row>
    <row r="35" customFormat="false" ht="21.75" hidden="false" customHeight="true" outlineLevel="0" collapsed="false">
      <c r="B35" s="16" t="s">
        <v>263</v>
      </c>
      <c r="C35" s="16"/>
      <c r="D35" s="16"/>
      <c r="E35" s="16"/>
    </row>
    <row r="36" customFormat="false" ht="21.75" hidden="false" customHeight="true" outlineLevel="0" collapsed="false">
      <c r="B36" s="8" t="s">
        <v>264</v>
      </c>
      <c r="C36" s="8" t="s">
        <v>265</v>
      </c>
      <c r="D36" s="8" t="s">
        <v>266</v>
      </c>
      <c r="E36" s="8" t="s">
        <v>93</v>
      </c>
    </row>
    <row r="37" customFormat="false" ht="27" hidden="false" customHeight="true" outlineLevel="0" collapsed="false">
      <c r="B37" s="37" t="s">
        <v>267</v>
      </c>
      <c r="C37" s="38" t="s">
        <v>268</v>
      </c>
      <c r="D37" s="38" t="s">
        <v>269</v>
      </c>
      <c r="E37" s="7" t="s">
        <v>270</v>
      </c>
    </row>
    <row r="38" customFormat="false" ht="27" hidden="false" customHeight="true" outlineLevel="0" collapsed="false">
      <c r="B38" s="37" t="s">
        <v>271</v>
      </c>
      <c r="C38" s="38" t="s">
        <v>272</v>
      </c>
      <c r="D38" s="38" t="s">
        <v>273</v>
      </c>
      <c r="E38" s="7" t="s">
        <v>274</v>
      </c>
    </row>
    <row r="39" customFormat="false" ht="27" hidden="false" customHeight="true" outlineLevel="0" collapsed="false">
      <c r="B39" s="37" t="s">
        <v>275</v>
      </c>
      <c r="C39" s="38" t="s">
        <v>276</v>
      </c>
      <c r="D39" s="38" t="s">
        <v>277</v>
      </c>
      <c r="E39" s="7" t="s">
        <v>278</v>
      </c>
    </row>
    <row r="40" customFormat="false" ht="27" hidden="false" customHeight="true" outlineLevel="0" collapsed="false">
      <c r="B40" s="37" t="s">
        <v>279</v>
      </c>
      <c r="C40" s="38" t="s">
        <v>280</v>
      </c>
      <c r="D40" s="38" t="s">
        <v>281</v>
      </c>
      <c r="E40" s="7" t="s">
        <v>282</v>
      </c>
    </row>
    <row r="41" customFormat="false" ht="27" hidden="false" customHeight="true" outlineLevel="0" collapsed="false">
      <c r="B41" s="37" t="s">
        <v>283</v>
      </c>
      <c r="C41" s="38" t="s">
        <v>284</v>
      </c>
      <c r="D41" s="38" t="s">
        <v>285</v>
      </c>
      <c r="E41" s="7" t="s">
        <v>286</v>
      </c>
    </row>
    <row r="42" customFormat="false" ht="27" hidden="false" customHeight="true" outlineLevel="0" collapsed="false">
      <c r="B42" s="37" t="s">
        <v>287</v>
      </c>
      <c r="C42" s="38" t="s">
        <v>288</v>
      </c>
      <c r="D42" s="38" t="s">
        <v>289</v>
      </c>
      <c r="E42" s="7" t="s">
        <v>290</v>
      </c>
    </row>
    <row r="43" customFormat="false" ht="27" hidden="false" customHeight="true" outlineLevel="0" collapsed="false">
      <c r="B43" s="37" t="s">
        <v>291</v>
      </c>
      <c r="C43" s="38" t="s">
        <v>292</v>
      </c>
      <c r="D43" s="38" t="s">
        <v>293</v>
      </c>
      <c r="E43" s="7" t="s">
        <v>294</v>
      </c>
    </row>
    <row r="44" customFormat="false" ht="27" hidden="false" customHeight="true" outlineLevel="0" collapsed="false">
      <c r="B44" s="11" t="s">
        <v>295</v>
      </c>
      <c r="C44" s="11"/>
      <c r="D44" s="11"/>
      <c r="E44" s="11"/>
    </row>
  </sheetData>
  <mergeCells count="8">
    <mergeCell ref="B1:E1"/>
    <mergeCell ref="B2:E2"/>
    <mergeCell ref="B4:E4"/>
    <mergeCell ref="B11:E11"/>
    <mergeCell ref="B19:E19"/>
    <mergeCell ref="B28:E28"/>
    <mergeCell ref="B35:E35"/>
    <mergeCell ref="B44:E4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296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297</v>
      </c>
      <c r="C2" s="2"/>
      <c r="D2" s="2"/>
      <c r="E2" s="2"/>
      <c r="F2" s="2"/>
    </row>
    <row r="4" customFormat="false" ht="21.75" hidden="false" customHeight="true" outlineLevel="0" collapsed="false">
      <c r="B4" s="17" t="s">
        <v>81</v>
      </c>
      <c r="C4" s="17" t="s">
        <v>86</v>
      </c>
      <c r="D4" s="17" t="s">
        <v>219</v>
      </c>
      <c r="E4" s="17" t="s">
        <v>92</v>
      </c>
      <c r="F4" s="17" t="s">
        <v>94</v>
      </c>
    </row>
    <row r="5" customFormat="false" ht="31.5" hidden="false" customHeight="true" outlineLevel="0" collapsed="false">
      <c r="B5" s="23" t="n">
        <v>1</v>
      </c>
      <c r="C5" s="6" t="s">
        <v>56</v>
      </c>
      <c r="D5" s="7" t="s">
        <v>298</v>
      </c>
      <c r="E5" s="15"/>
      <c r="F5" s="5"/>
    </row>
    <row r="6" customFormat="false" ht="31.5" hidden="false" customHeight="true" outlineLevel="0" collapsed="false">
      <c r="B6" s="23" t="n">
        <v>2</v>
      </c>
      <c r="C6" s="6" t="s">
        <v>299</v>
      </c>
      <c r="D6" s="7" t="s">
        <v>300</v>
      </c>
      <c r="E6" s="15"/>
      <c r="F6" s="5"/>
    </row>
    <row r="7" customFormat="false" ht="31.5" hidden="false" customHeight="true" outlineLevel="0" collapsed="false">
      <c r="B7" s="23" t="n">
        <v>3</v>
      </c>
      <c r="C7" s="6" t="s">
        <v>299</v>
      </c>
      <c r="D7" s="7" t="s">
        <v>301</v>
      </c>
      <c r="E7" s="15"/>
      <c r="F7" s="5"/>
    </row>
    <row r="8" customFormat="false" ht="31.5" hidden="false" customHeight="true" outlineLevel="0" collapsed="false">
      <c r="B8" s="23" t="n">
        <v>4</v>
      </c>
      <c r="C8" s="6" t="s">
        <v>11</v>
      </c>
      <c r="D8" s="7" t="s">
        <v>302</v>
      </c>
      <c r="E8" s="15"/>
      <c r="F8" s="5"/>
    </row>
    <row r="9" customFormat="false" ht="31.5" hidden="false" customHeight="true" outlineLevel="0" collapsed="false">
      <c r="B9" s="23" t="n">
        <v>5</v>
      </c>
      <c r="C9" s="6" t="s">
        <v>11</v>
      </c>
      <c r="D9" s="7" t="s">
        <v>303</v>
      </c>
      <c r="E9" s="15"/>
      <c r="F9" s="5"/>
    </row>
    <row r="10" customFormat="false" ht="31.5" hidden="false" customHeight="true" outlineLevel="0" collapsed="false">
      <c r="B10" s="23" t="n">
        <v>6</v>
      </c>
      <c r="C10" s="6" t="s">
        <v>11</v>
      </c>
      <c r="D10" s="7" t="s">
        <v>304</v>
      </c>
      <c r="E10" s="15"/>
      <c r="F10" s="5"/>
    </row>
    <row r="11" customFormat="false" ht="31.5" hidden="false" customHeight="true" outlineLevel="0" collapsed="false">
      <c r="B11" s="23" t="n">
        <v>7</v>
      </c>
      <c r="C11" s="6" t="s">
        <v>11</v>
      </c>
      <c r="D11" s="7" t="s">
        <v>305</v>
      </c>
      <c r="E11" s="15"/>
      <c r="F11" s="5"/>
    </row>
    <row r="12" customFormat="false" ht="31.5" hidden="false" customHeight="true" outlineLevel="0" collapsed="false">
      <c r="B12" s="23" t="n">
        <v>8</v>
      </c>
      <c r="C12" s="6" t="s">
        <v>11</v>
      </c>
      <c r="D12" s="7" t="s">
        <v>306</v>
      </c>
      <c r="E12" s="15"/>
      <c r="F12" s="5"/>
    </row>
    <row r="13" customFormat="false" ht="31.5" hidden="false" customHeight="true" outlineLevel="0" collapsed="false">
      <c r="B13" s="23" t="n">
        <v>9</v>
      </c>
      <c r="C13" s="6" t="s">
        <v>307</v>
      </c>
      <c r="D13" s="7" t="s">
        <v>308</v>
      </c>
      <c r="E13" s="15"/>
      <c r="F13" s="5"/>
    </row>
    <row r="14" customFormat="false" ht="31.5" hidden="false" customHeight="true" outlineLevel="0" collapsed="false">
      <c r="B14" s="23" t="n">
        <v>10</v>
      </c>
      <c r="C14" s="6" t="s">
        <v>307</v>
      </c>
      <c r="D14" s="7" t="s">
        <v>309</v>
      </c>
      <c r="E14" s="15"/>
      <c r="F14" s="5"/>
    </row>
    <row r="15" customFormat="false" ht="19.5" hidden="false" customHeight="true" outlineLevel="0" collapsed="false">
      <c r="B15" s="23" t="n">
        <v>11</v>
      </c>
      <c r="C15" s="6" t="s">
        <v>310</v>
      </c>
      <c r="D15" s="7" t="s">
        <v>311</v>
      </c>
      <c r="E15" s="15"/>
      <c r="F15" s="5"/>
    </row>
    <row r="16" customFormat="false" ht="31.5" hidden="false" customHeight="true" outlineLevel="0" collapsed="false">
      <c r="B16" s="23" t="n">
        <v>12</v>
      </c>
      <c r="C16" s="6" t="s">
        <v>312</v>
      </c>
      <c r="D16" s="7" t="s">
        <v>313</v>
      </c>
      <c r="E16" s="15"/>
      <c r="F16" s="5"/>
    </row>
    <row r="18" customFormat="false" ht="19.5" hidden="false" customHeight="true" outlineLevel="0" collapsed="false">
      <c r="B18" s="30" t="s">
        <v>314</v>
      </c>
      <c r="C18" s="30"/>
      <c r="D18" s="30"/>
      <c r="E18" s="8" t="n">
        <f aca="false">COUNTA(E5:E16)</f>
        <v>0</v>
      </c>
    </row>
    <row r="19" customFormat="false" ht="19.5" hidden="false" customHeight="true" outlineLevel="0" collapsed="false">
      <c r="B19" s="30" t="s">
        <v>315</v>
      </c>
      <c r="C19" s="30"/>
      <c r="D19" s="30"/>
      <c r="E19" s="39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30" t="s">
        <v>92</v>
      </c>
      <c r="C20" s="30"/>
      <c r="D20" s="30"/>
      <c r="E20" s="26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3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E2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3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AX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4" topLeftCell="E15" activePane="bottomRight" state="frozen"/>
      <selection pane="topLeft" activeCell="A1" activeCellId="0" sqref="A1"/>
      <selection pane="topRight" activeCell="E1" activeCellId="0" sqref="E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24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52"/>
    <col collapsed="false" customWidth="true" hidden="false" outlineLevel="0" max="16" min="16" style="0" width="26"/>
    <col collapsed="false" customWidth="true" hidden="false" outlineLevel="0" max="17" min="17" style="0" width="2"/>
    <col collapsed="false" customWidth="true" hidden="false" outlineLevel="0" max="33" min="18" style="0" width="9"/>
    <col collapsed="false" customWidth="true" hidden="false" outlineLevel="0" max="34" min="34" style="0" width="2"/>
    <col collapsed="false" customWidth="true" hidden="false" outlineLevel="0" max="50" min="35" style="0" width="9"/>
  </cols>
  <sheetData>
    <row r="1" customFormat="false" ht="31.5" hidden="false" customHeight="true" outlineLevel="0" collapsed="false">
      <c r="B1" s="1" t="s">
        <v>60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B2" s="2" t="s">
        <v>316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2.35" hidden="false" customHeight="false" outlineLevel="0" collapsed="false">
      <c r="R3" s="9" t="s">
        <v>62</v>
      </c>
    </row>
    <row r="4" customFormat="false" ht="21.75" hidden="false" customHeight="true" outlineLevel="0" collapsed="false">
      <c r="B4" s="4" t="s">
        <v>63</v>
      </c>
      <c r="C4" s="4"/>
      <c r="D4" s="40" t="s">
        <v>317</v>
      </c>
      <c r="E4" s="40"/>
      <c r="F4" s="40"/>
      <c r="G4" s="4" t="s">
        <v>64</v>
      </c>
      <c r="H4" s="4"/>
      <c r="I4" s="4"/>
      <c r="J4" s="4"/>
      <c r="K4" s="4"/>
      <c r="L4" s="41" t="n">
        <v>0.35</v>
      </c>
      <c r="M4" s="11" t="s">
        <v>65</v>
      </c>
      <c r="N4" s="11"/>
      <c r="O4" s="11"/>
      <c r="P4" s="11"/>
      <c r="R4" s="12" t="s">
        <v>66</v>
      </c>
    </row>
    <row r="5" customFormat="false" ht="21.75" hidden="false" customHeight="true" outlineLevel="0" collapsed="false">
      <c r="B5" s="4" t="s">
        <v>67</v>
      </c>
      <c r="C5" s="4"/>
      <c r="D5" s="40" t="s">
        <v>318</v>
      </c>
      <c r="E5" s="40"/>
      <c r="F5" s="40"/>
      <c r="G5" s="4" t="s">
        <v>68</v>
      </c>
      <c r="H5" s="4"/>
      <c r="I5" s="4"/>
      <c r="J5" s="4"/>
      <c r="K5" s="4"/>
      <c r="L5" s="41" t="n">
        <v>0.1</v>
      </c>
      <c r="M5" s="11" t="s">
        <v>69</v>
      </c>
      <c r="N5" s="11"/>
      <c r="O5" s="11"/>
      <c r="P5" s="11"/>
      <c r="R5" s="12" t="s">
        <v>70</v>
      </c>
    </row>
    <row r="6" customFormat="false" ht="21.75" hidden="false" customHeight="true" outlineLevel="0" collapsed="false">
      <c r="B6" s="4" t="s">
        <v>71</v>
      </c>
      <c r="C6" s="4"/>
      <c r="D6" s="42" t="n">
        <v>46299</v>
      </c>
      <c r="E6" s="42"/>
      <c r="F6" s="42"/>
      <c r="G6" s="4" t="s">
        <v>72</v>
      </c>
      <c r="H6" s="4"/>
      <c r="I6" s="4"/>
      <c r="J6" s="4"/>
      <c r="K6" s="4"/>
      <c r="L6" s="43" t="n">
        <v>698</v>
      </c>
      <c r="M6" s="11" t="s">
        <v>73</v>
      </c>
      <c r="N6" s="11"/>
      <c r="O6" s="11"/>
      <c r="P6" s="11"/>
      <c r="R6" s="12" t="s">
        <v>74</v>
      </c>
    </row>
    <row r="7" customFormat="false" ht="21.75" hidden="false" customHeight="true" outlineLevel="0" collapsed="false">
      <c r="B7" s="4" t="s">
        <v>75</v>
      </c>
      <c r="C7" s="4"/>
      <c r="D7" s="40" t="s">
        <v>319</v>
      </c>
      <c r="E7" s="40"/>
      <c r="F7" s="40"/>
      <c r="G7" s="4" t="s">
        <v>76</v>
      </c>
      <c r="H7" s="4"/>
      <c r="I7" s="4"/>
      <c r="J7" s="4"/>
      <c r="K7" s="4"/>
      <c r="L7" s="43" t="n">
        <v>806</v>
      </c>
      <c r="M7" s="11" t="s">
        <v>77</v>
      </c>
      <c r="N7" s="11"/>
      <c r="O7" s="11"/>
      <c r="P7" s="11"/>
      <c r="R7" s="12" t="s">
        <v>78</v>
      </c>
    </row>
    <row r="9" customFormat="false" ht="21.75" hidden="false" customHeight="true" outlineLevel="0" collapsed="false">
      <c r="B9" s="4" t="s">
        <v>79</v>
      </c>
      <c r="C9" s="4"/>
      <c r="D9" s="4"/>
      <c r="E9" s="44" t="n">
        <v>18</v>
      </c>
      <c r="F9" s="44" t="n">
        <v>22</v>
      </c>
      <c r="G9" s="44" t="n">
        <v>27</v>
      </c>
      <c r="H9" s="44" t="n">
        <v>33</v>
      </c>
      <c r="I9" s="44"/>
      <c r="J9" s="44"/>
      <c r="K9" s="44"/>
      <c r="L9" s="44"/>
      <c r="M9" s="11" t="s">
        <v>80</v>
      </c>
      <c r="N9" s="11"/>
      <c r="O9" s="11"/>
      <c r="P9" s="11"/>
    </row>
    <row r="11" customFormat="false" ht="21.75" hidden="false" customHeight="true" outlineLevel="0" collapsed="false">
      <c r="B11" s="16" t="s">
        <v>31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customFormat="false" ht="30" hidden="false" customHeight="true" outlineLevel="0" collapsed="false">
      <c r="B12" s="17" t="s">
        <v>81</v>
      </c>
      <c r="C12" s="17" t="s">
        <v>82</v>
      </c>
      <c r="D12" s="17" t="s">
        <v>83</v>
      </c>
      <c r="E12" s="17" t="s">
        <v>84</v>
      </c>
      <c r="F12" s="17" t="s">
        <v>85</v>
      </c>
      <c r="G12" s="18" t="s">
        <v>86</v>
      </c>
      <c r="H12" s="18" t="s">
        <v>87</v>
      </c>
      <c r="I12" s="18" t="s">
        <v>88</v>
      </c>
      <c r="J12" s="19" t="s">
        <v>46</v>
      </c>
      <c r="K12" s="19" t="s">
        <v>89</v>
      </c>
      <c r="L12" s="19" t="s">
        <v>90</v>
      </c>
      <c r="M12" s="19" t="s">
        <v>91</v>
      </c>
      <c r="N12" s="19" t="s">
        <v>92</v>
      </c>
      <c r="O12" s="19" t="s">
        <v>93</v>
      </c>
      <c r="P12" s="17" t="s">
        <v>94</v>
      </c>
      <c r="R12" s="9" t="s">
        <v>95</v>
      </c>
      <c r="AI12" s="9" t="s">
        <v>96</v>
      </c>
    </row>
    <row r="13" customFormat="false" ht="21.75" hidden="false" customHeight="true" outlineLevel="0" collapsed="false">
      <c r="B13" s="20" t="s">
        <v>97</v>
      </c>
      <c r="C13" s="20" t="s">
        <v>98</v>
      </c>
      <c r="D13" s="20" t="s">
        <v>99</v>
      </c>
      <c r="E13" s="20" t="s">
        <v>100</v>
      </c>
      <c r="F13" s="20"/>
      <c r="G13" s="20" t="s">
        <v>101</v>
      </c>
      <c r="H13" s="20" t="s">
        <v>101</v>
      </c>
      <c r="I13" s="20" t="s">
        <v>102</v>
      </c>
      <c r="J13" s="20" t="s">
        <v>103</v>
      </c>
      <c r="K13" s="20" t="s">
        <v>102</v>
      </c>
      <c r="L13" s="20" t="s">
        <v>97</v>
      </c>
      <c r="M13" s="20" t="s">
        <v>104</v>
      </c>
      <c r="N13" s="20"/>
      <c r="O13" s="20"/>
      <c r="P13" s="20"/>
      <c r="R13" s="21" t="n">
        <v>1</v>
      </c>
      <c r="S13" s="21" t="n">
        <v>2</v>
      </c>
      <c r="T13" s="21" t="n">
        <v>3</v>
      </c>
      <c r="U13" s="21" t="n">
        <v>4</v>
      </c>
      <c r="V13" s="21" t="n">
        <v>5</v>
      </c>
      <c r="W13" s="21" t="n">
        <v>6</v>
      </c>
      <c r="X13" s="21" t="n">
        <v>7</v>
      </c>
      <c r="Y13" s="21" t="n">
        <v>8</v>
      </c>
      <c r="Z13" s="21" t="n">
        <v>9</v>
      </c>
      <c r="AA13" s="21" t="n">
        <v>10</v>
      </c>
      <c r="AB13" s="21" t="n">
        <v>11</v>
      </c>
      <c r="AC13" s="21" t="n">
        <v>12</v>
      </c>
      <c r="AD13" s="21" t="n">
        <v>13</v>
      </c>
      <c r="AE13" s="21" t="n">
        <v>14</v>
      </c>
      <c r="AF13" s="21" t="n">
        <v>15</v>
      </c>
      <c r="AG13" s="21" t="n">
        <v>16</v>
      </c>
      <c r="AI13" s="21" t="n">
        <v>1</v>
      </c>
      <c r="AJ13" s="21" t="n">
        <v>2</v>
      </c>
      <c r="AK13" s="21" t="n">
        <v>3</v>
      </c>
      <c r="AL13" s="21" t="n">
        <v>4</v>
      </c>
      <c r="AM13" s="21" t="n">
        <v>5</v>
      </c>
      <c r="AN13" s="21" t="n">
        <v>6</v>
      </c>
      <c r="AO13" s="21" t="n">
        <v>7</v>
      </c>
      <c r="AP13" s="21" t="n">
        <v>8</v>
      </c>
      <c r="AQ13" s="21" t="n">
        <v>9</v>
      </c>
      <c r="AR13" s="21" t="n">
        <v>10</v>
      </c>
      <c r="AS13" s="21" t="n">
        <v>11</v>
      </c>
      <c r="AT13" s="21" t="n">
        <v>12</v>
      </c>
      <c r="AU13" s="21" t="n">
        <v>13</v>
      </c>
      <c r="AV13" s="21" t="n">
        <v>14</v>
      </c>
      <c r="AW13" s="21" t="n">
        <v>15</v>
      </c>
      <c r="AX13" s="21" t="n">
        <v>16</v>
      </c>
    </row>
    <row r="14" customFormat="false" ht="24" hidden="false" customHeight="true" outlineLevel="0" collapsed="false">
      <c r="B14" s="11" t="s">
        <v>320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customFormat="false" ht="21.75" hidden="false" customHeight="true" outlineLevel="0" collapsed="false">
      <c r="B15" s="23" t="n">
        <v>1</v>
      </c>
      <c r="C15" s="40" t="s">
        <v>321</v>
      </c>
      <c r="D15" s="40" t="s">
        <v>107</v>
      </c>
      <c r="E15" s="44" t="s">
        <v>108</v>
      </c>
      <c r="F15" s="44" t="s">
        <v>70</v>
      </c>
      <c r="G15" s="44"/>
      <c r="H15" s="44"/>
      <c r="I15" s="41" t="n">
        <v>530</v>
      </c>
      <c r="J15" s="24" t="n">
        <f aca="false">IF(I15="","",IF(AND(I15&gt;=470,I15&lt;698),INT((I15-470)/6)+14,"–"))</f>
        <v>24</v>
      </c>
      <c r="K15" s="25" t="n">
        <f aca="false">IF(OR(I15="",COUNT($R15:$AG15)=0),"",MIN($R15:$AG15))</f>
        <v>0.5</v>
      </c>
      <c r="L15" s="24" t="n">
        <f aca="false">IF(K15="","",MATCH(K15,$R15:$AG15,0))</f>
        <v>2</v>
      </c>
      <c r="M15" s="24" t="n">
        <f aca="false">IF(I15="","",COUNTIFS($AI$15:$AX$30,"&gt;"&amp;ROUND((I15-$L$5)*1000,0),$AI$15:$AX$30,"&lt;"&amp;ROUND((I15+$L$5)*1000,0))-COUNTIFS($AI15:$AX15,"&gt;"&amp;ROUND((I15-$L$5)*1000,0),$AI15:$AX15,"&lt;"&amp;ROUND((I15+$L$5)*1000,0))-COUNTIFS(AI$15:AI$30,"&gt;"&amp;ROUND((I15-$L$5)*1000,0),AI$15:AI$30,"&lt;"&amp;ROUND((I15+$L$5)*1000,0)))</f>
        <v>1</v>
      </c>
      <c r="N15" s="26" t="str">
        <f aca="false">IF(I15="",IF(AND(C15&lt;&gt;"",F15="2,4 GHz"),"Automática",""),IF(AND(K15&lt;&gt;"",K15&lt;0.0005),"Repetida",IF(AND(K15&lt;&gt;"",$L$4&lt;&gt;"",K15&lt;$L$4),"Próxima",IF(AND($L$6&lt;&gt;"",$L$7&lt;&gt;"",I15&gt;=$L$6,I15&lt;=$L$7),"Telefonia",IF(AND(I15&gt;=470,I15&lt;698,COUNTIF($E$9:$L$9,INT((I15-470)/6)+14)&gt;0),"TV",IF(M15&gt;0,"Intermod.","OK"))))))</f>
        <v>Intermod.</v>
      </c>
      <c r="O15" s="27" t="str">
        <f aca="false">IF(N15="","",IF(N15="Automática","Sem frequência fixa: o sistema escolhe o canal. Afaste o receptor do roteador Wi-Fi",IF(N15="Repetida","Mesma frequência do sistema nº "&amp;L15&amp;": troque o canal de um dos dois",IF(N15="Próxima","Perto demais do sistema nº "&amp;L15&amp;": afaste as duas frequências",IF(N15="Telefonia","Dentro da faixa a evitar: troque de frequência ou de equipamento",IF(N15="TV","Dentro do canal de TV "&amp;J15&amp;", ativo na cidade: use um canal de TV livre",IF(N15="Intermod.","Há "&amp;M15&amp;" produto(s) de intermodulação perto: troque esta frequência ou use o grupo do fabricante","Manter")))))))</f>
        <v>Há 1 produto(s) de intermodulação perto: troque esta frequência ou use o grupo do fabricante</v>
      </c>
      <c r="P15" s="40"/>
      <c r="R15" s="6"/>
      <c r="S15" s="28" t="n">
        <f aca="false">IF(OR($I15="",$I16=""),"",ROUND(ABS($I15-$I16),4))</f>
        <v>0.5</v>
      </c>
      <c r="T15" s="28" t="n">
        <f aca="false">IF(OR($I15="",$I17=""),"",ROUND(ABS($I15-$I17),4))</f>
        <v>1</v>
      </c>
      <c r="U15" s="28" t="n">
        <f aca="false">IF(OR($I15="",$I18=""),"",ROUND(ABS($I15-$I18),4))</f>
        <v>1.5</v>
      </c>
      <c r="V15" s="28" t="n">
        <f aca="false">IF(OR($I15="",$I19=""),"",ROUND(ABS($I15-$I19),4))</f>
        <v>9.7</v>
      </c>
      <c r="W15" s="28" t="n">
        <f aca="false">IF(OR($I15="",$I20=""),"",ROUND(ABS($I15-$I20),4))</f>
        <v>1.65</v>
      </c>
      <c r="X15" s="28" t="str">
        <f aca="false">IF(OR($I15="",$I21=""),"",ROUND(ABS($I15-$I21),4))</f>
        <v/>
      </c>
      <c r="Y15" s="28" t="str">
        <f aca="false">IF(OR($I15="",$I22=""),"",ROUND(ABS($I15-$I22),4))</f>
        <v/>
      </c>
      <c r="Z15" s="28" t="str">
        <f aca="false">IF(OR($I15="",$I23=""),"",ROUND(ABS($I15-$I23),4))</f>
        <v/>
      </c>
      <c r="AA15" s="28" t="str">
        <f aca="false">IF(OR($I15="",$I24=""),"",ROUND(ABS($I15-$I24),4))</f>
        <v/>
      </c>
      <c r="AB15" s="28" t="str">
        <f aca="false">IF(OR($I15="",$I25=""),"",ROUND(ABS($I15-$I25),4))</f>
        <v/>
      </c>
      <c r="AC15" s="28" t="str">
        <f aca="false">IF(OR($I15="",$I26=""),"",ROUND(ABS($I15-$I26),4))</f>
        <v/>
      </c>
      <c r="AD15" s="28" t="str">
        <f aca="false">IF(OR($I15="",$I27=""),"",ROUND(ABS($I15-$I27),4))</f>
        <v/>
      </c>
      <c r="AE15" s="28" t="str">
        <f aca="false">IF(OR($I15="",$I28=""),"",ROUND(ABS($I15-$I28),4))</f>
        <v/>
      </c>
      <c r="AF15" s="28" t="str">
        <f aca="false">IF(OR($I15="",$I29=""),"",ROUND(ABS($I15-$I29),4))</f>
        <v/>
      </c>
      <c r="AG15" s="28" t="str">
        <f aca="false">IF(OR($I15="",$I30=""),"",ROUND(ABS($I15-$I30),4))</f>
        <v/>
      </c>
      <c r="AI15" s="6"/>
      <c r="AJ15" s="29" t="n">
        <f aca="false">IF(OR($I15="",$I16=""),"",ROUND((2*$I15-$I16)*1000,0))</f>
        <v>529500</v>
      </c>
      <c r="AK15" s="29" t="n">
        <f aca="false">IF(OR($I15="",$I17=""),"",ROUND((2*$I15-$I17)*1000,0))</f>
        <v>529000</v>
      </c>
      <c r="AL15" s="29" t="n">
        <f aca="false">IF(OR($I15="",$I18=""),"",ROUND((2*$I15-$I18)*1000,0))</f>
        <v>528500</v>
      </c>
      <c r="AM15" s="29" t="n">
        <f aca="false">IF(OR($I15="",$I19=""),"",ROUND((2*$I15-$I19)*1000,0))</f>
        <v>539700</v>
      </c>
      <c r="AN15" s="29" t="n">
        <f aca="false">IF(OR($I15="",$I20=""),"",ROUND((2*$I15-$I20)*1000,0))</f>
        <v>528350</v>
      </c>
      <c r="AO15" s="29" t="str">
        <f aca="false">IF(OR($I15="",$I21=""),"",ROUND((2*$I15-$I21)*1000,0))</f>
        <v/>
      </c>
      <c r="AP15" s="29" t="str">
        <f aca="false">IF(OR($I15="",$I22=""),"",ROUND((2*$I15-$I22)*1000,0))</f>
        <v/>
      </c>
      <c r="AQ15" s="29" t="str">
        <f aca="false">IF(OR($I15="",$I23=""),"",ROUND((2*$I15-$I23)*1000,0))</f>
        <v/>
      </c>
      <c r="AR15" s="29" t="str">
        <f aca="false">IF(OR($I15="",$I24=""),"",ROUND((2*$I15-$I24)*1000,0))</f>
        <v/>
      </c>
      <c r="AS15" s="29" t="str">
        <f aca="false">IF(OR($I15="",$I25=""),"",ROUND((2*$I15-$I25)*1000,0))</f>
        <v/>
      </c>
      <c r="AT15" s="29" t="str">
        <f aca="false">IF(OR($I15="",$I26=""),"",ROUND((2*$I15-$I26)*1000,0))</f>
        <v/>
      </c>
      <c r="AU15" s="29" t="str">
        <f aca="false">IF(OR($I15="",$I27=""),"",ROUND((2*$I15-$I27)*1000,0))</f>
        <v/>
      </c>
      <c r="AV15" s="29" t="str">
        <f aca="false">IF(OR($I15="",$I28=""),"",ROUND((2*$I15-$I28)*1000,0))</f>
        <v/>
      </c>
      <c r="AW15" s="29" t="str">
        <f aca="false">IF(OR($I15="",$I29=""),"",ROUND((2*$I15-$I29)*1000,0))</f>
        <v/>
      </c>
      <c r="AX15" s="29" t="str">
        <f aca="false">IF(OR($I15="",$I30=""),"",ROUND((2*$I15-$I30)*1000,0))</f>
        <v/>
      </c>
    </row>
    <row r="16" customFormat="false" ht="21.75" hidden="false" customHeight="true" outlineLevel="0" collapsed="false">
      <c r="B16" s="23" t="n">
        <v>2</v>
      </c>
      <c r="C16" s="40" t="s">
        <v>322</v>
      </c>
      <c r="D16" s="40" t="s">
        <v>323</v>
      </c>
      <c r="E16" s="44" t="s">
        <v>324</v>
      </c>
      <c r="F16" s="44" t="s">
        <v>70</v>
      </c>
      <c r="G16" s="44"/>
      <c r="H16" s="44"/>
      <c r="I16" s="41" t="n">
        <v>530.5</v>
      </c>
      <c r="J16" s="24" t="n">
        <f aca="false">IF(I16="","",IF(AND(I16&gt;=470,I16&lt;698),INT((I16-470)/6)+14,"–"))</f>
        <v>24</v>
      </c>
      <c r="K16" s="25" t="n">
        <f aca="false">IF(OR(I16="",COUNT($R16:$AG16)=0),"",MIN($R16:$AG16))</f>
        <v>0.5</v>
      </c>
      <c r="L16" s="24" t="n">
        <f aca="false">IF(K16="","",MATCH(K16,$R16:$AG16,0))</f>
        <v>1</v>
      </c>
      <c r="M16" s="24" t="n">
        <f aca="false">IF(I16="","",COUNTIFS($AI$15:$AX$30,"&gt;"&amp;ROUND((I16-$L$5)*1000,0),$AI$15:$AX$30,"&lt;"&amp;ROUND((I16+$L$5)*1000,0))-COUNTIFS($AI16:$AX16,"&gt;"&amp;ROUND((I16-$L$5)*1000,0),$AI16:$AX16,"&lt;"&amp;ROUND((I16+$L$5)*1000,0))-COUNTIFS(AJ$15:AJ$30,"&gt;"&amp;ROUND((I16-$L$5)*1000,0),AJ$15:AJ$30,"&lt;"&amp;ROUND((I16+$L$5)*1000,0)))</f>
        <v>1</v>
      </c>
      <c r="N16" s="26" t="str">
        <f aca="false">IF(I16="",IF(AND(C16&lt;&gt;"",F16="2,4 GHz"),"Automática",""),IF(AND(K16&lt;&gt;"",K16&lt;0.0005),"Repetida",IF(AND(K16&lt;&gt;"",$L$4&lt;&gt;"",K16&lt;$L$4),"Próxima",IF(AND($L$6&lt;&gt;"",$L$7&lt;&gt;"",I16&gt;=$L$6,I16&lt;=$L$7),"Telefonia",IF(AND(I16&gt;=470,I16&lt;698,COUNTIF($E$9:$L$9,INT((I16-470)/6)+14)&gt;0),"TV",IF(M16&gt;0,"Intermod.","OK"))))))</f>
        <v>Intermod.</v>
      </c>
      <c r="O16" s="27" t="str">
        <f aca="false">IF(N16="","",IF(N16="Automática","Sem frequência fixa: o sistema escolhe o canal. Afaste o receptor do roteador Wi-Fi",IF(N16="Repetida","Mesma frequência do sistema nº "&amp;L16&amp;": troque o canal de um dos dois",IF(N16="Próxima","Perto demais do sistema nº "&amp;L16&amp;": afaste as duas frequências",IF(N16="Telefonia","Dentro da faixa a evitar: troque de frequência ou de equipamento",IF(N16="TV","Dentro do canal de TV "&amp;J16&amp;", ativo na cidade: use um canal de TV livre",IF(N16="Intermod.","Há "&amp;M16&amp;" produto(s) de intermodulação perto: troque esta frequência ou use o grupo do fabricante","Manter")))))))</f>
        <v>Há 1 produto(s) de intermodulação perto: troque esta frequência ou use o grupo do fabricante</v>
      </c>
      <c r="P16" s="40"/>
      <c r="R16" s="28" t="n">
        <f aca="false">IF(OR($I16="",$I15=""),"",ROUND(ABS($I16-$I15),4))</f>
        <v>0.5</v>
      </c>
      <c r="S16" s="6"/>
      <c r="T16" s="28" t="n">
        <f aca="false">IF(OR($I16="",$I17=""),"",ROUND(ABS($I16-$I17),4))</f>
        <v>0.5</v>
      </c>
      <c r="U16" s="28" t="n">
        <f aca="false">IF(OR($I16="",$I18=""),"",ROUND(ABS($I16-$I18),4))</f>
        <v>1</v>
      </c>
      <c r="V16" s="28" t="n">
        <f aca="false">IF(OR($I16="",$I19=""),"",ROUND(ABS($I16-$I19),4))</f>
        <v>10.2</v>
      </c>
      <c r="W16" s="28" t="n">
        <f aca="false">IF(OR($I16="",$I20=""),"",ROUND(ABS($I16-$I20),4))</f>
        <v>1.15</v>
      </c>
      <c r="X16" s="28" t="str">
        <f aca="false">IF(OR($I16="",$I21=""),"",ROUND(ABS($I16-$I21),4))</f>
        <v/>
      </c>
      <c r="Y16" s="28" t="str">
        <f aca="false">IF(OR($I16="",$I22=""),"",ROUND(ABS($I16-$I22),4))</f>
        <v/>
      </c>
      <c r="Z16" s="28" t="str">
        <f aca="false">IF(OR($I16="",$I23=""),"",ROUND(ABS($I16-$I23),4))</f>
        <v/>
      </c>
      <c r="AA16" s="28" t="str">
        <f aca="false">IF(OR($I16="",$I24=""),"",ROUND(ABS($I16-$I24),4))</f>
        <v/>
      </c>
      <c r="AB16" s="28" t="str">
        <f aca="false">IF(OR($I16="",$I25=""),"",ROUND(ABS($I16-$I25),4))</f>
        <v/>
      </c>
      <c r="AC16" s="28" t="str">
        <f aca="false">IF(OR($I16="",$I26=""),"",ROUND(ABS($I16-$I26),4))</f>
        <v/>
      </c>
      <c r="AD16" s="28" t="str">
        <f aca="false">IF(OR($I16="",$I27=""),"",ROUND(ABS($I16-$I27),4))</f>
        <v/>
      </c>
      <c r="AE16" s="28" t="str">
        <f aca="false">IF(OR($I16="",$I28=""),"",ROUND(ABS($I16-$I28),4))</f>
        <v/>
      </c>
      <c r="AF16" s="28" t="str">
        <f aca="false">IF(OR($I16="",$I29=""),"",ROUND(ABS($I16-$I29),4))</f>
        <v/>
      </c>
      <c r="AG16" s="28" t="str">
        <f aca="false">IF(OR($I16="",$I30=""),"",ROUND(ABS($I16-$I30),4))</f>
        <v/>
      </c>
      <c r="AI16" s="29" t="n">
        <f aca="false">IF(OR($I16="",$I15=""),"",ROUND((2*$I16-$I15)*1000,0))</f>
        <v>531000</v>
      </c>
      <c r="AJ16" s="6"/>
      <c r="AK16" s="29" t="n">
        <f aca="false">IF(OR($I16="",$I17=""),"",ROUND((2*$I16-$I17)*1000,0))</f>
        <v>530000</v>
      </c>
      <c r="AL16" s="29" t="n">
        <f aca="false">IF(OR($I16="",$I18=""),"",ROUND((2*$I16-$I18)*1000,0))</f>
        <v>529500</v>
      </c>
      <c r="AM16" s="29" t="n">
        <f aca="false">IF(OR($I16="",$I19=""),"",ROUND((2*$I16-$I19)*1000,0))</f>
        <v>540700</v>
      </c>
      <c r="AN16" s="29" t="n">
        <f aca="false">IF(OR($I16="",$I20=""),"",ROUND((2*$I16-$I20)*1000,0))</f>
        <v>529350</v>
      </c>
      <c r="AO16" s="29" t="str">
        <f aca="false">IF(OR($I16="",$I21=""),"",ROUND((2*$I16-$I21)*1000,0))</f>
        <v/>
      </c>
      <c r="AP16" s="29" t="str">
        <f aca="false">IF(OR($I16="",$I22=""),"",ROUND((2*$I16-$I22)*1000,0))</f>
        <v/>
      </c>
      <c r="AQ16" s="29" t="str">
        <f aca="false">IF(OR($I16="",$I23=""),"",ROUND((2*$I16-$I23)*1000,0))</f>
        <v/>
      </c>
      <c r="AR16" s="29" t="str">
        <f aca="false">IF(OR($I16="",$I24=""),"",ROUND((2*$I16-$I24)*1000,0))</f>
        <v/>
      </c>
      <c r="AS16" s="29" t="str">
        <f aca="false">IF(OR($I16="",$I25=""),"",ROUND((2*$I16-$I25)*1000,0))</f>
        <v/>
      </c>
      <c r="AT16" s="29" t="str">
        <f aca="false">IF(OR($I16="",$I26=""),"",ROUND((2*$I16-$I26)*1000,0))</f>
        <v/>
      </c>
      <c r="AU16" s="29" t="str">
        <f aca="false">IF(OR($I16="",$I27=""),"",ROUND((2*$I16-$I27)*1000,0))</f>
        <v/>
      </c>
      <c r="AV16" s="29" t="str">
        <f aca="false">IF(OR($I16="",$I28=""),"",ROUND((2*$I16-$I28)*1000,0))</f>
        <v/>
      </c>
      <c r="AW16" s="29" t="str">
        <f aca="false">IF(OR($I16="",$I29=""),"",ROUND((2*$I16-$I29)*1000,0))</f>
        <v/>
      </c>
      <c r="AX16" s="29" t="str">
        <f aca="false">IF(OR($I16="",$I30=""),"",ROUND((2*$I16-$I30)*1000,0))</f>
        <v/>
      </c>
    </row>
    <row r="17" customFormat="false" ht="21.75" hidden="false" customHeight="true" outlineLevel="0" collapsed="false">
      <c r="B17" s="23" t="n">
        <v>3</v>
      </c>
      <c r="C17" s="40" t="s">
        <v>325</v>
      </c>
      <c r="D17" s="40" t="s">
        <v>326</v>
      </c>
      <c r="E17" s="44" t="s">
        <v>324</v>
      </c>
      <c r="F17" s="44" t="s">
        <v>70</v>
      </c>
      <c r="G17" s="44"/>
      <c r="H17" s="44"/>
      <c r="I17" s="41" t="n">
        <v>531</v>
      </c>
      <c r="J17" s="24" t="n">
        <f aca="false">IF(I17="","",IF(AND(I17&gt;=470,I17&lt;698),INT((I17-470)/6)+14,"–"))</f>
        <v>24</v>
      </c>
      <c r="K17" s="25" t="n">
        <f aca="false">IF(OR(I17="",COUNT($R17:$AG17)=0),"",MIN($R17:$AG17))</f>
        <v>0.5</v>
      </c>
      <c r="L17" s="24" t="n">
        <f aca="false">IF(K17="","",MATCH(K17,$R17:$AG17,0))</f>
        <v>2</v>
      </c>
      <c r="M17" s="24" t="n">
        <f aca="false">IF(I17="","",COUNTIFS($AI$15:$AX$30,"&gt;"&amp;ROUND((I17-$L$5)*1000,0),$AI$15:$AX$30,"&lt;"&amp;ROUND((I17+$L$5)*1000,0))-COUNTIFS($AI17:$AX17,"&gt;"&amp;ROUND((I17-$L$5)*1000,0),$AI17:$AX17,"&lt;"&amp;ROUND((I17+$L$5)*1000,0))-COUNTIFS(AK$15:AK$30,"&gt;"&amp;ROUND((I17-$L$5)*1000,0),AK$15:AK$30,"&lt;"&amp;ROUND((I17+$L$5)*1000,0)))</f>
        <v>1</v>
      </c>
      <c r="N17" s="26" t="str">
        <f aca="false">IF(I17="",IF(AND(C17&lt;&gt;"",F17="2,4 GHz"),"Automática",""),IF(AND(K17&lt;&gt;"",K17&lt;0.0005),"Repetida",IF(AND(K17&lt;&gt;"",$L$4&lt;&gt;"",K17&lt;$L$4),"Próxima",IF(AND($L$6&lt;&gt;"",$L$7&lt;&gt;"",I17&gt;=$L$6,I17&lt;=$L$7),"Telefonia",IF(AND(I17&gt;=470,I17&lt;698,COUNTIF($E$9:$L$9,INT((I17-470)/6)+14)&gt;0),"TV",IF(M17&gt;0,"Intermod.","OK"))))))</f>
        <v>Intermod.</v>
      </c>
      <c r="O17" s="27" t="str">
        <f aca="false">IF(N17="","",IF(N17="Automática","Sem frequência fixa: o sistema escolhe o canal. Afaste o receptor do roteador Wi-Fi",IF(N17="Repetida","Mesma frequência do sistema nº "&amp;L17&amp;": troque o canal de um dos dois",IF(N17="Próxima","Perto demais do sistema nº "&amp;L17&amp;": afaste as duas frequências",IF(N17="Telefonia","Dentro da faixa a evitar: troque de frequência ou de equipamento",IF(N17="TV","Dentro do canal de TV "&amp;J17&amp;", ativo na cidade: use um canal de TV livre",IF(N17="Intermod.","Há "&amp;M17&amp;" produto(s) de intermodulação perto: troque esta frequência ou use o grupo do fabricante","Manter")))))))</f>
        <v>Há 1 produto(s) de intermodulação perto: troque esta frequência ou use o grupo do fabricante</v>
      </c>
      <c r="P17" s="40"/>
      <c r="R17" s="28" t="n">
        <f aca="false">IF(OR($I17="",$I15=""),"",ROUND(ABS($I17-$I15),4))</f>
        <v>1</v>
      </c>
      <c r="S17" s="28" t="n">
        <f aca="false">IF(OR($I17="",$I16=""),"",ROUND(ABS($I17-$I16),4))</f>
        <v>0.5</v>
      </c>
      <c r="T17" s="6"/>
      <c r="U17" s="28" t="n">
        <f aca="false">IF(OR($I17="",$I18=""),"",ROUND(ABS($I17-$I18),4))</f>
        <v>0.5</v>
      </c>
      <c r="V17" s="28" t="n">
        <f aca="false">IF(OR($I17="",$I19=""),"",ROUND(ABS($I17-$I19),4))</f>
        <v>10.7</v>
      </c>
      <c r="W17" s="28" t="n">
        <f aca="false">IF(OR($I17="",$I20=""),"",ROUND(ABS($I17-$I20),4))</f>
        <v>0.65</v>
      </c>
      <c r="X17" s="28" t="str">
        <f aca="false">IF(OR($I17="",$I21=""),"",ROUND(ABS($I17-$I21),4))</f>
        <v/>
      </c>
      <c r="Y17" s="28" t="str">
        <f aca="false">IF(OR($I17="",$I22=""),"",ROUND(ABS($I17-$I22),4))</f>
        <v/>
      </c>
      <c r="Z17" s="28" t="str">
        <f aca="false">IF(OR($I17="",$I23=""),"",ROUND(ABS($I17-$I23),4))</f>
        <v/>
      </c>
      <c r="AA17" s="28" t="str">
        <f aca="false">IF(OR($I17="",$I24=""),"",ROUND(ABS($I17-$I24),4))</f>
        <v/>
      </c>
      <c r="AB17" s="28" t="str">
        <f aca="false">IF(OR($I17="",$I25=""),"",ROUND(ABS($I17-$I25),4))</f>
        <v/>
      </c>
      <c r="AC17" s="28" t="str">
        <f aca="false">IF(OR($I17="",$I26=""),"",ROUND(ABS($I17-$I26),4))</f>
        <v/>
      </c>
      <c r="AD17" s="28" t="str">
        <f aca="false">IF(OR($I17="",$I27=""),"",ROUND(ABS($I17-$I27),4))</f>
        <v/>
      </c>
      <c r="AE17" s="28" t="str">
        <f aca="false">IF(OR($I17="",$I28=""),"",ROUND(ABS($I17-$I28),4))</f>
        <v/>
      </c>
      <c r="AF17" s="28" t="str">
        <f aca="false">IF(OR($I17="",$I29=""),"",ROUND(ABS($I17-$I29),4))</f>
        <v/>
      </c>
      <c r="AG17" s="28" t="str">
        <f aca="false">IF(OR($I17="",$I30=""),"",ROUND(ABS($I17-$I30),4))</f>
        <v/>
      </c>
      <c r="AI17" s="29" t="n">
        <f aca="false">IF(OR($I17="",$I15=""),"",ROUND((2*$I17-$I15)*1000,0))</f>
        <v>532000</v>
      </c>
      <c r="AJ17" s="29" t="n">
        <f aca="false">IF(OR($I17="",$I16=""),"",ROUND((2*$I17-$I16)*1000,0))</f>
        <v>531500</v>
      </c>
      <c r="AK17" s="6"/>
      <c r="AL17" s="29" t="n">
        <f aca="false">IF(OR($I17="",$I18=""),"",ROUND((2*$I17-$I18)*1000,0))</f>
        <v>530500</v>
      </c>
      <c r="AM17" s="29" t="n">
        <f aca="false">IF(OR($I17="",$I19=""),"",ROUND((2*$I17-$I19)*1000,0))</f>
        <v>541700</v>
      </c>
      <c r="AN17" s="29" t="n">
        <f aca="false">IF(OR($I17="",$I20=""),"",ROUND((2*$I17-$I20)*1000,0))</f>
        <v>530350</v>
      </c>
      <c r="AO17" s="29" t="str">
        <f aca="false">IF(OR($I17="",$I21=""),"",ROUND((2*$I17-$I21)*1000,0))</f>
        <v/>
      </c>
      <c r="AP17" s="29" t="str">
        <f aca="false">IF(OR($I17="",$I22=""),"",ROUND((2*$I17-$I22)*1000,0))</f>
        <v/>
      </c>
      <c r="AQ17" s="29" t="str">
        <f aca="false">IF(OR($I17="",$I23=""),"",ROUND((2*$I17-$I23)*1000,0))</f>
        <v/>
      </c>
      <c r="AR17" s="29" t="str">
        <f aca="false">IF(OR($I17="",$I24=""),"",ROUND((2*$I17-$I24)*1000,0))</f>
        <v/>
      </c>
      <c r="AS17" s="29" t="str">
        <f aca="false">IF(OR($I17="",$I25=""),"",ROUND((2*$I17-$I25)*1000,0))</f>
        <v/>
      </c>
      <c r="AT17" s="29" t="str">
        <f aca="false">IF(OR($I17="",$I26=""),"",ROUND((2*$I17-$I26)*1000,0))</f>
        <v/>
      </c>
      <c r="AU17" s="29" t="str">
        <f aca="false">IF(OR($I17="",$I27=""),"",ROUND((2*$I17-$I27)*1000,0))</f>
        <v/>
      </c>
      <c r="AV17" s="29" t="str">
        <f aca="false">IF(OR($I17="",$I28=""),"",ROUND((2*$I17-$I28)*1000,0))</f>
        <v/>
      </c>
      <c r="AW17" s="29" t="str">
        <f aca="false">IF(OR($I17="",$I29=""),"",ROUND((2*$I17-$I29)*1000,0))</f>
        <v/>
      </c>
      <c r="AX17" s="29" t="str">
        <f aca="false">IF(OR($I17="",$I30=""),"",ROUND((2*$I17-$I30)*1000,0))</f>
        <v/>
      </c>
    </row>
    <row r="18" customFormat="false" ht="21.75" hidden="false" customHeight="true" outlineLevel="0" collapsed="false">
      <c r="B18" s="23" t="n">
        <v>4</v>
      </c>
      <c r="C18" s="40" t="s">
        <v>327</v>
      </c>
      <c r="D18" s="40" t="s">
        <v>328</v>
      </c>
      <c r="E18" s="44" t="s">
        <v>324</v>
      </c>
      <c r="F18" s="44" t="s">
        <v>70</v>
      </c>
      <c r="G18" s="44"/>
      <c r="H18" s="44"/>
      <c r="I18" s="41" t="n">
        <v>531.5</v>
      </c>
      <c r="J18" s="24" t="n">
        <f aca="false">IF(I18="","",IF(AND(I18&gt;=470,I18&lt;698),INT((I18-470)/6)+14,"–"))</f>
        <v>24</v>
      </c>
      <c r="K18" s="25" t="n">
        <f aca="false">IF(OR(I18="",COUNT($R18:$AG18)=0),"",MIN($R18:$AG18))</f>
        <v>0.15</v>
      </c>
      <c r="L18" s="24" t="n">
        <f aca="false">IF(K18="","",MATCH(K18,$R18:$AG18,0))</f>
        <v>6</v>
      </c>
      <c r="M18" s="24" t="n">
        <f aca="false">IF(I18="","",COUNTIFS($AI$15:$AX$30,"&gt;"&amp;ROUND((I18-$L$5)*1000,0),$AI$15:$AX$30,"&lt;"&amp;ROUND((I18+$L$5)*1000,0))-COUNTIFS($AI18:$AX18,"&gt;"&amp;ROUND((I18-$L$5)*1000,0),$AI18:$AX18,"&lt;"&amp;ROUND((I18+$L$5)*1000,0))-COUNTIFS(AL$15:AL$30,"&gt;"&amp;ROUND((I18-$L$5)*1000,0),AL$15:AL$30,"&lt;"&amp;ROUND((I18+$L$5)*1000,0)))</f>
        <v>1</v>
      </c>
      <c r="N18" s="26" t="str">
        <f aca="false">IF(I18="",IF(AND(C18&lt;&gt;"",F18="2,4 GHz"),"Automática",""),IF(AND(K18&lt;&gt;"",K18&lt;0.0005),"Repetida",IF(AND(K18&lt;&gt;"",$L$4&lt;&gt;"",K18&lt;$L$4),"Próxima",IF(AND($L$6&lt;&gt;"",$L$7&lt;&gt;"",I18&gt;=$L$6,I18&lt;=$L$7),"Telefonia",IF(AND(I18&gt;=470,I18&lt;698,COUNTIF($E$9:$L$9,INT((I18-470)/6)+14)&gt;0),"TV",IF(M18&gt;0,"Intermod.","OK"))))))</f>
        <v>Próxima</v>
      </c>
      <c r="O18" s="27" t="str">
        <f aca="false">IF(N18="","",IF(N18="Automática","Sem frequência fixa: o sistema escolhe o canal. Afaste o receptor do roteador Wi-Fi",IF(N18="Repetida","Mesma frequência do sistema nº "&amp;L18&amp;": troque o canal de um dos dois",IF(N18="Próxima","Perto demais do sistema nº "&amp;L18&amp;": afaste as duas frequências",IF(N18="Telefonia","Dentro da faixa a evitar: troque de frequência ou de equipamento",IF(N18="TV","Dentro do canal de TV "&amp;J18&amp;", ativo na cidade: use um canal de TV livre",IF(N18="Intermod.","Há "&amp;M18&amp;" produto(s) de intermodulação perto: troque esta frequência ou use o grupo do fabricante","Manter")))))))</f>
        <v>Perto demais do sistema nº 6: afaste as duas frequências</v>
      </c>
      <c r="P18" s="40"/>
      <c r="R18" s="28" t="n">
        <f aca="false">IF(OR($I18="",$I15=""),"",ROUND(ABS($I18-$I15),4))</f>
        <v>1.5</v>
      </c>
      <c r="S18" s="28" t="n">
        <f aca="false">IF(OR($I18="",$I16=""),"",ROUND(ABS($I18-$I16),4))</f>
        <v>1</v>
      </c>
      <c r="T18" s="28" t="n">
        <f aca="false">IF(OR($I18="",$I17=""),"",ROUND(ABS($I18-$I17),4))</f>
        <v>0.5</v>
      </c>
      <c r="U18" s="6"/>
      <c r="V18" s="28" t="n">
        <f aca="false">IF(OR($I18="",$I19=""),"",ROUND(ABS($I18-$I19),4))</f>
        <v>11.2</v>
      </c>
      <c r="W18" s="28" t="n">
        <f aca="false">IF(OR($I18="",$I20=""),"",ROUND(ABS($I18-$I20),4))</f>
        <v>0.15</v>
      </c>
      <c r="X18" s="28" t="str">
        <f aca="false">IF(OR($I18="",$I21=""),"",ROUND(ABS($I18-$I21),4))</f>
        <v/>
      </c>
      <c r="Y18" s="28" t="str">
        <f aca="false">IF(OR($I18="",$I22=""),"",ROUND(ABS($I18-$I22),4))</f>
        <v/>
      </c>
      <c r="Z18" s="28" t="str">
        <f aca="false">IF(OR($I18="",$I23=""),"",ROUND(ABS($I18-$I23),4))</f>
        <v/>
      </c>
      <c r="AA18" s="28" t="str">
        <f aca="false">IF(OR($I18="",$I24=""),"",ROUND(ABS($I18-$I24),4))</f>
        <v/>
      </c>
      <c r="AB18" s="28" t="str">
        <f aca="false">IF(OR($I18="",$I25=""),"",ROUND(ABS($I18-$I25),4))</f>
        <v/>
      </c>
      <c r="AC18" s="28" t="str">
        <f aca="false">IF(OR($I18="",$I26=""),"",ROUND(ABS($I18-$I26),4))</f>
        <v/>
      </c>
      <c r="AD18" s="28" t="str">
        <f aca="false">IF(OR($I18="",$I27=""),"",ROUND(ABS($I18-$I27),4))</f>
        <v/>
      </c>
      <c r="AE18" s="28" t="str">
        <f aca="false">IF(OR($I18="",$I28=""),"",ROUND(ABS($I18-$I28),4))</f>
        <v/>
      </c>
      <c r="AF18" s="28" t="str">
        <f aca="false">IF(OR($I18="",$I29=""),"",ROUND(ABS($I18-$I29),4))</f>
        <v/>
      </c>
      <c r="AG18" s="28" t="str">
        <f aca="false">IF(OR($I18="",$I30=""),"",ROUND(ABS($I18-$I30),4))</f>
        <v/>
      </c>
      <c r="AI18" s="29" t="n">
        <f aca="false">IF(OR($I18="",$I15=""),"",ROUND((2*$I18-$I15)*1000,0))</f>
        <v>533000</v>
      </c>
      <c r="AJ18" s="29" t="n">
        <f aca="false">IF(OR($I18="",$I16=""),"",ROUND((2*$I18-$I16)*1000,0))</f>
        <v>532500</v>
      </c>
      <c r="AK18" s="29" t="n">
        <f aca="false">IF(OR($I18="",$I17=""),"",ROUND((2*$I18-$I17)*1000,0))</f>
        <v>532000</v>
      </c>
      <c r="AL18" s="6"/>
      <c r="AM18" s="29" t="n">
        <f aca="false">IF(OR($I18="",$I19=""),"",ROUND((2*$I18-$I19)*1000,0))</f>
        <v>542700</v>
      </c>
      <c r="AN18" s="29" t="n">
        <f aca="false">IF(OR($I18="",$I20=""),"",ROUND((2*$I18-$I20)*1000,0))</f>
        <v>531350</v>
      </c>
      <c r="AO18" s="29" t="str">
        <f aca="false">IF(OR($I18="",$I21=""),"",ROUND((2*$I18-$I21)*1000,0))</f>
        <v/>
      </c>
      <c r="AP18" s="29" t="str">
        <f aca="false">IF(OR($I18="",$I22=""),"",ROUND((2*$I18-$I22)*1000,0))</f>
        <v/>
      </c>
      <c r="AQ18" s="29" t="str">
        <f aca="false">IF(OR($I18="",$I23=""),"",ROUND((2*$I18-$I23)*1000,0))</f>
        <v/>
      </c>
      <c r="AR18" s="29" t="str">
        <f aca="false">IF(OR($I18="",$I24=""),"",ROUND((2*$I18-$I24)*1000,0))</f>
        <v/>
      </c>
      <c r="AS18" s="29" t="str">
        <f aca="false">IF(OR($I18="",$I25=""),"",ROUND((2*$I18-$I25)*1000,0))</f>
        <v/>
      </c>
      <c r="AT18" s="29" t="str">
        <f aca="false">IF(OR($I18="",$I26=""),"",ROUND((2*$I18-$I26)*1000,0))</f>
        <v/>
      </c>
      <c r="AU18" s="29" t="str">
        <f aca="false">IF(OR($I18="",$I27=""),"",ROUND((2*$I18-$I27)*1000,0))</f>
        <v/>
      </c>
      <c r="AV18" s="29" t="str">
        <f aca="false">IF(OR($I18="",$I28=""),"",ROUND((2*$I18-$I28)*1000,0))</f>
        <v/>
      </c>
      <c r="AW18" s="29" t="str">
        <f aca="false">IF(OR($I18="",$I29=""),"",ROUND((2*$I18-$I29)*1000,0))</f>
        <v/>
      </c>
      <c r="AX18" s="29" t="str">
        <f aca="false">IF(OR($I18="",$I30=""),"",ROUND((2*$I18-$I30)*1000,0))</f>
        <v/>
      </c>
    </row>
    <row r="19" customFormat="false" ht="21.75" hidden="false" customHeight="true" outlineLevel="0" collapsed="false">
      <c r="B19" s="23" t="n">
        <v>5</v>
      </c>
      <c r="C19" s="40" t="s">
        <v>329</v>
      </c>
      <c r="D19" s="40" t="s">
        <v>330</v>
      </c>
      <c r="E19" s="44" t="s">
        <v>324</v>
      </c>
      <c r="F19" s="44" t="s">
        <v>70</v>
      </c>
      <c r="G19" s="44"/>
      <c r="H19" s="44"/>
      <c r="I19" s="41" t="n">
        <v>520.3</v>
      </c>
      <c r="J19" s="24" t="n">
        <f aca="false">IF(I19="","",IF(AND(I19&gt;=470,I19&lt;698),INT((I19-470)/6)+14,"–"))</f>
        <v>22</v>
      </c>
      <c r="K19" s="25" t="n">
        <f aca="false">IF(OR(I19="",COUNT($R19:$AG19)=0),"",MIN($R19:$AG19))</f>
        <v>9.7</v>
      </c>
      <c r="L19" s="24" t="n">
        <f aca="false">IF(K19="","",MATCH(K19,$R19:$AG19,0))</f>
        <v>1</v>
      </c>
      <c r="M19" s="24" t="n">
        <f aca="false">IF(I19="","",COUNTIFS($AI$15:$AX$30,"&gt;"&amp;ROUND((I19-$L$5)*1000,0),$AI$15:$AX$30,"&lt;"&amp;ROUND((I19+$L$5)*1000,0))-COUNTIFS($AI19:$AX19,"&gt;"&amp;ROUND((I19-$L$5)*1000,0),$AI19:$AX19,"&lt;"&amp;ROUND((I19+$L$5)*1000,0))-COUNTIFS(AM$15:AM$30,"&gt;"&amp;ROUND((I19-$L$5)*1000,0),AM$15:AM$30,"&lt;"&amp;ROUND((I19+$L$5)*1000,0)))</f>
        <v>0</v>
      </c>
      <c r="N19" s="26" t="str">
        <f aca="false">IF(I19="",IF(AND(C19&lt;&gt;"",F19="2,4 GHz"),"Automática",""),IF(AND(K19&lt;&gt;"",K19&lt;0.0005),"Repetida",IF(AND(K19&lt;&gt;"",$L$4&lt;&gt;"",K19&lt;$L$4),"Próxima",IF(AND($L$6&lt;&gt;"",$L$7&lt;&gt;"",I19&gt;=$L$6,I19&lt;=$L$7),"Telefonia",IF(AND(I19&gt;=470,I19&lt;698,COUNTIF($E$9:$L$9,INT((I19-470)/6)+14)&gt;0),"TV",IF(M19&gt;0,"Intermod.","OK"))))))</f>
        <v>TV</v>
      </c>
      <c r="O19" s="27" t="str">
        <f aca="false">IF(N19="","",IF(N19="Automática","Sem frequência fixa: o sistema escolhe o canal. Afaste o receptor do roteador Wi-Fi",IF(N19="Repetida","Mesma frequência do sistema nº "&amp;L19&amp;": troque o canal de um dos dois",IF(N19="Próxima","Perto demais do sistema nº "&amp;L19&amp;": afaste as duas frequências",IF(N19="Telefonia","Dentro da faixa a evitar: troque de frequência ou de equipamento",IF(N19="TV","Dentro do canal de TV "&amp;J19&amp;", ativo na cidade: use um canal de TV livre",IF(N19="Intermod.","Há "&amp;M19&amp;" produto(s) de intermodulação perto: troque esta frequência ou use o grupo do fabricante","Manter")))))))</f>
        <v>Dentro do canal de TV 22, ativo na cidade: use um canal de TV livre</v>
      </c>
      <c r="P19" s="40"/>
      <c r="R19" s="28" t="n">
        <f aca="false">IF(OR($I19="",$I15=""),"",ROUND(ABS($I19-$I15),4))</f>
        <v>9.7</v>
      </c>
      <c r="S19" s="28" t="n">
        <f aca="false">IF(OR($I19="",$I16=""),"",ROUND(ABS($I19-$I16),4))</f>
        <v>10.2</v>
      </c>
      <c r="T19" s="28" t="n">
        <f aca="false">IF(OR($I19="",$I17=""),"",ROUND(ABS($I19-$I17),4))</f>
        <v>10.7</v>
      </c>
      <c r="U19" s="28" t="n">
        <f aca="false">IF(OR($I19="",$I18=""),"",ROUND(ABS($I19-$I18),4))</f>
        <v>11.2</v>
      </c>
      <c r="V19" s="6"/>
      <c r="W19" s="28" t="n">
        <f aca="false">IF(OR($I19="",$I20=""),"",ROUND(ABS($I19-$I20),4))</f>
        <v>11.35</v>
      </c>
      <c r="X19" s="28" t="str">
        <f aca="false">IF(OR($I19="",$I21=""),"",ROUND(ABS($I19-$I21),4))</f>
        <v/>
      </c>
      <c r="Y19" s="28" t="str">
        <f aca="false">IF(OR($I19="",$I22=""),"",ROUND(ABS($I19-$I22),4))</f>
        <v/>
      </c>
      <c r="Z19" s="28" t="str">
        <f aca="false">IF(OR($I19="",$I23=""),"",ROUND(ABS($I19-$I23),4))</f>
        <v/>
      </c>
      <c r="AA19" s="28" t="str">
        <f aca="false">IF(OR($I19="",$I24=""),"",ROUND(ABS($I19-$I24),4))</f>
        <v/>
      </c>
      <c r="AB19" s="28" t="str">
        <f aca="false">IF(OR($I19="",$I25=""),"",ROUND(ABS($I19-$I25),4))</f>
        <v/>
      </c>
      <c r="AC19" s="28" t="str">
        <f aca="false">IF(OR($I19="",$I26=""),"",ROUND(ABS($I19-$I26),4))</f>
        <v/>
      </c>
      <c r="AD19" s="28" t="str">
        <f aca="false">IF(OR($I19="",$I27=""),"",ROUND(ABS($I19-$I27),4))</f>
        <v/>
      </c>
      <c r="AE19" s="28" t="str">
        <f aca="false">IF(OR($I19="",$I28=""),"",ROUND(ABS($I19-$I28),4))</f>
        <v/>
      </c>
      <c r="AF19" s="28" t="str">
        <f aca="false">IF(OR($I19="",$I29=""),"",ROUND(ABS($I19-$I29),4))</f>
        <v/>
      </c>
      <c r="AG19" s="28" t="str">
        <f aca="false">IF(OR($I19="",$I30=""),"",ROUND(ABS($I19-$I30),4))</f>
        <v/>
      </c>
      <c r="AI19" s="29" t="n">
        <f aca="false">IF(OR($I19="",$I15=""),"",ROUND((2*$I19-$I15)*1000,0))</f>
        <v>510600</v>
      </c>
      <c r="AJ19" s="29" t="n">
        <f aca="false">IF(OR($I19="",$I16=""),"",ROUND((2*$I19-$I16)*1000,0))</f>
        <v>510100</v>
      </c>
      <c r="AK19" s="29" t="n">
        <f aca="false">IF(OR($I19="",$I17=""),"",ROUND((2*$I19-$I17)*1000,0))</f>
        <v>509600</v>
      </c>
      <c r="AL19" s="29" t="n">
        <f aca="false">IF(OR($I19="",$I18=""),"",ROUND((2*$I19-$I18)*1000,0))</f>
        <v>509100</v>
      </c>
      <c r="AM19" s="6"/>
      <c r="AN19" s="29" t="n">
        <f aca="false">IF(OR($I19="",$I20=""),"",ROUND((2*$I19-$I20)*1000,0))</f>
        <v>508950</v>
      </c>
      <c r="AO19" s="29" t="str">
        <f aca="false">IF(OR($I19="",$I21=""),"",ROUND((2*$I19-$I21)*1000,0))</f>
        <v/>
      </c>
      <c r="AP19" s="29" t="str">
        <f aca="false">IF(OR($I19="",$I22=""),"",ROUND((2*$I19-$I22)*1000,0))</f>
        <v/>
      </c>
      <c r="AQ19" s="29" t="str">
        <f aca="false">IF(OR($I19="",$I23=""),"",ROUND((2*$I19-$I23)*1000,0))</f>
        <v/>
      </c>
      <c r="AR19" s="29" t="str">
        <f aca="false">IF(OR($I19="",$I24=""),"",ROUND((2*$I19-$I24)*1000,0))</f>
        <v/>
      </c>
      <c r="AS19" s="29" t="str">
        <f aca="false">IF(OR($I19="",$I25=""),"",ROUND((2*$I19-$I25)*1000,0))</f>
        <v/>
      </c>
      <c r="AT19" s="29" t="str">
        <f aca="false">IF(OR($I19="",$I26=""),"",ROUND((2*$I19-$I26)*1000,0))</f>
        <v/>
      </c>
      <c r="AU19" s="29" t="str">
        <f aca="false">IF(OR($I19="",$I27=""),"",ROUND((2*$I19-$I27)*1000,0))</f>
        <v/>
      </c>
      <c r="AV19" s="29" t="str">
        <f aca="false">IF(OR($I19="",$I28=""),"",ROUND((2*$I19-$I28)*1000,0))</f>
        <v/>
      </c>
      <c r="AW19" s="29" t="str">
        <f aca="false">IF(OR($I19="",$I29=""),"",ROUND((2*$I19-$I29)*1000,0))</f>
        <v/>
      </c>
      <c r="AX19" s="29" t="str">
        <f aca="false">IF(OR($I19="",$I30=""),"",ROUND((2*$I19-$I30)*1000,0))</f>
        <v/>
      </c>
    </row>
    <row r="20" customFormat="false" ht="21.75" hidden="false" customHeight="true" outlineLevel="0" collapsed="false">
      <c r="B20" s="23" t="n">
        <v>6</v>
      </c>
      <c r="C20" s="40" t="s">
        <v>331</v>
      </c>
      <c r="D20" s="40" t="s">
        <v>332</v>
      </c>
      <c r="E20" s="44" t="s">
        <v>324</v>
      </c>
      <c r="F20" s="44" t="s">
        <v>70</v>
      </c>
      <c r="G20" s="44"/>
      <c r="H20" s="44"/>
      <c r="I20" s="41" t="n">
        <v>531.65</v>
      </c>
      <c r="J20" s="24" t="n">
        <f aca="false">IF(I20="","",IF(AND(I20&gt;=470,I20&lt;698),INT((I20-470)/6)+14,"–"))</f>
        <v>24</v>
      </c>
      <c r="K20" s="25" t="n">
        <f aca="false">IF(OR(I20="",COUNT($R20:$AG20)=0),"",MIN($R20:$AG20))</f>
        <v>0.15</v>
      </c>
      <c r="L20" s="24" t="n">
        <f aca="false">IF(K20="","",MATCH(K20,$R20:$AG20,0))</f>
        <v>4</v>
      </c>
      <c r="M20" s="24" t="n">
        <f aca="false">IF(I20="","",COUNTIFS($AI$15:$AX$30,"&gt;"&amp;ROUND((I20-$L$5)*1000,0),$AI$15:$AX$30,"&lt;"&amp;ROUND((I20+$L$5)*1000,0))-COUNTIFS($AI20:$AX20,"&gt;"&amp;ROUND((I20-$L$5)*1000,0),$AI20:$AX20,"&lt;"&amp;ROUND((I20+$L$5)*1000,0))-COUNTIFS(AN$15:AN$30,"&gt;"&amp;ROUND((I20-$L$5)*1000,0),AN$15:AN$30,"&lt;"&amp;ROUND((I20+$L$5)*1000,0)))</f>
        <v>0</v>
      </c>
      <c r="N20" s="26" t="str">
        <f aca="false">IF(I20="",IF(AND(C20&lt;&gt;"",F20="2,4 GHz"),"Automática",""),IF(AND(K20&lt;&gt;"",K20&lt;0.0005),"Repetida",IF(AND(K20&lt;&gt;"",$L$4&lt;&gt;"",K20&lt;$L$4),"Próxima",IF(AND($L$6&lt;&gt;"",$L$7&lt;&gt;"",I20&gt;=$L$6,I20&lt;=$L$7),"Telefonia",IF(AND(I20&gt;=470,I20&lt;698,COUNTIF($E$9:$L$9,INT((I20-470)/6)+14)&gt;0),"TV",IF(M20&gt;0,"Intermod.","OK"))))))</f>
        <v>Próxima</v>
      </c>
      <c r="O20" s="27" t="str">
        <f aca="false">IF(N20="","",IF(N20="Automática","Sem frequência fixa: o sistema escolhe o canal. Afaste o receptor do roteador Wi-Fi",IF(N20="Repetida","Mesma frequência do sistema nº "&amp;L20&amp;": troque o canal de um dos dois",IF(N20="Próxima","Perto demais do sistema nº "&amp;L20&amp;": afaste as duas frequências",IF(N20="Telefonia","Dentro da faixa a evitar: troque de frequência ou de equipamento",IF(N20="TV","Dentro do canal de TV "&amp;J20&amp;", ativo na cidade: use um canal de TV livre",IF(N20="Intermod.","Há "&amp;M20&amp;" produto(s) de intermodulação perto: troque esta frequência ou use o grupo do fabricante","Manter")))))))</f>
        <v>Perto demais do sistema nº 4: afaste as duas frequências</v>
      </c>
      <c r="P20" s="40"/>
      <c r="R20" s="28" t="n">
        <f aca="false">IF(OR($I20="",$I15=""),"",ROUND(ABS($I20-$I15),4))</f>
        <v>1.65</v>
      </c>
      <c r="S20" s="28" t="n">
        <f aca="false">IF(OR($I20="",$I16=""),"",ROUND(ABS($I20-$I16),4))</f>
        <v>1.15</v>
      </c>
      <c r="T20" s="28" t="n">
        <f aca="false">IF(OR($I20="",$I17=""),"",ROUND(ABS($I20-$I17),4))</f>
        <v>0.65</v>
      </c>
      <c r="U20" s="28" t="n">
        <f aca="false">IF(OR($I20="",$I18=""),"",ROUND(ABS($I20-$I18),4))</f>
        <v>0.15</v>
      </c>
      <c r="V20" s="28" t="n">
        <f aca="false">IF(OR($I20="",$I19=""),"",ROUND(ABS($I20-$I19),4))</f>
        <v>11.35</v>
      </c>
      <c r="W20" s="6"/>
      <c r="X20" s="28" t="str">
        <f aca="false">IF(OR($I20="",$I21=""),"",ROUND(ABS($I20-$I21),4))</f>
        <v/>
      </c>
      <c r="Y20" s="28" t="str">
        <f aca="false">IF(OR($I20="",$I22=""),"",ROUND(ABS($I20-$I22),4))</f>
        <v/>
      </c>
      <c r="Z20" s="28" t="str">
        <f aca="false">IF(OR($I20="",$I23=""),"",ROUND(ABS($I20-$I23),4))</f>
        <v/>
      </c>
      <c r="AA20" s="28" t="str">
        <f aca="false">IF(OR($I20="",$I24=""),"",ROUND(ABS($I20-$I24),4))</f>
        <v/>
      </c>
      <c r="AB20" s="28" t="str">
        <f aca="false">IF(OR($I20="",$I25=""),"",ROUND(ABS($I20-$I25),4))</f>
        <v/>
      </c>
      <c r="AC20" s="28" t="str">
        <f aca="false">IF(OR($I20="",$I26=""),"",ROUND(ABS($I20-$I26),4))</f>
        <v/>
      </c>
      <c r="AD20" s="28" t="str">
        <f aca="false">IF(OR($I20="",$I27=""),"",ROUND(ABS($I20-$I27),4))</f>
        <v/>
      </c>
      <c r="AE20" s="28" t="str">
        <f aca="false">IF(OR($I20="",$I28=""),"",ROUND(ABS($I20-$I28),4))</f>
        <v/>
      </c>
      <c r="AF20" s="28" t="str">
        <f aca="false">IF(OR($I20="",$I29=""),"",ROUND(ABS($I20-$I29),4))</f>
        <v/>
      </c>
      <c r="AG20" s="28" t="str">
        <f aca="false">IF(OR($I20="",$I30=""),"",ROUND(ABS($I20-$I30),4))</f>
        <v/>
      </c>
      <c r="AI20" s="29" t="n">
        <f aca="false">IF(OR($I20="",$I15=""),"",ROUND((2*$I20-$I15)*1000,0))</f>
        <v>533300</v>
      </c>
      <c r="AJ20" s="29" t="n">
        <f aca="false">IF(OR($I20="",$I16=""),"",ROUND((2*$I20-$I16)*1000,0))</f>
        <v>532800</v>
      </c>
      <c r="AK20" s="29" t="n">
        <f aca="false">IF(OR($I20="",$I17=""),"",ROUND((2*$I20-$I17)*1000,0))</f>
        <v>532300</v>
      </c>
      <c r="AL20" s="29" t="n">
        <f aca="false">IF(OR($I20="",$I18=""),"",ROUND((2*$I20-$I18)*1000,0))</f>
        <v>531800</v>
      </c>
      <c r="AM20" s="29" t="n">
        <f aca="false">IF(OR($I20="",$I19=""),"",ROUND((2*$I20-$I19)*1000,0))</f>
        <v>543000</v>
      </c>
      <c r="AN20" s="6"/>
      <c r="AO20" s="29" t="str">
        <f aca="false">IF(OR($I20="",$I21=""),"",ROUND((2*$I20-$I21)*1000,0))</f>
        <v/>
      </c>
      <c r="AP20" s="29" t="str">
        <f aca="false">IF(OR($I20="",$I22=""),"",ROUND((2*$I20-$I22)*1000,0))</f>
        <v/>
      </c>
      <c r="AQ20" s="29" t="str">
        <f aca="false">IF(OR($I20="",$I23=""),"",ROUND((2*$I20-$I23)*1000,0))</f>
        <v/>
      </c>
      <c r="AR20" s="29" t="str">
        <f aca="false">IF(OR($I20="",$I24=""),"",ROUND((2*$I20-$I24)*1000,0))</f>
        <v/>
      </c>
      <c r="AS20" s="29" t="str">
        <f aca="false">IF(OR($I20="",$I25=""),"",ROUND((2*$I20-$I25)*1000,0))</f>
        <v/>
      </c>
      <c r="AT20" s="29" t="str">
        <f aca="false">IF(OR($I20="",$I26=""),"",ROUND((2*$I20-$I26)*1000,0))</f>
        <v/>
      </c>
      <c r="AU20" s="29" t="str">
        <f aca="false">IF(OR($I20="",$I27=""),"",ROUND((2*$I20-$I27)*1000,0))</f>
        <v/>
      </c>
      <c r="AV20" s="29" t="str">
        <f aca="false">IF(OR($I20="",$I28=""),"",ROUND((2*$I20-$I28)*1000,0))</f>
        <v/>
      </c>
      <c r="AW20" s="29" t="str">
        <f aca="false">IF(OR($I20="",$I29=""),"",ROUND((2*$I20-$I29)*1000,0))</f>
        <v/>
      </c>
      <c r="AX20" s="29" t="str">
        <f aca="false">IF(OR($I20="",$I30=""),"",ROUND((2*$I20-$I30)*1000,0))</f>
        <v/>
      </c>
    </row>
    <row r="21" customFormat="false" ht="21.75" hidden="false" customHeight="true" outlineLevel="0" collapsed="false">
      <c r="B21" s="23" t="n">
        <v>7</v>
      </c>
      <c r="C21" s="40"/>
      <c r="D21" s="40"/>
      <c r="E21" s="44"/>
      <c r="F21" s="44"/>
      <c r="G21" s="44"/>
      <c r="H21" s="44"/>
      <c r="I21" s="41"/>
      <c r="J21" s="24" t="str">
        <f aca="false">IF(I21="","",IF(AND(I21&gt;=470,I21&lt;698),INT((I21-470)/6)+14,"–"))</f>
        <v/>
      </c>
      <c r="K21" s="25" t="str">
        <f aca="false">IF(OR(I21="",COUNT($R21:$AG21)=0),"",MIN($R21:$AG21))</f>
        <v/>
      </c>
      <c r="L21" s="24" t="str">
        <f aca="false">IF(K21="","",MATCH(K21,$R21:$AG21,0))</f>
        <v/>
      </c>
      <c r="M21" s="24" t="str">
        <f aca="false">IF(I21="","",COUNTIFS($AI$15:$AX$30,"&gt;"&amp;ROUND((I21-$L$5)*1000,0),$AI$15:$AX$30,"&lt;"&amp;ROUND((I21+$L$5)*1000,0))-COUNTIFS($AI21:$AX21,"&gt;"&amp;ROUND((I21-$L$5)*1000,0),$AI21:$AX21,"&lt;"&amp;ROUND((I21+$L$5)*1000,0))-COUNTIFS(AO$15:AO$30,"&gt;"&amp;ROUND((I21-$L$5)*1000,0),AO$15:AO$30,"&lt;"&amp;ROUND((I21+$L$5)*1000,0)))</f>
        <v/>
      </c>
      <c r="N21" s="26" t="str">
        <f aca="false">IF(I21="",IF(AND(C21&lt;&gt;"",F21="2,4 GHz"),"Automática",""),IF(AND(K21&lt;&gt;"",K21&lt;0.0005),"Repetida",IF(AND(K21&lt;&gt;"",$L$4&lt;&gt;"",K21&lt;$L$4),"Próxima",IF(AND($L$6&lt;&gt;"",$L$7&lt;&gt;"",I21&gt;=$L$6,I21&lt;=$L$7),"Telefonia",IF(AND(I21&gt;=470,I21&lt;698,COUNTIF($E$9:$L$9,INT((I21-470)/6)+14)&gt;0),"TV",IF(M21&gt;0,"Intermod.","OK"))))))</f>
        <v/>
      </c>
      <c r="O21" s="27" t="str">
        <f aca="false">IF(N21="","",IF(N21="Automática","Sem frequência fixa: o sistema escolhe o canal. Afaste o receptor do roteador Wi-Fi",IF(N21="Repetida","Mesma frequência do sistema nº "&amp;L21&amp;": troque o canal de um dos dois",IF(N21="Próxima","Perto demais do sistema nº "&amp;L21&amp;": afaste as duas frequências",IF(N21="Telefonia","Dentro da faixa a evitar: troque de frequência ou de equipamento",IF(N21="TV","Dentro do canal de TV "&amp;J21&amp;", ativo na cidade: use um canal de TV livre",IF(N21="Intermod.","Há "&amp;M21&amp;" produto(s) de intermodulação perto: troque esta frequência ou use o grupo do fabricante","Manter")))))))</f>
        <v/>
      </c>
      <c r="P21" s="40"/>
      <c r="R21" s="28" t="str">
        <f aca="false">IF(OR($I21="",$I15=""),"",ROUND(ABS($I21-$I15),4))</f>
        <v/>
      </c>
      <c r="S21" s="28" t="str">
        <f aca="false">IF(OR($I21="",$I16=""),"",ROUND(ABS($I21-$I16),4))</f>
        <v/>
      </c>
      <c r="T21" s="28" t="str">
        <f aca="false">IF(OR($I21="",$I17=""),"",ROUND(ABS($I21-$I17),4))</f>
        <v/>
      </c>
      <c r="U21" s="28" t="str">
        <f aca="false">IF(OR($I21="",$I18=""),"",ROUND(ABS($I21-$I18),4))</f>
        <v/>
      </c>
      <c r="V21" s="28" t="str">
        <f aca="false">IF(OR($I21="",$I19=""),"",ROUND(ABS($I21-$I19),4))</f>
        <v/>
      </c>
      <c r="W21" s="28" t="str">
        <f aca="false">IF(OR($I21="",$I20=""),"",ROUND(ABS($I21-$I20),4))</f>
        <v/>
      </c>
      <c r="X21" s="6"/>
      <c r="Y21" s="28" t="str">
        <f aca="false">IF(OR($I21="",$I22=""),"",ROUND(ABS($I21-$I22),4))</f>
        <v/>
      </c>
      <c r="Z21" s="28" t="str">
        <f aca="false">IF(OR($I21="",$I23=""),"",ROUND(ABS($I21-$I23),4))</f>
        <v/>
      </c>
      <c r="AA21" s="28" t="str">
        <f aca="false">IF(OR($I21="",$I24=""),"",ROUND(ABS($I21-$I24),4))</f>
        <v/>
      </c>
      <c r="AB21" s="28" t="str">
        <f aca="false">IF(OR($I21="",$I25=""),"",ROUND(ABS($I21-$I25),4))</f>
        <v/>
      </c>
      <c r="AC21" s="28" t="str">
        <f aca="false">IF(OR($I21="",$I26=""),"",ROUND(ABS($I21-$I26),4))</f>
        <v/>
      </c>
      <c r="AD21" s="28" t="str">
        <f aca="false">IF(OR($I21="",$I27=""),"",ROUND(ABS($I21-$I27),4))</f>
        <v/>
      </c>
      <c r="AE21" s="28" t="str">
        <f aca="false">IF(OR($I21="",$I28=""),"",ROUND(ABS($I21-$I28),4))</f>
        <v/>
      </c>
      <c r="AF21" s="28" t="str">
        <f aca="false">IF(OR($I21="",$I29=""),"",ROUND(ABS($I21-$I29),4))</f>
        <v/>
      </c>
      <c r="AG21" s="28" t="str">
        <f aca="false">IF(OR($I21="",$I30=""),"",ROUND(ABS($I21-$I30),4))</f>
        <v/>
      </c>
      <c r="AI21" s="29" t="str">
        <f aca="false">IF(OR($I21="",$I15=""),"",ROUND((2*$I21-$I15)*1000,0))</f>
        <v/>
      </c>
      <c r="AJ21" s="29" t="str">
        <f aca="false">IF(OR($I21="",$I16=""),"",ROUND((2*$I21-$I16)*1000,0))</f>
        <v/>
      </c>
      <c r="AK21" s="29" t="str">
        <f aca="false">IF(OR($I21="",$I17=""),"",ROUND((2*$I21-$I17)*1000,0))</f>
        <v/>
      </c>
      <c r="AL21" s="29" t="str">
        <f aca="false">IF(OR($I21="",$I18=""),"",ROUND((2*$I21-$I18)*1000,0))</f>
        <v/>
      </c>
      <c r="AM21" s="29" t="str">
        <f aca="false">IF(OR($I21="",$I19=""),"",ROUND((2*$I21-$I19)*1000,0))</f>
        <v/>
      </c>
      <c r="AN21" s="29" t="str">
        <f aca="false">IF(OR($I21="",$I20=""),"",ROUND((2*$I21-$I20)*1000,0))</f>
        <v/>
      </c>
      <c r="AO21" s="6"/>
      <c r="AP21" s="29" t="str">
        <f aca="false">IF(OR($I21="",$I22=""),"",ROUND((2*$I21-$I22)*1000,0))</f>
        <v/>
      </c>
      <c r="AQ21" s="29" t="str">
        <f aca="false">IF(OR($I21="",$I23=""),"",ROUND((2*$I21-$I23)*1000,0))</f>
        <v/>
      </c>
      <c r="AR21" s="29" t="str">
        <f aca="false">IF(OR($I21="",$I24=""),"",ROUND((2*$I21-$I24)*1000,0))</f>
        <v/>
      </c>
      <c r="AS21" s="29" t="str">
        <f aca="false">IF(OR($I21="",$I25=""),"",ROUND((2*$I21-$I25)*1000,0))</f>
        <v/>
      </c>
      <c r="AT21" s="29" t="str">
        <f aca="false">IF(OR($I21="",$I26=""),"",ROUND((2*$I21-$I26)*1000,0))</f>
        <v/>
      </c>
      <c r="AU21" s="29" t="str">
        <f aca="false">IF(OR($I21="",$I27=""),"",ROUND((2*$I21-$I27)*1000,0))</f>
        <v/>
      </c>
      <c r="AV21" s="29" t="str">
        <f aca="false">IF(OR($I21="",$I28=""),"",ROUND((2*$I21-$I28)*1000,0))</f>
        <v/>
      </c>
      <c r="AW21" s="29" t="str">
        <f aca="false">IF(OR($I21="",$I29=""),"",ROUND((2*$I21-$I29)*1000,0))</f>
        <v/>
      </c>
      <c r="AX21" s="29" t="str">
        <f aca="false">IF(OR($I21="",$I30=""),"",ROUND((2*$I21-$I30)*1000,0))</f>
        <v/>
      </c>
    </row>
    <row r="22" customFormat="false" ht="21.75" hidden="false" customHeight="true" outlineLevel="0" collapsed="false">
      <c r="B22" s="23" t="n">
        <v>8</v>
      </c>
      <c r="C22" s="40"/>
      <c r="D22" s="40"/>
      <c r="E22" s="44"/>
      <c r="F22" s="44"/>
      <c r="G22" s="44"/>
      <c r="H22" s="44"/>
      <c r="I22" s="41"/>
      <c r="J22" s="24" t="str">
        <f aca="false">IF(I22="","",IF(AND(I22&gt;=470,I22&lt;698),INT((I22-470)/6)+14,"–"))</f>
        <v/>
      </c>
      <c r="K22" s="25" t="str">
        <f aca="false">IF(OR(I22="",COUNT($R22:$AG22)=0),"",MIN($R22:$AG22))</f>
        <v/>
      </c>
      <c r="L22" s="24" t="str">
        <f aca="false">IF(K22="","",MATCH(K22,$R22:$AG22,0))</f>
        <v/>
      </c>
      <c r="M22" s="24" t="str">
        <f aca="false">IF(I22="","",COUNTIFS($AI$15:$AX$30,"&gt;"&amp;ROUND((I22-$L$5)*1000,0),$AI$15:$AX$30,"&lt;"&amp;ROUND((I22+$L$5)*1000,0))-COUNTIFS($AI22:$AX22,"&gt;"&amp;ROUND((I22-$L$5)*1000,0),$AI22:$AX22,"&lt;"&amp;ROUND((I22+$L$5)*1000,0))-COUNTIFS(AP$15:AP$30,"&gt;"&amp;ROUND((I22-$L$5)*1000,0),AP$15:AP$30,"&lt;"&amp;ROUND((I22+$L$5)*1000,0)))</f>
        <v/>
      </c>
      <c r="N22" s="26" t="str">
        <f aca="false">IF(I22="",IF(AND(C22&lt;&gt;"",F22="2,4 GHz"),"Automática",""),IF(AND(K22&lt;&gt;"",K22&lt;0.0005),"Repetida",IF(AND(K22&lt;&gt;"",$L$4&lt;&gt;"",K22&lt;$L$4),"Próxima",IF(AND($L$6&lt;&gt;"",$L$7&lt;&gt;"",I22&gt;=$L$6,I22&lt;=$L$7),"Telefonia",IF(AND(I22&gt;=470,I22&lt;698,COUNTIF($E$9:$L$9,INT((I22-470)/6)+14)&gt;0),"TV",IF(M22&gt;0,"Intermod.","OK"))))))</f>
        <v/>
      </c>
      <c r="O22" s="27" t="str">
        <f aca="false">IF(N22="","",IF(N22="Automática","Sem frequência fixa: o sistema escolhe o canal. Afaste o receptor do roteador Wi-Fi",IF(N22="Repetida","Mesma frequência do sistema nº "&amp;L22&amp;": troque o canal de um dos dois",IF(N22="Próxima","Perto demais do sistema nº "&amp;L22&amp;": afaste as duas frequências",IF(N22="Telefonia","Dentro da faixa a evitar: troque de frequência ou de equipamento",IF(N22="TV","Dentro do canal de TV "&amp;J22&amp;", ativo na cidade: use um canal de TV livre",IF(N22="Intermod.","Há "&amp;M22&amp;" produto(s) de intermodulação perto: troque esta frequência ou use o grupo do fabricante","Manter")))))))</f>
        <v/>
      </c>
      <c r="P22" s="40"/>
      <c r="R22" s="28" t="str">
        <f aca="false">IF(OR($I22="",$I15=""),"",ROUND(ABS($I22-$I15),4))</f>
        <v/>
      </c>
      <c r="S22" s="28" t="str">
        <f aca="false">IF(OR($I22="",$I16=""),"",ROUND(ABS($I22-$I16),4))</f>
        <v/>
      </c>
      <c r="T22" s="28" t="str">
        <f aca="false">IF(OR($I22="",$I17=""),"",ROUND(ABS($I22-$I17),4))</f>
        <v/>
      </c>
      <c r="U22" s="28" t="str">
        <f aca="false">IF(OR($I22="",$I18=""),"",ROUND(ABS($I22-$I18),4))</f>
        <v/>
      </c>
      <c r="V22" s="28" t="str">
        <f aca="false">IF(OR($I22="",$I19=""),"",ROUND(ABS($I22-$I19),4))</f>
        <v/>
      </c>
      <c r="W22" s="28" t="str">
        <f aca="false">IF(OR($I22="",$I20=""),"",ROUND(ABS($I22-$I20),4))</f>
        <v/>
      </c>
      <c r="X22" s="28" t="str">
        <f aca="false">IF(OR($I22="",$I21=""),"",ROUND(ABS($I22-$I21),4))</f>
        <v/>
      </c>
      <c r="Y22" s="6"/>
      <c r="Z22" s="28" t="str">
        <f aca="false">IF(OR($I22="",$I23=""),"",ROUND(ABS($I22-$I23),4))</f>
        <v/>
      </c>
      <c r="AA22" s="28" t="str">
        <f aca="false">IF(OR($I22="",$I24=""),"",ROUND(ABS($I22-$I24),4))</f>
        <v/>
      </c>
      <c r="AB22" s="28" t="str">
        <f aca="false">IF(OR($I22="",$I25=""),"",ROUND(ABS($I22-$I25),4))</f>
        <v/>
      </c>
      <c r="AC22" s="28" t="str">
        <f aca="false">IF(OR($I22="",$I26=""),"",ROUND(ABS($I22-$I26),4))</f>
        <v/>
      </c>
      <c r="AD22" s="28" t="str">
        <f aca="false">IF(OR($I22="",$I27=""),"",ROUND(ABS($I22-$I27),4))</f>
        <v/>
      </c>
      <c r="AE22" s="28" t="str">
        <f aca="false">IF(OR($I22="",$I28=""),"",ROUND(ABS($I22-$I28),4))</f>
        <v/>
      </c>
      <c r="AF22" s="28" t="str">
        <f aca="false">IF(OR($I22="",$I29=""),"",ROUND(ABS($I22-$I29),4))</f>
        <v/>
      </c>
      <c r="AG22" s="28" t="str">
        <f aca="false">IF(OR($I22="",$I30=""),"",ROUND(ABS($I22-$I30),4))</f>
        <v/>
      </c>
      <c r="AI22" s="29" t="str">
        <f aca="false">IF(OR($I22="",$I15=""),"",ROUND((2*$I22-$I15)*1000,0))</f>
        <v/>
      </c>
      <c r="AJ22" s="29" t="str">
        <f aca="false">IF(OR($I22="",$I16=""),"",ROUND((2*$I22-$I16)*1000,0))</f>
        <v/>
      </c>
      <c r="AK22" s="29" t="str">
        <f aca="false">IF(OR($I22="",$I17=""),"",ROUND((2*$I22-$I17)*1000,0))</f>
        <v/>
      </c>
      <c r="AL22" s="29" t="str">
        <f aca="false">IF(OR($I22="",$I18=""),"",ROUND((2*$I22-$I18)*1000,0))</f>
        <v/>
      </c>
      <c r="AM22" s="29" t="str">
        <f aca="false">IF(OR($I22="",$I19=""),"",ROUND((2*$I22-$I19)*1000,0))</f>
        <v/>
      </c>
      <c r="AN22" s="29" t="str">
        <f aca="false">IF(OR($I22="",$I20=""),"",ROUND((2*$I22-$I20)*1000,0))</f>
        <v/>
      </c>
      <c r="AO22" s="29" t="str">
        <f aca="false">IF(OR($I22="",$I21=""),"",ROUND((2*$I22-$I21)*1000,0))</f>
        <v/>
      </c>
      <c r="AP22" s="6"/>
      <c r="AQ22" s="29" t="str">
        <f aca="false">IF(OR($I22="",$I23=""),"",ROUND((2*$I22-$I23)*1000,0))</f>
        <v/>
      </c>
      <c r="AR22" s="29" t="str">
        <f aca="false">IF(OR($I22="",$I24=""),"",ROUND((2*$I22-$I24)*1000,0))</f>
        <v/>
      </c>
      <c r="AS22" s="29" t="str">
        <f aca="false">IF(OR($I22="",$I25=""),"",ROUND((2*$I22-$I25)*1000,0))</f>
        <v/>
      </c>
      <c r="AT22" s="29" t="str">
        <f aca="false">IF(OR($I22="",$I26=""),"",ROUND((2*$I22-$I26)*1000,0))</f>
        <v/>
      </c>
      <c r="AU22" s="29" t="str">
        <f aca="false">IF(OR($I22="",$I27=""),"",ROUND((2*$I22-$I27)*1000,0))</f>
        <v/>
      </c>
      <c r="AV22" s="29" t="str">
        <f aca="false">IF(OR($I22="",$I28=""),"",ROUND((2*$I22-$I28)*1000,0))</f>
        <v/>
      </c>
      <c r="AW22" s="29" t="str">
        <f aca="false">IF(OR($I22="",$I29=""),"",ROUND((2*$I22-$I29)*1000,0))</f>
        <v/>
      </c>
      <c r="AX22" s="29" t="str">
        <f aca="false">IF(OR($I22="",$I30=""),"",ROUND((2*$I22-$I30)*1000,0))</f>
        <v/>
      </c>
    </row>
    <row r="23" customFormat="false" ht="21.75" hidden="false" customHeight="true" outlineLevel="0" collapsed="false">
      <c r="B23" s="23" t="n">
        <v>9</v>
      </c>
      <c r="C23" s="40"/>
      <c r="D23" s="40"/>
      <c r="E23" s="44"/>
      <c r="F23" s="44"/>
      <c r="G23" s="44"/>
      <c r="H23" s="44"/>
      <c r="I23" s="41"/>
      <c r="J23" s="24" t="str">
        <f aca="false">IF(I23="","",IF(AND(I23&gt;=470,I23&lt;698),INT((I23-470)/6)+14,"–"))</f>
        <v/>
      </c>
      <c r="K23" s="25" t="str">
        <f aca="false">IF(OR(I23="",COUNT($R23:$AG23)=0),"",MIN($R23:$AG23))</f>
        <v/>
      </c>
      <c r="L23" s="24" t="str">
        <f aca="false">IF(K23="","",MATCH(K23,$R23:$AG23,0))</f>
        <v/>
      </c>
      <c r="M23" s="24" t="str">
        <f aca="false">IF(I23="","",COUNTIFS($AI$15:$AX$30,"&gt;"&amp;ROUND((I23-$L$5)*1000,0),$AI$15:$AX$30,"&lt;"&amp;ROUND((I23+$L$5)*1000,0))-COUNTIFS($AI23:$AX23,"&gt;"&amp;ROUND((I23-$L$5)*1000,0),$AI23:$AX23,"&lt;"&amp;ROUND((I23+$L$5)*1000,0))-COUNTIFS(AQ$15:AQ$30,"&gt;"&amp;ROUND((I23-$L$5)*1000,0),AQ$15:AQ$30,"&lt;"&amp;ROUND((I23+$L$5)*1000,0)))</f>
        <v/>
      </c>
      <c r="N23" s="26" t="str">
        <f aca="false">IF(I23="",IF(AND(C23&lt;&gt;"",F23="2,4 GHz"),"Automática",""),IF(AND(K23&lt;&gt;"",K23&lt;0.0005),"Repetida",IF(AND(K23&lt;&gt;"",$L$4&lt;&gt;"",K23&lt;$L$4),"Próxima",IF(AND($L$6&lt;&gt;"",$L$7&lt;&gt;"",I23&gt;=$L$6,I23&lt;=$L$7),"Telefonia",IF(AND(I23&gt;=470,I23&lt;698,COUNTIF($E$9:$L$9,INT((I23-470)/6)+14)&gt;0),"TV",IF(M23&gt;0,"Intermod.","OK"))))))</f>
        <v/>
      </c>
      <c r="O23" s="27" t="str">
        <f aca="false">IF(N23="","",IF(N23="Automática","Sem frequência fixa: o sistema escolhe o canal. Afaste o receptor do roteador Wi-Fi",IF(N23="Repetida","Mesma frequência do sistema nº "&amp;L23&amp;": troque o canal de um dos dois",IF(N23="Próxima","Perto demais do sistema nº "&amp;L23&amp;": afaste as duas frequências",IF(N23="Telefonia","Dentro da faixa a evitar: troque de frequência ou de equipamento",IF(N23="TV","Dentro do canal de TV "&amp;J23&amp;", ativo na cidade: use um canal de TV livre",IF(N23="Intermod.","Há "&amp;M23&amp;" produto(s) de intermodulação perto: troque esta frequência ou use o grupo do fabricante","Manter")))))))</f>
        <v/>
      </c>
      <c r="P23" s="40"/>
      <c r="R23" s="28" t="str">
        <f aca="false">IF(OR($I23="",$I15=""),"",ROUND(ABS($I23-$I15),4))</f>
        <v/>
      </c>
      <c r="S23" s="28" t="str">
        <f aca="false">IF(OR($I23="",$I16=""),"",ROUND(ABS($I23-$I16),4))</f>
        <v/>
      </c>
      <c r="T23" s="28" t="str">
        <f aca="false">IF(OR($I23="",$I17=""),"",ROUND(ABS($I23-$I17),4))</f>
        <v/>
      </c>
      <c r="U23" s="28" t="str">
        <f aca="false">IF(OR($I23="",$I18=""),"",ROUND(ABS($I23-$I18),4))</f>
        <v/>
      </c>
      <c r="V23" s="28" t="str">
        <f aca="false">IF(OR($I23="",$I19=""),"",ROUND(ABS($I23-$I19),4))</f>
        <v/>
      </c>
      <c r="W23" s="28" t="str">
        <f aca="false">IF(OR($I23="",$I20=""),"",ROUND(ABS($I23-$I20),4))</f>
        <v/>
      </c>
      <c r="X23" s="28" t="str">
        <f aca="false">IF(OR($I23="",$I21=""),"",ROUND(ABS($I23-$I21),4))</f>
        <v/>
      </c>
      <c r="Y23" s="28" t="str">
        <f aca="false">IF(OR($I23="",$I22=""),"",ROUND(ABS($I23-$I22),4))</f>
        <v/>
      </c>
      <c r="Z23" s="6"/>
      <c r="AA23" s="28" t="str">
        <f aca="false">IF(OR($I23="",$I24=""),"",ROUND(ABS($I23-$I24),4))</f>
        <v/>
      </c>
      <c r="AB23" s="28" t="str">
        <f aca="false">IF(OR($I23="",$I25=""),"",ROUND(ABS($I23-$I25),4))</f>
        <v/>
      </c>
      <c r="AC23" s="28" t="str">
        <f aca="false">IF(OR($I23="",$I26=""),"",ROUND(ABS($I23-$I26),4))</f>
        <v/>
      </c>
      <c r="AD23" s="28" t="str">
        <f aca="false">IF(OR($I23="",$I27=""),"",ROUND(ABS($I23-$I27),4))</f>
        <v/>
      </c>
      <c r="AE23" s="28" t="str">
        <f aca="false">IF(OR($I23="",$I28=""),"",ROUND(ABS($I23-$I28),4))</f>
        <v/>
      </c>
      <c r="AF23" s="28" t="str">
        <f aca="false">IF(OR($I23="",$I29=""),"",ROUND(ABS($I23-$I29),4))</f>
        <v/>
      </c>
      <c r="AG23" s="28" t="str">
        <f aca="false">IF(OR($I23="",$I30=""),"",ROUND(ABS($I23-$I30),4))</f>
        <v/>
      </c>
      <c r="AI23" s="29" t="str">
        <f aca="false">IF(OR($I23="",$I15=""),"",ROUND((2*$I23-$I15)*1000,0))</f>
        <v/>
      </c>
      <c r="AJ23" s="29" t="str">
        <f aca="false">IF(OR($I23="",$I16=""),"",ROUND((2*$I23-$I16)*1000,0))</f>
        <v/>
      </c>
      <c r="AK23" s="29" t="str">
        <f aca="false">IF(OR($I23="",$I17=""),"",ROUND((2*$I23-$I17)*1000,0))</f>
        <v/>
      </c>
      <c r="AL23" s="29" t="str">
        <f aca="false">IF(OR($I23="",$I18=""),"",ROUND((2*$I23-$I18)*1000,0))</f>
        <v/>
      </c>
      <c r="AM23" s="29" t="str">
        <f aca="false">IF(OR($I23="",$I19=""),"",ROUND((2*$I23-$I19)*1000,0))</f>
        <v/>
      </c>
      <c r="AN23" s="29" t="str">
        <f aca="false">IF(OR($I23="",$I20=""),"",ROUND((2*$I23-$I20)*1000,0))</f>
        <v/>
      </c>
      <c r="AO23" s="29" t="str">
        <f aca="false">IF(OR($I23="",$I21=""),"",ROUND((2*$I23-$I21)*1000,0))</f>
        <v/>
      </c>
      <c r="AP23" s="29" t="str">
        <f aca="false">IF(OR($I23="",$I22=""),"",ROUND((2*$I23-$I22)*1000,0))</f>
        <v/>
      </c>
      <c r="AQ23" s="6"/>
      <c r="AR23" s="29" t="str">
        <f aca="false">IF(OR($I23="",$I24=""),"",ROUND((2*$I23-$I24)*1000,0))</f>
        <v/>
      </c>
      <c r="AS23" s="29" t="str">
        <f aca="false">IF(OR($I23="",$I25=""),"",ROUND((2*$I23-$I25)*1000,0))</f>
        <v/>
      </c>
      <c r="AT23" s="29" t="str">
        <f aca="false">IF(OR($I23="",$I26=""),"",ROUND((2*$I23-$I26)*1000,0))</f>
        <v/>
      </c>
      <c r="AU23" s="29" t="str">
        <f aca="false">IF(OR($I23="",$I27=""),"",ROUND((2*$I23-$I27)*1000,0))</f>
        <v/>
      </c>
      <c r="AV23" s="29" t="str">
        <f aca="false">IF(OR($I23="",$I28=""),"",ROUND((2*$I23-$I28)*1000,0))</f>
        <v/>
      </c>
      <c r="AW23" s="29" t="str">
        <f aca="false">IF(OR($I23="",$I29=""),"",ROUND((2*$I23-$I29)*1000,0))</f>
        <v/>
      </c>
      <c r="AX23" s="29" t="str">
        <f aca="false">IF(OR($I23="",$I30=""),"",ROUND((2*$I23-$I30)*1000,0))</f>
        <v/>
      </c>
    </row>
    <row r="24" customFormat="false" ht="21.75" hidden="false" customHeight="true" outlineLevel="0" collapsed="false">
      <c r="B24" s="23" t="n">
        <v>10</v>
      </c>
      <c r="C24" s="40"/>
      <c r="D24" s="40"/>
      <c r="E24" s="44"/>
      <c r="F24" s="44"/>
      <c r="G24" s="44"/>
      <c r="H24" s="44"/>
      <c r="I24" s="41"/>
      <c r="J24" s="24" t="str">
        <f aca="false">IF(I24="","",IF(AND(I24&gt;=470,I24&lt;698),INT((I24-470)/6)+14,"–"))</f>
        <v/>
      </c>
      <c r="K24" s="25" t="str">
        <f aca="false">IF(OR(I24="",COUNT($R24:$AG24)=0),"",MIN($R24:$AG24))</f>
        <v/>
      </c>
      <c r="L24" s="24" t="str">
        <f aca="false">IF(K24="","",MATCH(K24,$R24:$AG24,0))</f>
        <v/>
      </c>
      <c r="M24" s="24" t="str">
        <f aca="false">IF(I24="","",COUNTIFS($AI$15:$AX$30,"&gt;"&amp;ROUND((I24-$L$5)*1000,0),$AI$15:$AX$30,"&lt;"&amp;ROUND((I24+$L$5)*1000,0))-COUNTIFS($AI24:$AX24,"&gt;"&amp;ROUND((I24-$L$5)*1000,0),$AI24:$AX24,"&lt;"&amp;ROUND((I24+$L$5)*1000,0))-COUNTIFS(AR$15:AR$30,"&gt;"&amp;ROUND((I24-$L$5)*1000,0),AR$15:AR$30,"&lt;"&amp;ROUND((I24+$L$5)*1000,0)))</f>
        <v/>
      </c>
      <c r="N24" s="26" t="str">
        <f aca="false">IF(I24="",IF(AND(C24&lt;&gt;"",F24="2,4 GHz"),"Automática",""),IF(AND(K24&lt;&gt;"",K24&lt;0.0005),"Repetida",IF(AND(K24&lt;&gt;"",$L$4&lt;&gt;"",K24&lt;$L$4),"Próxima",IF(AND($L$6&lt;&gt;"",$L$7&lt;&gt;"",I24&gt;=$L$6,I24&lt;=$L$7),"Telefonia",IF(AND(I24&gt;=470,I24&lt;698,COUNTIF($E$9:$L$9,INT((I24-470)/6)+14)&gt;0),"TV",IF(M24&gt;0,"Intermod.","OK"))))))</f>
        <v/>
      </c>
      <c r="O24" s="27" t="str">
        <f aca="false">IF(N24="","",IF(N24="Automática","Sem frequência fixa: o sistema escolhe o canal. Afaste o receptor do roteador Wi-Fi",IF(N24="Repetida","Mesma frequência do sistema nº "&amp;L24&amp;": troque o canal de um dos dois",IF(N24="Próxima","Perto demais do sistema nº "&amp;L24&amp;": afaste as duas frequências",IF(N24="Telefonia","Dentro da faixa a evitar: troque de frequência ou de equipamento",IF(N24="TV","Dentro do canal de TV "&amp;J24&amp;", ativo na cidade: use um canal de TV livre",IF(N24="Intermod.","Há "&amp;M24&amp;" produto(s) de intermodulação perto: troque esta frequência ou use o grupo do fabricante","Manter")))))))</f>
        <v/>
      </c>
      <c r="P24" s="40"/>
      <c r="R24" s="28" t="str">
        <f aca="false">IF(OR($I24="",$I15=""),"",ROUND(ABS($I24-$I15),4))</f>
        <v/>
      </c>
      <c r="S24" s="28" t="str">
        <f aca="false">IF(OR($I24="",$I16=""),"",ROUND(ABS($I24-$I16),4))</f>
        <v/>
      </c>
      <c r="T24" s="28" t="str">
        <f aca="false">IF(OR($I24="",$I17=""),"",ROUND(ABS($I24-$I17),4))</f>
        <v/>
      </c>
      <c r="U24" s="28" t="str">
        <f aca="false">IF(OR($I24="",$I18=""),"",ROUND(ABS($I24-$I18),4))</f>
        <v/>
      </c>
      <c r="V24" s="28" t="str">
        <f aca="false">IF(OR($I24="",$I19=""),"",ROUND(ABS($I24-$I19),4))</f>
        <v/>
      </c>
      <c r="W24" s="28" t="str">
        <f aca="false">IF(OR($I24="",$I20=""),"",ROUND(ABS($I24-$I20),4))</f>
        <v/>
      </c>
      <c r="X24" s="28" t="str">
        <f aca="false">IF(OR($I24="",$I21=""),"",ROUND(ABS($I24-$I21),4))</f>
        <v/>
      </c>
      <c r="Y24" s="28" t="str">
        <f aca="false">IF(OR($I24="",$I22=""),"",ROUND(ABS($I24-$I22),4))</f>
        <v/>
      </c>
      <c r="Z24" s="28" t="str">
        <f aca="false">IF(OR($I24="",$I23=""),"",ROUND(ABS($I24-$I23),4))</f>
        <v/>
      </c>
      <c r="AA24" s="6"/>
      <c r="AB24" s="28" t="str">
        <f aca="false">IF(OR($I24="",$I25=""),"",ROUND(ABS($I24-$I25),4))</f>
        <v/>
      </c>
      <c r="AC24" s="28" t="str">
        <f aca="false">IF(OR($I24="",$I26=""),"",ROUND(ABS($I24-$I26),4))</f>
        <v/>
      </c>
      <c r="AD24" s="28" t="str">
        <f aca="false">IF(OR($I24="",$I27=""),"",ROUND(ABS($I24-$I27),4))</f>
        <v/>
      </c>
      <c r="AE24" s="28" t="str">
        <f aca="false">IF(OR($I24="",$I28=""),"",ROUND(ABS($I24-$I28),4))</f>
        <v/>
      </c>
      <c r="AF24" s="28" t="str">
        <f aca="false">IF(OR($I24="",$I29=""),"",ROUND(ABS($I24-$I29),4))</f>
        <v/>
      </c>
      <c r="AG24" s="28" t="str">
        <f aca="false">IF(OR($I24="",$I30=""),"",ROUND(ABS($I24-$I30),4))</f>
        <v/>
      </c>
      <c r="AI24" s="29" t="str">
        <f aca="false">IF(OR($I24="",$I15=""),"",ROUND((2*$I24-$I15)*1000,0))</f>
        <v/>
      </c>
      <c r="AJ24" s="29" t="str">
        <f aca="false">IF(OR($I24="",$I16=""),"",ROUND((2*$I24-$I16)*1000,0))</f>
        <v/>
      </c>
      <c r="AK24" s="29" t="str">
        <f aca="false">IF(OR($I24="",$I17=""),"",ROUND((2*$I24-$I17)*1000,0))</f>
        <v/>
      </c>
      <c r="AL24" s="29" t="str">
        <f aca="false">IF(OR($I24="",$I18=""),"",ROUND((2*$I24-$I18)*1000,0))</f>
        <v/>
      </c>
      <c r="AM24" s="29" t="str">
        <f aca="false">IF(OR($I24="",$I19=""),"",ROUND((2*$I24-$I19)*1000,0))</f>
        <v/>
      </c>
      <c r="AN24" s="29" t="str">
        <f aca="false">IF(OR($I24="",$I20=""),"",ROUND((2*$I24-$I20)*1000,0))</f>
        <v/>
      </c>
      <c r="AO24" s="29" t="str">
        <f aca="false">IF(OR($I24="",$I21=""),"",ROUND((2*$I24-$I21)*1000,0))</f>
        <v/>
      </c>
      <c r="AP24" s="29" t="str">
        <f aca="false">IF(OR($I24="",$I22=""),"",ROUND((2*$I24-$I22)*1000,0))</f>
        <v/>
      </c>
      <c r="AQ24" s="29" t="str">
        <f aca="false">IF(OR($I24="",$I23=""),"",ROUND((2*$I24-$I23)*1000,0))</f>
        <v/>
      </c>
      <c r="AR24" s="6"/>
      <c r="AS24" s="29" t="str">
        <f aca="false">IF(OR($I24="",$I25=""),"",ROUND((2*$I24-$I25)*1000,0))</f>
        <v/>
      </c>
      <c r="AT24" s="29" t="str">
        <f aca="false">IF(OR($I24="",$I26=""),"",ROUND((2*$I24-$I26)*1000,0))</f>
        <v/>
      </c>
      <c r="AU24" s="29" t="str">
        <f aca="false">IF(OR($I24="",$I27=""),"",ROUND((2*$I24-$I27)*1000,0))</f>
        <v/>
      </c>
      <c r="AV24" s="29" t="str">
        <f aca="false">IF(OR($I24="",$I28=""),"",ROUND((2*$I24-$I28)*1000,0))</f>
        <v/>
      </c>
      <c r="AW24" s="29" t="str">
        <f aca="false">IF(OR($I24="",$I29=""),"",ROUND((2*$I24-$I29)*1000,0))</f>
        <v/>
      </c>
      <c r="AX24" s="29" t="str">
        <f aca="false">IF(OR($I24="",$I30=""),"",ROUND((2*$I24-$I30)*1000,0))</f>
        <v/>
      </c>
    </row>
    <row r="25" customFormat="false" ht="21.75" hidden="false" customHeight="true" outlineLevel="0" collapsed="false">
      <c r="B25" s="23" t="n">
        <v>11</v>
      </c>
      <c r="C25" s="40"/>
      <c r="D25" s="40"/>
      <c r="E25" s="44"/>
      <c r="F25" s="44"/>
      <c r="G25" s="44"/>
      <c r="H25" s="44"/>
      <c r="I25" s="41"/>
      <c r="J25" s="24" t="str">
        <f aca="false">IF(I25="","",IF(AND(I25&gt;=470,I25&lt;698),INT((I25-470)/6)+14,"–"))</f>
        <v/>
      </c>
      <c r="K25" s="25" t="str">
        <f aca="false">IF(OR(I25="",COUNT($R25:$AG25)=0),"",MIN($R25:$AG25))</f>
        <v/>
      </c>
      <c r="L25" s="24" t="str">
        <f aca="false">IF(K25="","",MATCH(K25,$R25:$AG25,0))</f>
        <v/>
      </c>
      <c r="M25" s="24" t="str">
        <f aca="false">IF(I25="","",COUNTIFS($AI$15:$AX$30,"&gt;"&amp;ROUND((I25-$L$5)*1000,0),$AI$15:$AX$30,"&lt;"&amp;ROUND((I25+$L$5)*1000,0))-COUNTIFS($AI25:$AX25,"&gt;"&amp;ROUND((I25-$L$5)*1000,0),$AI25:$AX25,"&lt;"&amp;ROUND((I25+$L$5)*1000,0))-COUNTIFS(AS$15:AS$30,"&gt;"&amp;ROUND((I25-$L$5)*1000,0),AS$15:AS$30,"&lt;"&amp;ROUND((I25+$L$5)*1000,0)))</f>
        <v/>
      </c>
      <c r="N25" s="26" t="str">
        <f aca="false">IF(I25="",IF(AND(C25&lt;&gt;"",F25="2,4 GHz"),"Automática",""),IF(AND(K25&lt;&gt;"",K25&lt;0.0005),"Repetida",IF(AND(K25&lt;&gt;"",$L$4&lt;&gt;"",K25&lt;$L$4),"Próxima",IF(AND($L$6&lt;&gt;"",$L$7&lt;&gt;"",I25&gt;=$L$6,I25&lt;=$L$7),"Telefonia",IF(AND(I25&gt;=470,I25&lt;698,COUNTIF($E$9:$L$9,INT((I25-470)/6)+14)&gt;0),"TV",IF(M25&gt;0,"Intermod.","OK"))))))</f>
        <v/>
      </c>
      <c r="O25" s="27" t="str">
        <f aca="false">IF(N25="","",IF(N25="Automática","Sem frequência fixa: o sistema escolhe o canal. Afaste o receptor do roteador Wi-Fi",IF(N25="Repetida","Mesma frequência do sistema nº "&amp;L25&amp;": troque o canal de um dos dois",IF(N25="Próxima","Perto demais do sistema nº "&amp;L25&amp;": afaste as duas frequências",IF(N25="Telefonia","Dentro da faixa a evitar: troque de frequência ou de equipamento",IF(N25="TV","Dentro do canal de TV "&amp;J25&amp;", ativo na cidade: use um canal de TV livre",IF(N25="Intermod.","Há "&amp;M25&amp;" produto(s) de intermodulação perto: troque esta frequência ou use o grupo do fabricante","Manter")))))))</f>
        <v/>
      </c>
      <c r="P25" s="40"/>
      <c r="R25" s="28" t="str">
        <f aca="false">IF(OR($I25="",$I15=""),"",ROUND(ABS($I25-$I15),4))</f>
        <v/>
      </c>
      <c r="S25" s="28" t="str">
        <f aca="false">IF(OR($I25="",$I16=""),"",ROUND(ABS($I25-$I16),4))</f>
        <v/>
      </c>
      <c r="T25" s="28" t="str">
        <f aca="false">IF(OR($I25="",$I17=""),"",ROUND(ABS($I25-$I17),4))</f>
        <v/>
      </c>
      <c r="U25" s="28" t="str">
        <f aca="false">IF(OR($I25="",$I18=""),"",ROUND(ABS($I25-$I18),4))</f>
        <v/>
      </c>
      <c r="V25" s="28" t="str">
        <f aca="false">IF(OR($I25="",$I19=""),"",ROUND(ABS($I25-$I19),4))</f>
        <v/>
      </c>
      <c r="W25" s="28" t="str">
        <f aca="false">IF(OR($I25="",$I20=""),"",ROUND(ABS($I25-$I20),4))</f>
        <v/>
      </c>
      <c r="X25" s="28" t="str">
        <f aca="false">IF(OR($I25="",$I21=""),"",ROUND(ABS($I25-$I21),4))</f>
        <v/>
      </c>
      <c r="Y25" s="28" t="str">
        <f aca="false">IF(OR($I25="",$I22=""),"",ROUND(ABS($I25-$I22),4))</f>
        <v/>
      </c>
      <c r="Z25" s="28" t="str">
        <f aca="false">IF(OR($I25="",$I23=""),"",ROUND(ABS($I25-$I23),4))</f>
        <v/>
      </c>
      <c r="AA25" s="28" t="str">
        <f aca="false">IF(OR($I25="",$I24=""),"",ROUND(ABS($I25-$I24),4))</f>
        <v/>
      </c>
      <c r="AB25" s="6"/>
      <c r="AC25" s="28" t="str">
        <f aca="false">IF(OR($I25="",$I26=""),"",ROUND(ABS($I25-$I26),4))</f>
        <v/>
      </c>
      <c r="AD25" s="28" t="str">
        <f aca="false">IF(OR($I25="",$I27=""),"",ROUND(ABS($I25-$I27),4))</f>
        <v/>
      </c>
      <c r="AE25" s="28" t="str">
        <f aca="false">IF(OR($I25="",$I28=""),"",ROUND(ABS($I25-$I28),4))</f>
        <v/>
      </c>
      <c r="AF25" s="28" t="str">
        <f aca="false">IF(OR($I25="",$I29=""),"",ROUND(ABS($I25-$I29),4))</f>
        <v/>
      </c>
      <c r="AG25" s="28" t="str">
        <f aca="false">IF(OR($I25="",$I30=""),"",ROUND(ABS($I25-$I30),4))</f>
        <v/>
      </c>
      <c r="AI25" s="29" t="str">
        <f aca="false">IF(OR($I25="",$I15=""),"",ROUND((2*$I25-$I15)*1000,0))</f>
        <v/>
      </c>
      <c r="AJ25" s="29" t="str">
        <f aca="false">IF(OR($I25="",$I16=""),"",ROUND((2*$I25-$I16)*1000,0))</f>
        <v/>
      </c>
      <c r="AK25" s="29" t="str">
        <f aca="false">IF(OR($I25="",$I17=""),"",ROUND((2*$I25-$I17)*1000,0))</f>
        <v/>
      </c>
      <c r="AL25" s="29" t="str">
        <f aca="false">IF(OR($I25="",$I18=""),"",ROUND((2*$I25-$I18)*1000,0))</f>
        <v/>
      </c>
      <c r="AM25" s="29" t="str">
        <f aca="false">IF(OR($I25="",$I19=""),"",ROUND((2*$I25-$I19)*1000,0))</f>
        <v/>
      </c>
      <c r="AN25" s="29" t="str">
        <f aca="false">IF(OR($I25="",$I20=""),"",ROUND((2*$I25-$I20)*1000,0))</f>
        <v/>
      </c>
      <c r="AO25" s="29" t="str">
        <f aca="false">IF(OR($I25="",$I21=""),"",ROUND((2*$I25-$I21)*1000,0))</f>
        <v/>
      </c>
      <c r="AP25" s="29" t="str">
        <f aca="false">IF(OR($I25="",$I22=""),"",ROUND((2*$I25-$I22)*1000,0))</f>
        <v/>
      </c>
      <c r="AQ25" s="29" t="str">
        <f aca="false">IF(OR($I25="",$I23=""),"",ROUND((2*$I25-$I23)*1000,0))</f>
        <v/>
      </c>
      <c r="AR25" s="29" t="str">
        <f aca="false">IF(OR($I25="",$I24=""),"",ROUND((2*$I25-$I24)*1000,0))</f>
        <v/>
      </c>
      <c r="AS25" s="6"/>
      <c r="AT25" s="29" t="str">
        <f aca="false">IF(OR($I25="",$I26=""),"",ROUND((2*$I25-$I26)*1000,0))</f>
        <v/>
      </c>
      <c r="AU25" s="29" t="str">
        <f aca="false">IF(OR($I25="",$I27=""),"",ROUND((2*$I25-$I27)*1000,0))</f>
        <v/>
      </c>
      <c r="AV25" s="29" t="str">
        <f aca="false">IF(OR($I25="",$I28=""),"",ROUND((2*$I25-$I28)*1000,0))</f>
        <v/>
      </c>
      <c r="AW25" s="29" t="str">
        <f aca="false">IF(OR($I25="",$I29=""),"",ROUND((2*$I25-$I29)*1000,0))</f>
        <v/>
      </c>
      <c r="AX25" s="29" t="str">
        <f aca="false">IF(OR($I25="",$I30=""),"",ROUND((2*$I25-$I30)*1000,0))</f>
        <v/>
      </c>
    </row>
    <row r="26" customFormat="false" ht="21.75" hidden="false" customHeight="true" outlineLevel="0" collapsed="false">
      <c r="B26" s="23" t="n">
        <v>12</v>
      </c>
      <c r="C26" s="40"/>
      <c r="D26" s="40"/>
      <c r="E26" s="44"/>
      <c r="F26" s="44"/>
      <c r="G26" s="44"/>
      <c r="H26" s="44"/>
      <c r="I26" s="41"/>
      <c r="J26" s="24" t="str">
        <f aca="false">IF(I26="","",IF(AND(I26&gt;=470,I26&lt;698),INT((I26-470)/6)+14,"–"))</f>
        <v/>
      </c>
      <c r="K26" s="25" t="str">
        <f aca="false">IF(OR(I26="",COUNT($R26:$AG26)=0),"",MIN($R26:$AG26))</f>
        <v/>
      </c>
      <c r="L26" s="24" t="str">
        <f aca="false">IF(K26="","",MATCH(K26,$R26:$AG26,0))</f>
        <v/>
      </c>
      <c r="M26" s="24" t="str">
        <f aca="false">IF(I26="","",COUNTIFS($AI$15:$AX$30,"&gt;"&amp;ROUND((I26-$L$5)*1000,0),$AI$15:$AX$30,"&lt;"&amp;ROUND((I26+$L$5)*1000,0))-COUNTIFS($AI26:$AX26,"&gt;"&amp;ROUND((I26-$L$5)*1000,0),$AI26:$AX26,"&lt;"&amp;ROUND((I26+$L$5)*1000,0))-COUNTIFS(AT$15:AT$30,"&gt;"&amp;ROUND((I26-$L$5)*1000,0),AT$15:AT$30,"&lt;"&amp;ROUND((I26+$L$5)*1000,0)))</f>
        <v/>
      </c>
      <c r="N26" s="26" t="str">
        <f aca="false">IF(I26="",IF(AND(C26&lt;&gt;"",F26="2,4 GHz"),"Automática",""),IF(AND(K26&lt;&gt;"",K26&lt;0.0005),"Repetida",IF(AND(K26&lt;&gt;"",$L$4&lt;&gt;"",K26&lt;$L$4),"Próxima",IF(AND($L$6&lt;&gt;"",$L$7&lt;&gt;"",I26&gt;=$L$6,I26&lt;=$L$7),"Telefonia",IF(AND(I26&gt;=470,I26&lt;698,COUNTIF($E$9:$L$9,INT((I26-470)/6)+14)&gt;0),"TV",IF(M26&gt;0,"Intermod.","OK"))))))</f>
        <v/>
      </c>
      <c r="O26" s="27" t="str">
        <f aca="false">IF(N26="","",IF(N26="Automática","Sem frequência fixa: o sistema escolhe o canal. Afaste o receptor do roteador Wi-Fi",IF(N26="Repetida","Mesma frequência do sistema nº "&amp;L26&amp;": troque o canal de um dos dois",IF(N26="Próxima","Perto demais do sistema nº "&amp;L26&amp;": afaste as duas frequências",IF(N26="Telefonia","Dentro da faixa a evitar: troque de frequência ou de equipamento",IF(N26="TV","Dentro do canal de TV "&amp;J26&amp;", ativo na cidade: use um canal de TV livre",IF(N26="Intermod.","Há "&amp;M26&amp;" produto(s) de intermodulação perto: troque esta frequência ou use o grupo do fabricante","Manter")))))))</f>
        <v/>
      </c>
      <c r="P26" s="40"/>
      <c r="R26" s="28" t="str">
        <f aca="false">IF(OR($I26="",$I15=""),"",ROUND(ABS($I26-$I15),4))</f>
        <v/>
      </c>
      <c r="S26" s="28" t="str">
        <f aca="false">IF(OR($I26="",$I16=""),"",ROUND(ABS($I26-$I16),4))</f>
        <v/>
      </c>
      <c r="T26" s="28" t="str">
        <f aca="false">IF(OR($I26="",$I17=""),"",ROUND(ABS($I26-$I17),4))</f>
        <v/>
      </c>
      <c r="U26" s="28" t="str">
        <f aca="false">IF(OR($I26="",$I18=""),"",ROUND(ABS($I26-$I18),4))</f>
        <v/>
      </c>
      <c r="V26" s="28" t="str">
        <f aca="false">IF(OR($I26="",$I19=""),"",ROUND(ABS($I26-$I19),4))</f>
        <v/>
      </c>
      <c r="W26" s="28" t="str">
        <f aca="false">IF(OR($I26="",$I20=""),"",ROUND(ABS($I26-$I20),4))</f>
        <v/>
      </c>
      <c r="X26" s="28" t="str">
        <f aca="false">IF(OR($I26="",$I21=""),"",ROUND(ABS($I26-$I21),4))</f>
        <v/>
      </c>
      <c r="Y26" s="28" t="str">
        <f aca="false">IF(OR($I26="",$I22=""),"",ROUND(ABS($I26-$I22),4))</f>
        <v/>
      </c>
      <c r="Z26" s="28" t="str">
        <f aca="false">IF(OR($I26="",$I23=""),"",ROUND(ABS($I26-$I23),4))</f>
        <v/>
      </c>
      <c r="AA26" s="28" t="str">
        <f aca="false">IF(OR($I26="",$I24=""),"",ROUND(ABS($I26-$I24),4))</f>
        <v/>
      </c>
      <c r="AB26" s="28" t="str">
        <f aca="false">IF(OR($I26="",$I25=""),"",ROUND(ABS($I26-$I25),4))</f>
        <v/>
      </c>
      <c r="AC26" s="6"/>
      <c r="AD26" s="28" t="str">
        <f aca="false">IF(OR($I26="",$I27=""),"",ROUND(ABS($I26-$I27),4))</f>
        <v/>
      </c>
      <c r="AE26" s="28" t="str">
        <f aca="false">IF(OR($I26="",$I28=""),"",ROUND(ABS($I26-$I28),4))</f>
        <v/>
      </c>
      <c r="AF26" s="28" t="str">
        <f aca="false">IF(OR($I26="",$I29=""),"",ROUND(ABS($I26-$I29),4))</f>
        <v/>
      </c>
      <c r="AG26" s="28" t="str">
        <f aca="false">IF(OR($I26="",$I30=""),"",ROUND(ABS($I26-$I30),4))</f>
        <v/>
      </c>
      <c r="AI26" s="29" t="str">
        <f aca="false">IF(OR($I26="",$I15=""),"",ROUND((2*$I26-$I15)*1000,0))</f>
        <v/>
      </c>
      <c r="AJ26" s="29" t="str">
        <f aca="false">IF(OR($I26="",$I16=""),"",ROUND((2*$I26-$I16)*1000,0))</f>
        <v/>
      </c>
      <c r="AK26" s="29" t="str">
        <f aca="false">IF(OR($I26="",$I17=""),"",ROUND((2*$I26-$I17)*1000,0))</f>
        <v/>
      </c>
      <c r="AL26" s="29" t="str">
        <f aca="false">IF(OR($I26="",$I18=""),"",ROUND((2*$I26-$I18)*1000,0))</f>
        <v/>
      </c>
      <c r="AM26" s="29" t="str">
        <f aca="false">IF(OR($I26="",$I19=""),"",ROUND((2*$I26-$I19)*1000,0))</f>
        <v/>
      </c>
      <c r="AN26" s="29" t="str">
        <f aca="false">IF(OR($I26="",$I20=""),"",ROUND((2*$I26-$I20)*1000,0))</f>
        <v/>
      </c>
      <c r="AO26" s="29" t="str">
        <f aca="false">IF(OR($I26="",$I21=""),"",ROUND((2*$I26-$I21)*1000,0))</f>
        <v/>
      </c>
      <c r="AP26" s="29" t="str">
        <f aca="false">IF(OR($I26="",$I22=""),"",ROUND((2*$I26-$I22)*1000,0))</f>
        <v/>
      </c>
      <c r="AQ26" s="29" t="str">
        <f aca="false">IF(OR($I26="",$I23=""),"",ROUND((2*$I26-$I23)*1000,0))</f>
        <v/>
      </c>
      <c r="AR26" s="29" t="str">
        <f aca="false">IF(OR($I26="",$I24=""),"",ROUND((2*$I26-$I24)*1000,0))</f>
        <v/>
      </c>
      <c r="AS26" s="29" t="str">
        <f aca="false">IF(OR($I26="",$I25=""),"",ROUND((2*$I26-$I25)*1000,0))</f>
        <v/>
      </c>
      <c r="AT26" s="6"/>
      <c r="AU26" s="29" t="str">
        <f aca="false">IF(OR($I26="",$I27=""),"",ROUND((2*$I26-$I27)*1000,0))</f>
        <v/>
      </c>
      <c r="AV26" s="29" t="str">
        <f aca="false">IF(OR($I26="",$I28=""),"",ROUND((2*$I26-$I28)*1000,0))</f>
        <v/>
      </c>
      <c r="AW26" s="29" t="str">
        <f aca="false">IF(OR($I26="",$I29=""),"",ROUND((2*$I26-$I29)*1000,0))</f>
        <v/>
      </c>
      <c r="AX26" s="29" t="str">
        <f aca="false">IF(OR($I26="",$I30=""),"",ROUND((2*$I26-$I30)*1000,0))</f>
        <v/>
      </c>
    </row>
    <row r="27" customFormat="false" ht="21.75" hidden="false" customHeight="true" outlineLevel="0" collapsed="false">
      <c r="B27" s="23" t="n">
        <v>13</v>
      </c>
      <c r="C27" s="40"/>
      <c r="D27" s="40"/>
      <c r="E27" s="44"/>
      <c r="F27" s="44"/>
      <c r="G27" s="44"/>
      <c r="H27" s="44"/>
      <c r="I27" s="41"/>
      <c r="J27" s="24" t="str">
        <f aca="false">IF(I27="","",IF(AND(I27&gt;=470,I27&lt;698),INT((I27-470)/6)+14,"–"))</f>
        <v/>
      </c>
      <c r="K27" s="25" t="str">
        <f aca="false">IF(OR(I27="",COUNT($R27:$AG27)=0),"",MIN($R27:$AG27))</f>
        <v/>
      </c>
      <c r="L27" s="24" t="str">
        <f aca="false">IF(K27="","",MATCH(K27,$R27:$AG27,0))</f>
        <v/>
      </c>
      <c r="M27" s="24" t="str">
        <f aca="false">IF(I27="","",COUNTIFS($AI$15:$AX$30,"&gt;"&amp;ROUND((I27-$L$5)*1000,0),$AI$15:$AX$30,"&lt;"&amp;ROUND((I27+$L$5)*1000,0))-COUNTIFS($AI27:$AX27,"&gt;"&amp;ROUND((I27-$L$5)*1000,0),$AI27:$AX27,"&lt;"&amp;ROUND((I27+$L$5)*1000,0))-COUNTIFS(AU$15:AU$30,"&gt;"&amp;ROUND((I27-$L$5)*1000,0),AU$15:AU$30,"&lt;"&amp;ROUND((I27+$L$5)*1000,0)))</f>
        <v/>
      </c>
      <c r="N27" s="26" t="str">
        <f aca="false">IF(I27="",IF(AND(C27&lt;&gt;"",F27="2,4 GHz"),"Automática",""),IF(AND(K27&lt;&gt;"",K27&lt;0.0005),"Repetida",IF(AND(K27&lt;&gt;"",$L$4&lt;&gt;"",K27&lt;$L$4),"Próxima",IF(AND($L$6&lt;&gt;"",$L$7&lt;&gt;"",I27&gt;=$L$6,I27&lt;=$L$7),"Telefonia",IF(AND(I27&gt;=470,I27&lt;698,COUNTIF($E$9:$L$9,INT((I27-470)/6)+14)&gt;0),"TV",IF(M27&gt;0,"Intermod.","OK"))))))</f>
        <v/>
      </c>
      <c r="O27" s="27" t="str">
        <f aca="false">IF(N27="","",IF(N27="Automática","Sem frequência fixa: o sistema escolhe o canal. Afaste o receptor do roteador Wi-Fi",IF(N27="Repetida","Mesma frequência do sistema nº "&amp;L27&amp;": troque o canal de um dos dois",IF(N27="Próxima","Perto demais do sistema nº "&amp;L27&amp;": afaste as duas frequências",IF(N27="Telefonia","Dentro da faixa a evitar: troque de frequência ou de equipamento",IF(N27="TV","Dentro do canal de TV "&amp;J27&amp;", ativo na cidade: use um canal de TV livre",IF(N27="Intermod.","Há "&amp;M27&amp;" produto(s) de intermodulação perto: troque esta frequência ou use o grupo do fabricante","Manter")))))))</f>
        <v/>
      </c>
      <c r="P27" s="40"/>
      <c r="R27" s="28" t="str">
        <f aca="false">IF(OR($I27="",$I15=""),"",ROUND(ABS($I27-$I15),4))</f>
        <v/>
      </c>
      <c r="S27" s="28" t="str">
        <f aca="false">IF(OR($I27="",$I16=""),"",ROUND(ABS($I27-$I16),4))</f>
        <v/>
      </c>
      <c r="T27" s="28" t="str">
        <f aca="false">IF(OR($I27="",$I17=""),"",ROUND(ABS($I27-$I17),4))</f>
        <v/>
      </c>
      <c r="U27" s="28" t="str">
        <f aca="false">IF(OR($I27="",$I18=""),"",ROUND(ABS($I27-$I18),4))</f>
        <v/>
      </c>
      <c r="V27" s="28" t="str">
        <f aca="false">IF(OR($I27="",$I19=""),"",ROUND(ABS($I27-$I19),4))</f>
        <v/>
      </c>
      <c r="W27" s="28" t="str">
        <f aca="false">IF(OR($I27="",$I20=""),"",ROUND(ABS($I27-$I20),4))</f>
        <v/>
      </c>
      <c r="X27" s="28" t="str">
        <f aca="false">IF(OR($I27="",$I21=""),"",ROUND(ABS($I27-$I21),4))</f>
        <v/>
      </c>
      <c r="Y27" s="28" t="str">
        <f aca="false">IF(OR($I27="",$I22=""),"",ROUND(ABS($I27-$I22),4))</f>
        <v/>
      </c>
      <c r="Z27" s="28" t="str">
        <f aca="false">IF(OR($I27="",$I23=""),"",ROUND(ABS($I27-$I23),4))</f>
        <v/>
      </c>
      <c r="AA27" s="28" t="str">
        <f aca="false">IF(OR($I27="",$I24=""),"",ROUND(ABS($I27-$I24),4))</f>
        <v/>
      </c>
      <c r="AB27" s="28" t="str">
        <f aca="false">IF(OR($I27="",$I25=""),"",ROUND(ABS($I27-$I25),4))</f>
        <v/>
      </c>
      <c r="AC27" s="28" t="str">
        <f aca="false">IF(OR($I27="",$I26=""),"",ROUND(ABS($I27-$I26),4))</f>
        <v/>
      </c>
      <c r="AD27" s="6"/>
      <c r="AE27" s="28" t="str">
        <f aca="false">IF(OR($I27="",$I28=""),"",ROUND(ABS($I27-$I28),4))</f>
        <v/>
      </c>
      <c r="AF27" s="28" t="str">
        <f aca="false">IF(OR($I27="",$I29=""),"",ROUND(ABS($I27-$I29),4))</f>
        <v/>
      </c>
      <c r="AG27" s="28" t="str">
        <f aca="false">IF(OR($I27="",$I30=""),"",ROUND(ABS($I27-$I30),4))</f>
        <v/>
      </c>
      <c r="AI27" s="29" t="str">
        <f aca="false">IF(OR($I27="",$I15=""),"",ROUND((2*$I27-$I15)*1000,0))</f>
        <v/>
      </c>
      <c r="AJ27" s="29" t="str">
        <f aca="false">IF(OR($I27="",$I16=""),"",ROUND((2*$I27-$I16)*1000,0))</f>
        <v/>
      </c>
      <c r="AK27" s="29" t="str">
        <f aca="false">IF(OR($I27="",$I17=""),"",ROUND((2*$I27-$I17)*1000,0))</f>
        <v/>
      </c>
      <c r="AL27" s="29" t="str">
        <f aca="false">IF(OR($I27="",$I18=""),"",ROUND((2*$I27-$I18)*1000,0))</f>
        <v/>
      </c>
      <c r="AM27" s="29" t="str">
        <f aca="false">IF(OR($I27="",$I19=""),"",ROUND((2*$I27-$I19)*1000,0))</f>
        <v/>
      </c>
      <c r="AN27" s="29" t="str">
        <f aca="false">IF(OR($I27="",$I20=""),"",ROUND((2*$I27-$I20)*1000,0))</f>
        <v/>
      </c>
      <c r="AO27" s="29" t="str">
        <f aca="false">IF(OR($I27="",$I21=""),"",ROUND((2*$I27-$I21)*1000,0))</f>
        <v/>
      </c>
      <c r="AP27" s="29" t="str">
        <f aca="false">IF(OR($I27="",$I22=""),"",ROUND((2*$I27-$I22)*1000,0))</f>
        <v/>
      </c>
      <c r="AQ27" s="29" t="str">
        <f aca="false">IF(OR($I27="",$I23=""),"",ROUND((2*$I27-$I23)*1000,0))</f>
        <v/>
      </c>
      <c r="AR27" s="29" t="str">
        <f aca="false">IF(OR($I27="",$I24=""),"",ROUND((2*$I27-$I24)*1000,0))</f>
        <v/>
      </c>
      <c r="AS27" s="29" t="str">
        <f aca="false">IF(OR($I27="",$I25=""),"",ROUND((2*$I27-$I25)*1000,0))</f>
        <v/>
      </c>
      <c r="AT27" s="29" t="str">
        <f aca="false">IF(OR($I27="",$I26=""),"",ROUND((2*$I27-$I26)*1000,0))</f>
        <v/>
      </c>
      <c r="AU27" s="6"/>
      <c r="AV27" s="29" t="str">
        <f aca="false">IF(OR($I27="",$I28=""),"",ROUND((2*$I27-$I28)*1000,0))</f>
        <v/>
      </c>
      <c r="AW27" s="29" t="str">
        <f aca="false">IF(OR($I27="",$I29=""),"",ROUND((2*$I27-$I29)*1000,0))</f>
        <v/>
      </c>
      <c r="AX27" s="29" t="str">
        <f aca="false">IF(OR($I27="",$I30=""),"",ROUND((2*$I27-$I30)*1000,0))</f>
        <v/>
      </c>
    </row>
    <row r="28" customFormat="false" ht="21.75" hidden="false" customHeight="true" outlineLevel="0" collapsed="false">
      <c r="B28" s="23" t="n">
        <v>14</v>
      </c>
      <c r="C28" s="40"/>
      <c r="D28" s="40"/>
      <c r="E28" s="44"/>
      <c r="F28" s="44"/>
      <c r="G28" s="44"/>
      <c r="H28" s="44"/>
      <c r="I28" s="41"/>
      <c r="J28" s="24" t="str">
        <f aca="false">IF(I28="","",IF(AND(I28&gt;=470,I28&lt;698),INT((I28-470)/6)+14,"–"))</f>
        <v/>
      </c>
      <c r="K28" s="25" t="str">
        <f aca="false">IF(OR(I28="",COUNT($R28:$AG28)=0),"",MIN($R28:$AG28))</f>
        <v/>
      </c>
      <c r="L28" s="24" t="str">
        <f aca="false">IF(K28="","",MATCH(K28,$R28:$AG28,0))</f>
        <v/>
      </c>
      <c r="M28" s="24" t="str">
        <f aca="false">IF(I28="","",COUNTIFS($AI$15:$AX$30,"&gt;"&amp;ROUND((I28-$L$5)*1000,0),$AI$15:$AX$30,"&lt;"&amp;ROUND((I28+$L$5)*1000,0))-COUNTIFS($AI28:$AX28,"&gt;"&amp;ROUND((I28-$L$5)*1000,0),$AI28:$AX28,"&lt;"&amp;ROUND((I28+$L$5)*1000,0))-COUNTIFS(AV$15:AV$30,"&gt;"&amp;ROUND((I28-$L$5)*1000,0),AV$15:AV$30,"&lt;"&amp;ROUND((I28+$L$5)*1000,0)))</f>
        <v/>
      </c>
      <c r="N28" s="26" t="str">
        <f aca="false">IF(I28="",IF(AND(C28&lt;&gt;"",F28="2,4 GHz"),"Automática",""),IF(AND(K28&lt;&gt;"",K28&lt;0.0005),"Repetida",IF(AND(K28&lt;&gt;"",$L$4&lt;&gt;"",K28&lt;$L$4),"Próxima",IF(AND($L$6&lt;&gt;"",$L$7&lt;&gt;"",I28&gt;=$L$6,I28&lt;=$L$7),"Telefonia",IF(AND(I28&gt;=470,I28&lt;698,COUNTIF($E$9:$L$9,INT((I28-470)/6)+14)&gt;0),"TV",IF(M28&gt;0,"Intermod.","OK"))))))</f>
        <v/>
      </c>
      <c r="O28" s="27" t="str">
        <f aca="false">IF(N28="","",IF(N28="Automática","Sem frequência fixa: o sistema escolhe o canal. Afaste o receptor do roteador Wi-Fi",IF(N28="Repetida","Mesma frequência do sistema nº "&amp;L28&amp;": troque o canal de um dos dois",IF(N28="Próxima","Perto demais do sistema nº "&amp;L28&amp;": afaste as duas frequências",IF(N28="Telefonia","Dentro da faixa a evitar: troque de frequência ou de equipamento",IF(N28="TV","Dentro do canal de TV "&amp;J28&amp;", ativo na cidade: use um canal de TV livre",IF(N28="Intermod.","Há "&amp;M28&amp;" produto(s) de intermodulação perto: troque esta frequência ou use o grupo do fabricante","Manter")))))))</f>
        <v/>
      </c>
      <c r="P28" s="40"/>
      <c r="R28" s="28" t="str">
        <f aca="false">IF(OR($I28="",$I15=""),"",ROUND(ABS($I28-$I15),4))</f>
        <v/>
      </c>
      <c r="S28" s="28" t="str">
        <f aca="false">IF(OR($I28="",$I16=""),"",ROUND(ABS($I28-$I16),4))</f>
        <v/>
      </c>
      <c r="T28" s="28" t="str">
        <f aca="false">IF(OR($I28="",$I17=""),"",ROUND(ABS($I28-$I17),4))</f>
        <v/>
      </c>
      <c r="U28" s="28" t="str">
        <f aca="false">IF(OR($I28="",$I18=""),"",ROUND(ABS($I28-$I18),4))</f>
        <v/>
      </c>
      <c r="V28" s="28" t="str">
        <f aca="false">IF(OR($I28="",$I19=""),"",ROUND(ABS($I28-$I19),4))</f>
        <v/>
      </c>
      <c r="W28" s="28" t="str">
        <f aca="false">IF(OR($I28="",$I20=""),"",ROUND(ABS($I28-$I20),4))</f>
        <v/>
      </c>
      <c r="X28" s="28" t="str">
        <f aca="false">IF(OR($I28="",$I21=""),"",ROUND(ABS($I28-$I21),4))</f>
        <v/>
      </c>
      <c r="Y28" s="28" t="str">
        <f aca="false">IF(OR($I28="",$I22=""),"",ROUND(ABS($I28-$I22),4))</f>
        <v/>
      </c>
      <c r="Z28" s="28" t="str">
        <f aca="false">IF(OR($I28="",$I23=""),"",ROUND(ABS($I28-$I23),4))</f>
        <v/>
      </c>
      <c r="AA28" s="28" t="str">
        <f aca="false">IF(OR($I28="",$I24=""),"",ROUND(ABS($I28-$I24),4))</f>
        <v/>
      </c>
      <c r="AB28" s="28" t="str">
        <f aca="false">IF(OR($I28="",$I25=""),"",ROUND(ABS($I28-$I25),4))</f>
        <v/>
      </c>
      <c r="AC28" s="28" t="str">
        <f aca="false">IF(OR($I28="",$I26=""),"",ROUND(ABS($I28-$I26),4))</f>
        <v/>
      </c>
      <c r="AD28" s="28" t="str">
        <f aca="false">IF(OR($I28="",$I27=""),"",ROUND(ABS($I28-$I27),4))</f>
        <v/>
      </c>
      <c r="AE28" s="6"/>
      <c r="AF28" s="28" t="str">
        <f aca="false">IF(OR($I28="",$I29=""),"",ROUND(ABS($I28-$I29),4))</f>
        <v/>
      </c>
      <c r="AG28" s="28" t="str">
        <f aca="false">IF(OR($I28="",$I30=""),"",ROUND(ABS($I28-$I30),4))</f>
        <v/>
      </c>
      <c r="AI28" s="29" t="str">
        <f aca="false">IF(OR($I28="",$I15=""),"",ROUND((2*$I28-$I15)*1000,0))</f>
        <v/>
      </c>
      <c r="AJ28" s="29" t="str">
        <f aca="false">IF(OR($I28="",$I16=""),"",ROUND((2*$I28-$I16)*1000,0))</f>
        <v/>
      </c>
      <c r="AK28" s="29" t="str">
        <f aca="false">IF(OR($I28="",$I17=""),"",ROUND((2*$I28-$I17)*1000,0))</f>
        <v/>
      </c>
      <c r="AL28" s="29" t="str">
        <f aca="false">IF(OR($I28="",$I18=""),"",ROUND((2*$I28-$I18)*1000,0))</f>
        <v/>
      </c>
      <c r="AM28" s="29" t="str">
        <f aca="false">IF(OR($I28="",$I19=""),"",ROUND((2*$I28-$I19)*1000,0))</f>
        <v/>
      </c>
      <c r="AN28" s="29" t="str">
        <f aca="false">IF(OR($I28="",$I20=""),"",ROUND((2*$I28-$I20)*1000,0))</f>
        <v/>
      </c>
      <c r="AO28" s="29" t="str">
        <f aca="false">IF(OR($I28="",$I21=""),"",ROUND((2*$I28-$I21)*1000,0))</f>
        <v/>
      </c>
      <c r="AP28" s="29" t="str">
        <f aca="false">IF(OR($I28="",$I22=""),"",ROUND((2*$I28-$I22)*1000,0))</f>
        <v/>
      </c>
      <c r="AQ28" s="29" t="str">
        <f aca="false">IF(OR($I28="",$I23=""),"",ROUND((2*$I28-$I23)*1000,0))</f>
        <v/>
      </c>
      <c r="AR28" s="29" t="str">
        <f aca="false">IF(OR($I28="",$I24=""),"",ROUND((2*$I28-$I24)*1000,0))</f>
        <v/>
      </c>
      <c r="AS28" s="29" t="str">
        <f aca="false">IF(OR($I28="",$I25=""),"",ROUND((2*$I28-$I25)*1000,0))</f>
        <v/>
      </c>
      <c r="AT28" s="29" t="str">
        <f aca="false">IF(OR($I28="",$I26=""),"",ROUND((2*$I28-$I26)*1000,0))</f>
        <v/>
      </c>
      <c r="AU28" s="29" t="str">
        <f aca="false">IF(OR($I28="",$I27=""),"",ROUND((2*$I28-$I27)*1000,0))</f>
        <v/>
      </c>
      <c r="AV28" s="6"/>
      <c r="AW28" s="29" t="str">
        <f aca="false">IF(OR($I28="",$I29=""),"",ROUND((2*$I28-$I29)*1000,0))</f>
        <v/>
      </c>
      <c r="AX28" s="29" t="str">
        <f aca="false">IF(OR($I28="",$I30=""),"",ROUND((2*$I28-$I30)*1000,0))</f>
        <v/>
      </c>
    </row>
    <row r="29" customFormat="false" ht="21.75" hidden="false" customHeight="true" outlineLevel="0" collapsed="false">
      <c r="B29" s="23" t="n">
        <v>15</v>
      </c>
      <c r="C29" s="40"/>
      <c r="D29" s="40"/>
      <c r="E29" s="44"/>
      <c r="F29" s="44"/>
      <c r="G29" s="44"/>
      <c r="H29" s="44"/>
      <c r="I29" s="41"/>
      <c r="J29" s="24" t="str">
        <f aca="false">IF(I29="","",IF(AND(I29&gt;=470,I29&lt;698),INT((I29-470)/6)+14,"–"))</f>
        <v/>
      </c>
      <c r="K29" s="25" t="str">
        <f aca="false">IF(OR(I29="",COUNT($R29:$AG29)=0),"",MIN($R29:$AG29))</f>
        <v/>
      </c>
      <c r="L29" s="24" t="str">
        <f aca="false">IF(K29="","",MATCH(K29,$R29:$AG29,0))</f>
        <v/>
      </c>
      <c r="M29" s="24" t="str">
        <f aca="false">IF(I29="","",COUNTIFS($AI$15:$AX$30,"&gt;"&amp;ROUND((I29-$L$5)*1000,0),$AI$15:$AX$30,"&lt;"&amp;ROUND((I29+$L$5)*1000,0))-COUNTIFS($AI29:$AX29,"&gt;"&amp;ROUND((I29-$L$5)*1000,0),$AI29:$AX29,"&lt;"&amp;ROUND((I29+$L$5)*1000,0))-COUNTIFS(AW$15:AW$30,"&gt;"&amp;ROUND((I29-$L$5)*1000,0),AW$15:AW$30,"&lt;"&amp;ROUND((I29+$L$5)*1000,0)))</f>
        <v/>
      </c>
      <c r="N29" s="26" t="str">
        <f aca="false">IF(I29="",IF(AND(C29&lt;&gt;"",F29="2,4 GHz"),"Automática",""),IF(AND(K29&lt;&gt;"",K29&lt;0.0005),"Repetida",IF(AND(K29&lt;&gt;"",$L$4&lt;&gt;"",K29&lt;$L$4),"Próxima",IF(AND($L$6&lt;&gt;"",$L$7&lt;&gt;"",I29&gt;=$L$6,I29&lt;=$L$7),"Telefonia",IF(AND(I29&gt;=470,I29&lt;698,COUNTIF($E$9:$L$9,INT((I29-470)/6)+14)&gt;0),"TV",IF(M29&gt;0,"Intermod.","OK"))))))</f>
        <v/>
      </c>
      <c r="O29" s="27" t="str">
        <f aca="false">IF(N29="","",IF(N29="Automática","Sem frequência fixa: o sistema escolhe o canal. Afaste o receptor do roteador Wi-Fi",IF(N29="Repetida","Mesma frequência do sistema nº "&amp;L29&amp;": troque o canal de um dos dois",IF(N29="Próxima","Perto demais do sistema nº "&amp;L29&amp;": afaste as duas frequências",IF(N29="Telefonia","Dentro da faixa a evitar: troque de frequência ou de equipamento",IF(N29="TV","Dentro do canal de TV "&amp;J29&amp;", ativo na cidade: use um canal de TV livre",IF(N29="Intermod.","Há "&amp;M29&amp;" produto(s) de intermodulação perto: troque esta frequência ou use o grupo do fabricante","Manter")))))))</f>
        <v/>
      </c>
      <c r="P29" s="40"/>
      <c r="R29" s="28" t="str">
        <f aca="false">IF(OR($I29="",$I15=""),"",ROUND(ABS($I29-$I15),4))</f>
        <v/>
      </c>
      <c r="S29" s="28" t="str">
        <f aca="false">IF(OR($I29="",$I16=""),"",ROUND(ABS($I29-$I16),4))</f>
        <v/>
      </c>
      <c r="T29" s="28" t="str">
        <f aca="false">IF(OR($I29="",$I17=""),"",ROUND(ABS($I29-$I17),4))</f>
        <v/>
      </c>
      <c r="U29" s="28" t="str">
        <f aca="false">IF(OR($I29="",$I18=""),"",ROUND(ABS($I29-$I18),4))</f>
        <v/>
      </c>
      <c r="V29" s="28" t="str">
        <f aca="false">IF(OR($I29="",$I19=""),"",ROUND(ABS($I29-$I19),4))</f>
        <v/>
      </c>
      <c r="W29" s="28" t="str">
        <f aca="false">IF(OR($I29="",$I20=""),"",ROUND(ABS($I29-$I20),4))</f>
        <v/>
      </c>
      <c r="X29" s="28" t="str">
        <f aca="false">IF(OR($I29="",$I21=""),"",ROUND(ABS($I29-$I21),4))</f>
        <v/>
      </c>
      <c r="Y29" s="28" t="str">
        <f aca="false">IF(OR($I29="",$I22=""),"",ROUND(ABS($I29-$I22),4))</f>
        <v/>
      </c>
      <c r="Z29" s="28" t="str">
        <f aca="false">IF(OR($I29="",$I23=""),"",ROUND(ABS($I29-$I23),4))</f>
        <v/>
      </c>
      <c r="AA29" s="28" t="str">
        <f aca="false">IF(OR($I29="",$I24=""),"",ROUND(ABS($I29-$I24),4))</f>
        <v/>
      </c>
      <c r="AB29" s="28" t="str">
        <f aca="false">IF(OR($I29="",$I25=""),"",ROUND(ABS($I29-$I25),4))</f>
        <v/>
      </c>
      <c r="AC29" s="28" t="str">
        <f aca="false">IF(OR($I29="",$I26=""),"",ROUND(ABS($I29-$I26),4))</f>
        <v/>
      </c>
      <c r="AD29" s="28" t="str">
        <f aca="false">IF(OR($I29="",$I27=""),"",ROUND(ABS($I29-$I27),4))</f>
        <v/>
      </c>
      <c r="AE29" s="28" t="str">
        <f aca="false">IF(OR($I29="",$I28=""),"",ROUND(ABS($I29-$I28),4))</f>
        <v/>
      </c>
      <c r="AF29" s="6"/>
      <c r="AG29" s="28" t="str">
        <f aca="false">IF(OR($I29="",$I30=""),"",ROUND(ABS($I29-$I30),4))</f>
        <v/>
      </c>
      <c r="AI29" s="29" t="str">
        <f aca="false">IF(OR($I29="",$I15=""),"",ROUND((2*$I29-$I15)*1000,0))</f>
        <v/>
      </c>
      <c r="AJ29" s="29" t="str">
        <f aca="false">IF(OR($I29="",$I16=""),"",ROUND((2*$I29-$I16)*1000,0))</f>
        <v/>
      </c>
      <c r="AK29" s="29" t="str">
        <f aca="false">IF(OR($I29="",$I17=""),"",ROUND((2*$I29-$I17)*1000,0))</f>
        <v/>
      </c>
      <c r="AL29" s="29" t="str">
        <f aca="false">IF(OR($I29="",$I18=""),"",ROUND((2*$I29-$I18)*1000,0))</f>
        <v/>
      </c>
      <c r="AM29" s="29" t="str">
        <f aca="false">IF(OR($I29="",$I19=""),"",ROUND((2*$I29-$I19)*1000,0))</f>
        <v/>
      </c>
      <c r="AN29" s="29" t="str">
        <f aca="false">IF(OR($I29="",$I20=""),"",ROUND((2*$I29-$I20)*1000,0))</f>
        <v/>
      </c>
      <c r="AO29" s="29" t="str">
        <f aca="false">IF(OR($I29="",$I21=""),"",ROUND((2*$I29-$I21)*1000,0))</f>
        <v/>
      </c>
      <c r="AP29" s="29" t="str">
        <f aca="false">IF(OR($I29="",$I22=""),"",ROUND((2*$I29-$I22)*1000,0))</f>
        <v/>
      </c>
      <c r="AQ29" s="29" t="str">
        <f aca="false">IF(OR($I29="",$I23=""),"",ROUND((2*$I29-$I23)*1000,0))</f>
        <v/>
      </c>
      <c r="AR29" s="29" t="str">
        <f aca="false">IF(OR($I29="",$I24=""),"",ROUND((2*$I29-$I24)*1000,0))</f>
        <v/>
      </c>
      <c r="AS29" s="29" t="str">
        <f aca="false">IF(OR($I29="",$I25=""),"",ROUND((2*$I29-$I25)*1000,0))</f>
        <v/>
      </c>
      <c r="AT29" s="29" t="str">
        <f aca="false">IF(OR($I29="",$I26=""),"",ROUND((2*$I29-$I26)*1000,0))</f>
        <v/>
      </c>
      <c r="AU29" s="29" t="str">
        <f aca="false">IF(OR($I29="",$I27=""),"",ROUND((2*$I29-$I27)*1000,0))</f>
        <v/>
      </c>
      <c r="AV29" s="29" t="str">
        <f aca="false">IF(OR($I29="",$I28=""),"",ROUND((2*$I29-$I28)*1000,0))</f>
        <v/>
      </c>
      <c r="AW29" s="6"/>
      <c r="AX29" s="29" t="str">
        <f aca="false">IF(OR($I29="",$I30=""),"",ROUND((2*$I29-$I30)*1000,0))</f>
        <v/>
      </c>
    </row>
    <row r="30" customFormat="false" ht="21.75" hidden="false" customHeight="true" outlineLevel="0" collapsed="false">
      <c r="B30" s="23" t="n">
        <v>16</v>
      </c>
      <c r="C30" s="40"/>
      <c r="D30" s="40"/>
      <c r="E30" s="44"/>
      <c r="F30" s="44"/>
      <c r="G30" s="44"/>
      <c r="H30" s="44"/>
      <c r="I30" s="41"/>
      <c r="J30" s="24" t="str">
        <f aca="false">IF(I30="","",IF(AND(I30&gt;=470,I30&lt;698),INT((I30-470)/6)+14,"–"))</f>
        <v/>
      </c>
      <c r="K30" s="25" t="str">
        <f aca="false">IF(OR(I30="",COUNT($R30:$AG30)=0),"",MIN($R30:$AG30))</f>
        <v/>
      </c>
      <c r="L30" s="24" t="str">
        <f aca="false">IF(K30="","",MATCH(K30,$R30:$AG30,0))</f>
        <v/>
      </c>
      <c r="M30" s="24" t="str">
        <f aca="false">IF(I30="","",COUNTIFS($AI$15:$AX$30,"&gt;"&amp;ROUND((I30-$L$5)*1000,0),$AI$15:$AX$30,"&lt;"&amp;ROUND((I30+$L$5)*1000,0))-COUNTIFS($AI30:$AX30,"&gt;"&amp;ROUND((I30-$L$5)*1000,0),$AI30:$AX30,"&lt;"&amp;ROUND((I30+$L$5)*1000,0))-COUNTIFS(AX$15:AX$30,"&gt;"&amp;ROUND((I30-$L$5)*1000,0),AX$15:AX$30,"&lt;"&amp;ROUND((I30+$L$5)*1000,0)))</f>
        <v/>
      </c>
      <c r="N30" s="26" t="str">
        <f aca="false">IF(I30="",IF(AND(C30&lt;&gt;"",F30="2,4 GHz"),"Automática",""),IF(AND(K30&lt;&gt;"",K30&lt;0.0005),"Repetida",IF(AND(K30&lt;&gt;"",$L$4&lt;&gt;"",K30&lt;$L$4),"Próxima",IF(AND($L$6&lt;&gt;"",$L$7&lt;&gt;"",I30&gt;=$L$6,I30&lt;=$L$7),"Telefonia",IF(AND(I30&gt;=470,I30&lt;698,COUNTIF($E$9:$L$9,INT((I30-470)/6)+14)&gt;0),"TV",IF(M30&gt;0,"Intermod.","OK"))))))</f>
        <v/>
      </c>
      <c r="O30" s="27" t="str">
        <f aca="false">IF(N30="","",IF(N30="Automática","Sem frequência fixa: o sistema escolhe o canal. Afaste o receptor do roteador Wi-Fi",IF(N30="Repetida","Mesma frequência do sistema nº "&amp;L30&amp;": troque o canal de um dos dois",IF(N30="Próxima","Perto demais do sistema nº "&amp;L30&amp;": afaste as duas frequências",IF(N30="Telefonia","Dentro da faixa a evitar: troque de frequência ou de equipamento",IF(N30="TV","Dentro do canal de TV "&amp;J30&amp;", ativo na cidade: use um canal de TV livre",IF(N30="Intermod.","Há "&amp;M30&amp;" produto(s) de intermodulação perto: troque esta frequência ou use o grupo do fabricante","Manter")))))))</f>
        <v/>
      </c>
      <c r="P30" s="40"/>
      <c r="R30" s="28" t="str">
        <f aca="false">IF(OR($I30="",$I15=""),"",ROUND(ABS($I30-$I15),4))</f>
        <v/>
      </c>
      <c r="S30" s="28" t="str">
        <f aca="false">IF(OR($I30="",$I16=""),"",ROUND(ABS($I30-$I16),4))</f>
        <v/>
      </c>
      <c r="T30" s="28" t="str">
        <f aca="false">IF(OR($I30="",$I17=""),"",ROUND(ABS($I30-$I17),4))</f>
        <v/>
      </c>
      <c r="U30" s="28" t="str">
        <f aca="false">IF(OR($I30="",$I18=""),"",ROUND(ABS($I30-$I18),4))</f>
        <v/>
      </c>
      <c r="V30" s="28" t="str">
        <f aca="false">IF(OR($I30="",$I19=""),"",ROUND(ABS($I30-$I19),4))</f>
        <v/>
      </c>
      <c r="W30" s="28" t="str">
        <f aca="false">IF(OR($I30="",$I20=""),"",ROUND(ABS($I30-$I20),4))</f>
        <v/>
      </c>
      <c r="X30" s="28" t="str">
        <f aca="false">IF(OR($I30="",$I21=""),"",ROUND(ABS($I30-$I21),4))</f>
        <v/>
      </c>
      <c r="Y30" s="28" t="str">
        <f aca="false">IF(OR($I30="",$I22=""),"",ROUND(ABS($I30-$I22),4))</f>
        <v/>
      </c>
      <c r="Z30" s="28" t="str">
        <f aca="false">IF(OR($I30="",$I23=""),"",ROUND(ABS($I30-$I23),4))</f>
        <v/>
      </c>
      <c r="AA30" s="28" t="str">
        <f aca="false">IF(OR($I30="",$I24=""),"",ROUND(ABS($I30-$I24),4))</f>
        <v/>
      </c>
      <c r="AB30" s="28" t="str">
        <f aca="false">IF(OR($I30="",$I25=""),"",ROUND(ABS($I30-$I25),4))</f>
        <v/>
      </c>
      <c r="AC30" s="28" t="str">
        <f aca="false">IF(OR($I30="",$I26=""),"",ROUND(ABS($I30-$I26),4))</f>
        <v/>
      </c>
      <c r="AD30" s="28" t="str">
        <f aca="false">IF(OR($I30="",$I27=""),"",ROUND(ABS($I30-$I27),4))</f>
        <v/>
      </c>
      <c r="AE30" s="28" t="str">
        <f aca="false">IF(OR($I30="",$I28=""),"",ROUND(ABS($I30-$I28),4))</f>
        <v/>
      </c>
      <c r="AF30" s="28" t="str">
        <f aca="false">IF(OR($I30="",$I29=""),"",ROUND(ABS($I30-$I29),4))</f>
        <v/>
      </c>
      <c r="AG30" s="6"/>
      <c r="AI30" s="29" t="str">
        <f aca="false">IF(OR($I30="",$I15=""),"",ROUND((2*$I30-$I15)*1000,0))</f>
        <v/>
      </c>
      <c r="AJ30" s="29" t="str">
        <f aca="false">IF(OR($I30="",$I16=""),"",ROUND((2*$I30-$I16)*1000,0))</f>
        <v/>
      </c>
      <c r="AK30" s="29" t="str">
        <f aca="false">IF(OR($I30="",$I17=""),"",ROUND((2*$I30-$I17)*1000,0))</f>
        <v/>
      </c>
      <c r="AL30" s="29" t="str">
        <f aca="false">IF(OR($I30="",$I18=""),"",ROUND((2*$I30-$I18)*1000,0))</f>
        <v/>
      </c>
      <c r="AM30" s="29" t="str">
        <f aca="false">IF(OR($I30="",$I19=""),"",ROUND((2*$I30-$I19)*1000,0))</f>
        <v/>
      </c>
      <c r="AN30" s="29" t="str">
        <f aca="false">IF(OR($I30="",$I20=""),"",ROUND((2*$I30-$I20)*1000,0))</f>
        <v/>
      </c>
      <c r="AO30" s="29" t="str">
        <f aca="false">IF(OR($I30="",$I21=""),"",ROUND((2*$I30-$I21)*1000,0))</f>
        <v/>
      </c>
      <c r="AP30" s="29" t="str">
        <f aca="false">IF(OR($I30="",$I22=""),"",ROUND((2*$I30-$I22)*1000,0))</f>
        <v/>
      </c>
      <c r="AQ30" s="29" t="str">
        <f aca="false">IF(OR($I30="",$I23=""),"",ROUND((2*$I30-$I23)*1000,0))</f>
        <v/>
      </c>
      <c r="AR30" s="29" t="str">
        <f aca="false">IF(OR($I30="",$I24=""),"",ROUND((2*$I30-$I24)*1000,0))</f>
        <v/>
      </c>
      <c r="AS30" s="29" t="str">
        <f aca="false">IF(OR($I30="",$I25=""),"",ROUND((2*$I30-$I25)*1000,0))</f>
        <v/>
      </c>
      <c r="AT30" s="29" t="str">
        <f aca="false">IF(OR($I30="",$I26=""),"",ROUND((2*$I30-$I26)*1000,0))</f>
        <v/>
      </c>
      <c r="AU30" s="29" t="str">
        <f aca="false">IF(OR($I30="",$I27=""),"",ROUND((2*$I30-$I27)*1000,0))</f>
        <v/>
      </c>
      <c r="AV30" s="29" t="str">
        <f aca="false">IF(OR($I30="",$I28=""),"",ROUND((2*$I30-$I28)*1000,0))</f>
        <v/>
      </c>
      <c r="AW30" s="29" t="str">
        <f aca="false">IF(OR($I30="",$I29=""),"",ROUND((2*$I30-$I29)*1000,0))</f>
        <v/>
      </c>
      <c r="AX30" s="6"/>
    </row>
    <row r="32" customFormat="false" ht="21.75" hidden="false" customHeight="true" outlineLevel="0" collapsed="false">
      <c r="B32" s="16" t="s">
        <v>111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customFormat="false" ht="19.5" hidden="false" customHeight="true" outlineLevel="0" collapsed="false">
      <c r="B33" s="30" t="s">
        <v>112</v>
      </c>
      <c r="C33" s="30"/>
      <c r="D33" s="30"/>
      <c r="E33" s="30"/>
      <c r="F33" s="30"/>
      <c r="G33" s="30"/>
      <c r="H33" s="30"/>
      <c r="I33" s="8" t="n">
        <f aca="false">COUNTA(C15:C30)</f>
        <v>6</v>
      </c>
    </row>
    <row r="34" customFormat="false" ht="19.5" hidden="false" customHeight="true" outlineLevel="0" collapsed="false">
      <c r="B34" s="30" t="s">
        <v>113</v>
      </c>
      <c r="C34" s="30"/>
      <c r="D34" s="30"/>
      <c r="E34" s="30"/>
      <c r="F34" s="30"/>
      <c r="G34" s="30"/>
      <c r="H34" s="30"/>
      <c r="I34" s="8" t="n">
        <f aca="false">COUNT(I15:I30)</f>
        <v>6</v>
      </c>
    </row>
    <row r="35" customFormat="false" ht="19.5" hidden="false" customHeight="true" outlineLevel="0" collapsed="false">
      <c r="B35" s="30" t="s">
        <v>114</v>
      </c>
      <c r="C35" s="30"/>
      <c r="D35" s="30"/>
      <c r="E35" s="30"/>
      <c r="F35" s="30"/>
      <c r="G35" s="30"/>
      <c r="H35" s="30"/>
      <c r="I35" s="8" t="n">
        <f aca="false">COUNTIF(N15:N30,"OK")</f>
        <v>0</v>
      </c>
    </row>
    <row r="36" customFormat="false" ht="19.5" hidden="false" customHeight="true" outlineLevel="0" collapsed="false">
      <c r="B36" s="30" t="s">
        <v>115</v>
      </c>
      <c r="C36" s="30"/>
      <c r="D36" s="30"/>
      <c r="E36" s="30"/>
      <c r="F36" s="30"/>
      <c r="G36" s="30"/>
      <c r="H36" s="30"/>
      <c r="I36" s="8" t="n">
        <f aca="false">COUNTIF(N15:N30,"Repetida")+COUNTIF(N15:N30,"Próxima")</f>
        <v>2</v>
      </c>
    </row>
    <row r="37" customFormat="false" ht="19.5" hidden="false" customHeight="true" outlineLevel="0" collapsed="false">
      <c r="B37" s="30" t="s">
        <v>116</v>
      </c>
      <c r="C37" s="30"/>
      <c r="D37" s="30"/>
      <c r="E37" s="30"/>
      <c r="F37" s="30"/>
      <c r="G37" s="30"/>
      <c r="H37" s="30"/>
      <c r="I37" s="8" t="n">
        <f aca="false">COUNTIF(N15:N30,"TV")+COUNTIF(N15:N30,"Telefonia")</f>
        <v>1</v>
      </c>
    </row>
    <row r="38" customFormat="false" ht="19.5" hidden="false" customHeight="true" outlineLevel="0" collapsed="false">
      <c r="B38" s="30" t="s">
        <v>117</v>
      </c>
      <c r="C38" s="30"/>
      <c r="D38" s="30"/>
      <c r="E38" s="30"/>
      <c r="F38" s="30"/>
      <c r="G38" s="30"/>
      <c r="H38" s="30"/>
      <c r="I38" s="8" t="n">
        <f aca="false">COUNTIF(N15:N30,"Intermod.")</f>
        <v>3</v>
      </c>
    </row>
    <row r="39" customFormat="false" ht="19.5" hidden="false" customHeight="true" outlineLevel="0" collapsed="false">
      <c r="B39" s="30" t="s">
        <v>118</v>
      </c>
      <c r="C39" s="30"/>
      <c r="D39" s="30"/>
      <c r="E39" s="30"/>
      <c r="F39" s="30"/>
      <c r="G39" s="30"/>
      <c r="H39" s="30"/>
      <c r="I39" s="8" t="n">
        <f aca="false">COUNTIF(N15:N30,"Automática")</f>
        <v>0</v>
      </c>
    </row>
    <row r="40" customFormat="false" ht="21.75" hidden="false" customHeight="true" outlineLevel="0" collapsed="false">
      <c r="B40" s="30" t="s">
        <v>119</v>
      </c>
      <c r="C40" s="30"/>
      <c r="D40" s="30"/>
      <c r="E40" s="30"/>
      <c r="F40" s="30"/>
      <c r="G40" s="30"/>
      <c r="H40" s="30"/>
      <c r="I40" s="31" t="str">
        <f aca="false">IF(I33+I34=0,"Liste os sistemas e as frequências",IF(I36&gt;0,"Há frequências repetidas ou próximas demais: corrija antes de ligar os transmissores",IF(I37&gt;0,"Há frequência em canal de TV ativo ou na faixa a evitar: troque",IF(I38&gt;0,"Há risco de intermodulação: troque as frequências marcadas ou use o grupo do fabricante","OK"))))</f>
        <v>Há frequências repetidas ou próximas demais: corrija antes de ligar os transmissores</v>
      </c>
      <c r="J40" s="31"/>
      <c r="K40" s="31"/>
      <c r="L40" s="31"/>
      <c r="M40" s="31"/>
      <c r="N40" s="31"/>
      <c r="O40" s="31"/>
    </row>
    <row r="41" customFormat="false" ht="27" hidden="false" customHeight="true" outlineLevel="0" collapsed="false">
      <c r="B41" s="11" t="s">
        <v>120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3" customFormat="false" ht="21.75" hidden="false" customHeight="true" outlineLevel="0" collapsed="false">
      <c r="B43" s="16" t="s">
        <v>333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</row>
    <row r="44" customFormat="false" ht="21.75" hidden="false" customHeight="true" outlineLevel="0" collapsed="false">
      <c r="B44" s="8" t="s">
        <v>128</v>
      </c>
      <c r="C44" s="8"/>
      <c r="D44" s="8" t="s">
        <v>334</v>
      </c>
      <c r="E44" s="8"/>
      <c r="F44" s="8"/>
      <c r="G44" s="8" t="s">
        <v>335</v>
      </c>
      <c r="H44" s="8"/>
      <c r="I44" s="8"/>
      <c r="J44" s="8" t="s">
        <v>336</v>
      </c>
      <c r="K44" s="8"/>
      <c r="L44" s="8"/>
      <c r="M44" s="8"/>
      <c r="N44" s="8"/>
      <c r="O44" s="8"/>
      <c r="P44" s="8"/>
    </row>
    <row r="45" customFormat="false" ht="21.75" hidden="false" customHeight="true" outlineLevel="0" collapsed="false">
      <c r="B45" s="4" t="s">
        <v>337</v>
      </c>
      <c r="C45" s="4"/>
      <c r="D45" s="38" t="s">
        <v>338</v>
      </c>
      <c r="E45" s="38"/>
      <c r="F45" s="38"/>
      <c r="G45" s="38" t="s">
        <v>339</v>
      </c>
      <c r="H45" s="38"/>
      <c r="I45" s="38"/>
      <c r="J45" s="7" t="s">
        <v>340</v>
      </c>
      <c r="K45" s="7"/>
      <c r="L45" s="7"/>
      <c r="M45" s="7"/>
      <c r="N45" s="7"/>
      <c r="O45" s="7"/>
      <c r="P45" s="7"/>
    </row>
    <row r="46" customFormat="false" ht="21.75" hidden="false" customHeight="true" outlineLevel="0" collapsed="false">
      <c r="B46" s="4" t="s">
        <v>341</v>
      </c>
      <c r="C46" s="4"/>
      <c r="D46" s="38" t="s">
        <v>342</v>
      </c>
      <c r="E46" s="38"/>
      <c r="F46" s="38"/>
      <c r="G46" s="38" t="s">
        <v>343</v>
      </c>
      <c r="H46" s="38"/>
      <c r="I46" s="38"/>
      <c r="J46" s="7" t="s">
        <v>344</v>
      </c>
      <c r="K46" s="7"/>
      <c r="L46" s="7"/>
      <c r="M46" s="7"/>
      <c r="N46" s="7"/>
      <c r="O46" s="7"/>
      <c r="P46" s="7"/>
    </row>
    <row r="47" customFormat="false" ht="21.75" hidden="false" customHeight="true" outlineLevel="0" collapsed="false">
      <c r="B47" s="4" t="s">
        <v>345</v>
      </c>
      <c r="C47" s="4"/>
      <c r="D47" s="38" t="s">
        <v>346</v>
      </c>
      <c r="E47" s="38"/>
      <c r="F47" s="38"/>
      <c r="G47" s="38" t="s">
        <v>347</v>
      </c>
      <c r="H47" s="38"/>
      <c r="I47" s="38"/>
      <c r="J47" s="7" t="s">
        <v>348</v>
      </c>
      <c r="K47" s="7"/>
      <c r="L47" s="7"/>
      <c r="M47" s="7"/>
      <c r="N47" s="7"/>
      <c r="O47" s="7"/>
      <c r="P47" s="7"/>
    </row>
    <row r="48" customFormat="false" ht="21.75" hidden="false" customHeight="true" outlineLevel="0" collapsed="false">
      <c r="B48" s="4" t="s">
        <v>349</v>
      </c>
      <c r="C48" s="4"/>
      <c r="D48" s="38" t="s">
        <v>350</v>
      </c>
      <c r="E48" s="38"/>
      <c r="F48" s="38"/>
      <c r="G48" s="38" t="s">
        <v>351</v>
      </c>
      <c r="H48" s="38"/>
      <c r="I48" s="38"/>
      <c r="J48" s="7" t="s">
        <v>352</v>
      </c>
      <c r="K48" s="7"/>
      <c r="L48" s="7"/>
      <c r="M48" s="7"/>
      <c r="N48" s="7"/>
      <c r="O48" s="7"/>
      <c r="P48" s="7"/>
    </row>
    <row r="49" customFormat="false" ht="21.75" hidden="false" customHeight="true" outlineLevel="0" collapsed="false">
      <c r="B49" s="4" t="s">
        <v>353</v>
      </c>
      <c r="C49" s="4"/>
      <c r="D49" s="38" t="s">
        <v>354</v>
      </c>
      <c r="E49" s="38"/>
      <c r="F49" s="38"/>
      <c r="G49" s="38" t="s">
        <v>355</v>
      </c>
      <c r="H49" s="38"/>
      <c r="I49" s="38"/>
      <c r="J49" s="7" t="s">
        <v>356</v>
      </c>
      <c r="K49" s="7"/>
      <c r="L49" s="7"/>
      <c r="M49" s="7"/>
      <c r="N49" s="7"/>
      <c r="O49" s="7"/>
      <c r="P49" s="7"/>
    </row>
    <row r="50" customFormat="false" ht="21.75" hidden="false" customHeight="true" outlineLevel="0" collapsed="false">
      <c r="B50" s="4" t="s">
        <v>357</v>
      </c>
      <c r="C50" s="4"/>
      <c r="D50" s="38" t="s">
        <v>358</v>
      </c>
      <c r="E50" s="38"/>
      <c r="F50" s="38"/>
      <c r="G50" s="38" t="s">
        <v>359</v>
      </c>
      <c r="H50" s="38"/>
      <c r="I50" s="38"/>
      <c r="J50" s="7" t="s">
        <v>360</v>
      </c>
      <c r="K50" s="7"/>
      <c r="L50" s="7"/>
      <c r="M50" s="7"/>
      <c r="N50" s="7"/>
      <c r="O50" s="7"/>
      <c r="P50" s="7"/>
    </row>
    <row r="51" customFormat="false" ht="21.75" hidden="false" customHeight="true" outlineLevel="0" collapsed="false">
      <c r="B51" s="4" t="s">
        <v>361</v>
      </c>
      <c r="C51" s="4"/>
      <c r="D51" s="38" t="s">
        <v>362</v>
      </c>
      <c r="E51" s="38"/>
      <c r="F51" s="38"/>
      <c r="G51" s="38" t="s">
        <v>363</v>
      </c>
      <c r="H51" s="38"/>
      <c r="I51" s="38"/>
      <c r="J51" s="7" t="s">
        <v>364</v>
      </c>
      <c r="K51" s="7"/>
      <c r="L51" s="7"/>
      <c r="M51" s="7"/>
      <c r="N51" s="7"/>
      <c r="O51" s="7"/>
      <c r="P51" s="7"/>
    </row>
  </sheetData>
  <mergeCells count="66">
    <mergeCell ref="B1:P1"/>
    <mergeCell ref="B2:P2"/>
    <mergeCell ref="B4:C4"/>
    <mergeCell ref="D4:F4"/>
    <mergeCell ref="G4:K4"/>
    <mergeCell ref="M4:P4"/>
    <mergeCell ref="B5:C5"/>
    <mergeCell ref="D5:F5"/>
    <mergeCell ref="G5:K5"/>
    <mergeCell ref="M5:P5"/>
    <mergeCell ref="B6:C6"/>
    <mergeCell ref="D6:F6"/>
    <mergeCell ref="G6:K6"/>
    <mergeCell ref="M6:P6"/>
    <mergeCell ref="B7:C7"/>
    <mergeCell ref="D7:F7"/>
    <mergeCell ref="G7:K7"/>
    <mergeCell ref="M7:P7"/>
    <mergeCell ref="B9:D9"/>
    <mergeCell ref="M9:P9"/>
    <mergeCell ref="B11:P11"/>
    <mergeCell ref="B14:P14"/>
    <mergeCell ref="B32:P32"/>
    <mergeCell ref="B33:H33"/>
    <mergeCell ref="B34:H34"/>
    <mergeCell ref="B35:H35"/>
    <mergeCell ref="B36:H36"/>
    <mergeCell ref="B37:H37"/>
    <mergeCell ref="B38:H38"/>
    <mergeCell ref="B39:H39"/>
    <mergeCell ref="B40:H40"/>
    <mergeCell ref="I40:O40"/>
    <mergeCell ref="B41:P41"/>
    <mergeCell ref="B43:P43"/>
    <mergeCell ref="B44:C44"/>
    <mergeCell ref="D44:F44"/>
    <mergeCell ref="G44:I44"/>
    <mergeCell ref="J44:P44"/>
    <mergeCell ref="B45:C45"/>
    <mergeCell ref="D45:F45"/>
    <mergeCell ref="G45:I45"/>
    <mergeCell ref="J45:P45"/>
    <mergeCell ref="B46:C46"/>
    <mergeCell ref="D46:F46"/>
    <mergeCell ref="G46:I46"/>
    <mergeCell ref="J46:P46"/>
    <mergeCell ref="B47:C47"/>
    <mergeCell ref="D47:F47"/>
    <mergeCell ref="G47:I47"/>
    <mergeCell ref="J47:P47"/>
    <mergeCell ref="B48:C48"/>
    <mergeCell ref="D48:F48"/>
    <mergeCell ref="G48:I48"/>
    <mergeCell ref="J48:P48"/>
    <mergeCell ref="B49:C49"/>
    <mergeCell ref="D49:F49"/>
    <mergeCell ref="G49:I49"/>
    <mergeCell ref="J49:P49"/>
    <mergeCell ref="B50:C50"/>
    <mergeCell ref="D50:F50"/>
    <mergeCell ref="G50:I50"/>
    <mergeCell ref="J50:P50"/>
    <mergeCell ref="B51:C51"/>
    <mergeCell ref="D51:F51"/>
    <mergeCell ref="G51:I51"/>
    <mergeCell ref="J51:P51"/>
  </mergeCells>
  <conditionalFormatting sqref="N15:N3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"Automática"</formula>
    </cfRule>
    <cfRule type="cellIs" priority="4" operator="equal" aboveAverage="0" equalAverage="0" bottom="0" percent="0" rank="0" text="" dxfId="2">
      <formula>"Repetida"</formula>
    </cfRule>
    <cfRule type="cellIs" priority="5" operator="equal" aboveAverage="0" equalAverage="0" bottom="0" percent="0" rank="0" text="" dxfId="2">
      <formula>"Próxima"</formula>
    </cfRule>
    <cfRule type="cellIs" priority="6" operator="equal" aboveAverage="0" equalAverage="0" bottom="0" percent="0" rank="0" text="" dxfId="2">
      <formula>"Telefonia"</formula>
    </cfRule>
    <cfRule type="cellIs" priority="7" operator="equal" aboveAverage="0" equalAverage="0" bottom="0" percent="0" rank="0" text="" dxfId="3">
      <formula>"TV"</formula>
    </cfRule>
    <cfRule type="cellIs" priority="8" operator="equal" aboveAverage="0" equalAverage="0" bottom="0" percent="0" rank="0" text="" dxfId="3">
      <formula>"Intermod."</formula>
    </cfRule>
  </conditionalFormatting>
  <conditionalFormatting sqref="I40:O40">
    <cfRule type="cellIs" priority="9" operator="equal" aboveAverage="0" equalAverage="0" bottom="0" percent="0" rank="0" text="" dxfId="0">
      <formula>"OK"</formula>
    </cfRule>
    <cfRule type="cellIs" priority="10" operator="notEqual" aboveAverage="0" equalAverage="0" bottom="0" percent="0" rank="0" text="" dxfId="3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L4:L7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E9:L9" type="decimal">
      <formula1>-1000000000</formula1>
      <formula2>1000000000</formula2>
    </dataValidation>
    <dataValidation allowBlank="true" error="Escolha uma das opções da lista." errorStyle="stop" errorTitle="Valor inválido" operator="between" prompt="De mão, Lapela, Headset, Instrumento, In-ear (IEM) ou Outro." promptTitle="Opções" showDropDown="false" showErrorMessage="true" showInputMessage="true" sqref="E15:E30" type="list">
      <formula1>"De mão,Lapela,Headset,Instrumento,In-ear (IEM),Outro"</formula1>
      <formula2>0</formula2>
    </dataValidation>
    <dataValidation allowBlank="true" error="Escolha uma das opções da lista." errorStyle="stop" errorTitle="Valor inválido" operator="between" prompt="VHF, UHF, 2,4 GHz ou Outra." promptTitle="Opções" showDropDown="false" showErrorMessage="true" showInputMessage="true" sqref="F15:F30" type="list">
      <formula1>$R$4:$R$7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I15:I30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2026-10-01T12:59:15Z</dcterms:created>
  <dc:creator>Estudos: Técnico em áudio e vídeo</dc:creator>
  <dc:description/>
  <dc:language>pt-BR</dc:language>
  <cp:lastModifiedBy/>
  <dcterms:modified xsi:type="dcterms:W3CDTF">2026-10-01T12:59:15Z</dcterms:modified>
  <cp:revision>0</cp:revision>
  <dc:subject/>
  <dc:title>Microfones sem fio — plano de frequências e controle de pilhas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