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rojeção" sheetId="2" state="visible" r:id="rId4"/>
    <sheet name="Mídias" sheetId="3" state="visible" r:id="rId5"/>
    <sheet name="Slides" sheetId="4" state="visible" r:id="rId6"/>
    <sheet name="Referência" sheetId="5" state="visible" r:id="rId7"/>
    <sheet name="Checklist" sheetId="6" state="visible" r:id="rId8"/>
    <sheet name="Exemplo - Projeção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6" name="_xlnm.Print_Area" vbProcedure="false">'Exemplo - Projeção'!$B$1:$F$80</definedName>
    <definedName function="false" hidden="false" localSheetId="0" name="_xlnm.Print_Area" vbProcedure="false">Instruções!$B$1:$C$38</definedName>
    <definedName function="false" hidden="false" localSheetId="2" name="_xlnm.Print_Area" vbProcedure="false">Mídias!$B$1:$R$51</definedName>
    <definedName function="false" hidden="false" localSheetId="1" name="_xlnm.Print_Area" vbProcedure="false">Projeção!$B$1:$F$73</definedName>
    <definedName function="false" hidden="false" localSheetId="4" name="_xlnm.Print_Area" vbProcedure="false">Referência!$B$1:$E$51</definedName>
    <definedName function="false" hidden="false" localSheetId="3" name="_xlnm.Print_Area" vbProcedure="false">Slides!$B$1:$P$39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10" authorId="0">
      <text>
        <r>
          <rPr>
            <sz val="10"/>
            <rFont val="Arial"/>
            <family val="2"/>
          </rPr>
          <t xml:space="preserve">Abriu no computador do evento, com formato, resolução e proporção certos?
Convertido: precisou converter, e a cópia convertida está pronta.</t>
        </r>
      </text>
    </comment>
    <comment ref="L10" authorId="0">
      <text>
        <r>
          <rPr>
            <sz val="10"/>
            <rFont val="Arial"/>
            <family val="2"/>
          </rPr>
          <t xml:space="preserve">Assistida até o fim na tela do evento e, se tiver áudio, nas caixas da sala, com o operador de som.</t>
        </r>
      </text>
    </comment>
  </commentList>
</comments>
</file>

<file path=xl/sharedStrings.xml><?xml version="1.0" encoding="utf-8"?>
<sst xmlns="http://schemas.openxmlformats.org/spreadsheetml/2006/main" count="700" uniqueCount="432">
  <si>
    <t xml:space="preserve">Projeção, telão e mídia — como usar esta planilha</t>
  </si>
  <si>
    <t xml:space="preserve">Calculadora de projeção, lista de mídias do evento e conferência de slides.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</si>
  <si>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</si>
  <si>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</si>
  <si>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</si>
  <si>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</si>
  <si>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</si>
  <si>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</si>
  <si>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</si>
  <si>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</si>
  <si>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Uso, proporção, tipo, fundo e as colunas Sim / Não aceitam só as opções da lista.</t>
  </si>
  <si>
    <t xml:space="preserve">Números</t>
  </si>
  <si>
    <t xml:space="preserve">Digite só o número, sem a unidade: 14, e não “14 m”. Use a vírgula decimal do seu computador.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</si>
  <si>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</si>
  <si>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</si>
  <si>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</si>
  <si>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</si>
  <si>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Projeção: meça a sala (último espectador, primeira fila) e a imagem. Veja se o tamanho está na faixa.</t>
  </si>
  <si>
    <t xml:space="preserve">2</t>
  </si>
  <si>
    <t xml:space="preserve">Aba Projeção: informe os lúmens e o throw ratio do projetor e a distância da lente à tela.</t>
  </si>
  <si>
    <t xml:space="preserve">3</t>
  </si>
  <si>
    <t xml:space="preserve">Aba Projeção: meça os lux na tela, com a luz do evento e o projetor tampado. Veja o contraste.</t>
  </si>
  <si>
    <t xml:space="preserve">4</t>
  </si>
  <si>
    <t xml:space="preserve">Aba Projeção: meça a altura de uma letra maiúscula projetada. Se usa painel de LED ou TV, preencha a parte 5.</t>
  </si>
  <si>
    <t xml:space="preserve">5</t>
  </si>
  <si>
    <t xml:space="preserve">Aba Mídias: liste as mídias na ordem do roteiro e acompanhe até todas ficarem OK.</t>
  </si>
  <si>
    <t xml:space="preserve">6</t>
  </si>
  <si>
    <t xml:space="preserve">Aba Slides: confira cada música e cada apresentação antes do ensaio.</t>
  </si>
  <si>
    <t xml:space="preserve">7</t>
  </si>
  <si>
    <t xml:space="preserve">Aba Checklist: confira os doze itens antes de abrir as portas.</t>
  </si>
  <si>
    <t xml:space="preserve">Abas da planilha</t>
  </si>
  <si>
    <t xml:space="preserve">Projeção</t>
  </si>
  <si>
    <t xml:space="preserve">Tamanho mínimo da imagem, distância pelo throw ratio, brilho, contraste, letra, painel de LED e TV.</t>
  </si>
  <si>
    <t xml:space="preserve">Mídias</t>
  </si>
  <si>
    <t xml:space="preserve">Até 30 mídias em ordem, com prazo, conferência, duração, tempo acumulado e situação.</t>
  </si>
  <si>
    <t xml:space="preserve">Slides</t>
  </si>
  <si>
    <t xml:space="preserve">Até 20 músicas ou apresentações, com linhas, tamanho da linha e da letra, fundo e revisão.</t>
  </si>
  <si>
    <t xml:space="preserve">Referência</t>
  </si>
  <si>
    <t xml:space="preserve">Contraste, tipos de lente, medidas de TVs, pixel pitch, formatos de mídia e regras de slide.</t>
  </si>
  <si>
    <t xml:space="preserve">Checklist</t>
  </si>
  <si>
    <t xml:space="preserve">Os doze itens do treinamento, com percentual atendido.</t>
  </si>
  <si>
    <t xml:space="preserve">Exemplo - Projeção</t>
  </si>
  <si>
    <t xml:space="preserve">A igreja de 200 lugares do exemplo 1 do treinamento, com a solução adotada.</t>
  </si>
  <si>
    <t xml:space="preserve">Regras e premissas do modelo</t>
  </si>
  <si>
    <t xml:space="preserve">Tamanho</t>
  </si>
  <si>
    <t xml:space="preserve">Para texto, o último espectador fica a até 6 alturas da imagem; só vídeo, até 8; a primeira fila a pelo menos 2. Regra prática.</t>
  </si>
  <si>
    <t xml:space="preserve">Brilho</t>
  </si>
  <si>
    <t xml:space="preserve">Lux na tela = lúmens × aproveitamento ÷ área da imagem. Supõe tela branca fosca; tela cinza ou de alto ganho muda a conta.</t>
  </si>
  <si>
    <t xml:space="preserve">Contraste</t>
  </si>
  <si>
    <t xml:space="preserve">(luz do projetor + luz ambiente) ÷ luz ambiente, na tela. O mínimo de 15 : 1 para texto é referência de projeto, e não lei.</t>
  </si>
  <si>
    <t xml:space="preserve">Throw ratio</t>
  </si>
  <si>
    <t xml:space="preserve">Distância da lente à tela ÷ largura da imagem. Com zoom, vale a faixa entre o mínimo e o máximo da ficha.</t>
  </si>
  <si>
    <t xml:space="preserve">Letra</t>
  </si>
  <si>
    <t xml:space="preserve">Altura mínima da maiúscula = distância ÷ 200; confortável = distância ÷ 150. Letra fina ou fundo movimentado pedem mais.</t>
  </si>
  <si>
    <t xml:space="preserve">Painel de LED</t>
  </si>
  <si>
    <t xml:space="preserve">Distância mínima de cerca de 1 m por mm de pitch; imagem lisa a partir do dobro. A resolução é aproximada.</t>
  </si>
  <si>
    <t xml:space="preserve">Exemplos</t>
  </si>
  <si>
    <t xml:space="preserve">Os dados das abas de exemplo são ilustrativos, criados para este material.</t>
  </si>
  <si>
    <t xml:space="preserve">Projeção — tamanho, distância, brilho e letra</t>
  </si>
  <si>
    <t xml:space="preserve">Preencha as células em amarelo-claro com as medidas da sala. As células cinza são calculadas.</t>
  </si>
  <si>
    <t xml:space="preserve">Evento</t>
  </si>
  <si>
    <t xml:space="preserve">Local</t>
  </si>
  <si>
    <t xml:space="preserve">Data</t>
  </si>
  <si>
    <t xml:space="preserve">Operador</t>
  </si>
  <si>
    <t xml:space="preserve">Regras práticas deste material (pode trocar, se o projeto da sua sala usar outras)</t>
  </si>
  <si>
    <t xml:space="preserve">Item</t>
  </si>
  <si>
    <t xml:space="preserve">Valor</t>
  </si>
  <si>
    <t xml:space="preserve">Unidade</t>
  </si>
  <si>
    <t xml:space="preserve">Situação</t>
  </si>
  <si>
    <t xml:space="preserve">O que fazer / observação</t>
  </si>
  <si>
    <t xml:space="preserve">Último espectador, no máximo, a quantas alturas (texto)</t>
  </si>
  <si>
    <t xml:space="preserve">× H</t>
  </si>
  <si>
    <t xml:space="preserve">Para ler letras, Bíblia e avisos. Regra prática, e não norma.</t>
  </si>
  <si>
    <t xml:space="preserve">Último espectador, no máximo, a quantas alturas (só vídeo)</t>
  </si>
  <si>
    <t xml:space="preserve">Quando a tela mostra só vídeo, ou letras muito grandes.</t>
  </si>
  <si>
    <t xml:space="preserve">Primeira fila, no mínimo, a quantas alturas</t>
  </si>
  <si>
    <t xml:space="preserve">Mais perto, a pessoa precisa virar a cabeça para ver a imagem inteira.</t>
  </si>
  <si>
    <t xml:space="preserve">Contraste mínimo para texto</t>
  </si>
  <si>
    <t xml:space="preserve">: 1</t>
  </si>
  <si>
    <t xml:space="preserve">Abaixo de 7 : 1 a imagem lava; de 7 a 15, só letra grande; acima de 50, bom para vídeo escuro.</t>
  </si>
  <si>
    <t xml:space="preserve">Letra mínima: distância dividida por</t>
  </si>
  <si>
    <t xml:space="preserve">÷</t>
  </si>
  <si>
    <t xml:space="preserve">Altura da letra maiúscula na tela. Letra fina ou fundo movimentado pedem mais.</t>
  </si>
  <si>
    <t xml:space="preserve">Letra confortável: distância dividida por</t>
  </si>
  <si>
    <t xml:space="preserve">Aproveitamento dos lúmens da ficha</t>
  </si>
  <si>
    <t xml:space="preserve">%</t>
  </si>
  <si>
    <t xml:space="preserve">Desconta lâmpada usada e ajustes. Use 60% em modo econômico com lâmpada velha; 90% em laser novo.</t>
  </si>
  <si>
    <t xml:space="preserve">1. Sala e tamanho da imagem</t>
  </si>
  <si>
    <t xml:space="preserve">Uso principal da tela</t>
  </si>
  <si>
    <t xml:space="preserve">Texto: letras, Bíblia, avisos, slides. Só vídeo: quando não há leitura.</t>
  </si>
  <si>
    <t xml:space="preserve">Distância da tela ao último espectador que precisa ler</t>
  </si>
  <si>
    <t xml:space="preserve">m</t>
  </si>
  <si>
    <t xml:space="preserve">Distância da tela à primeira fila</t>
  </si>
  <si>
    <t xml:space="preserve">Proporção da imagem</t>
  </si>
  <si>
    <t xml:space="preserve">Em branco, o modelo usa 16x9.</t>
  </si>
  <si>
    <t xml:space="preserve">Largura da imagem (projetada ou planejada)</t>
  </si>
  <si>
    <t xml:space="preserve">Altura da imagem</t>
  </si>
  <si>
    <t xml:space="preserve">Área da imagem</t>
  </si>
  <si>
    <t xml:space="preserve">m²</t>
  </si>
  <si>
    <t xml:space="preserve">Altura mínima da imagem para esta distância</t>
  </si>
  <si>
    <t xml:space="preserve">Largura mínima da imagem</t>
  </si>
  <si>
    <t xml:space="preserve">Na proporção escolhida.</t>
  </si>
  <si>
    <t xml:space="preserve">Último espectador, em alturas da imagem</t>
  </si>
  <si>
    <t xml:space="preserve">Primeira fila, em alturas da imagem</t>
  </si>
  <si>
    <t xml:space="preserve">2. Projetor e distância (throw ratio)</t>
  </si>
  <si>
    <t xml:space="preserve">Lúmens da ficha (ANSI ou ISO)</t>
  </si>
  <si>
    <t xml:space="preserve">lm</t>
  </si>
  <si>
    <t xml:space="preserve">Não use números de “lúmens de LED” ou de “lux” de aparelhos sem método padronizado.</t>
  </si>
  <si>
    <t xml:space="preserve">Throw ratio mínimo (zoom aberto)</t>
  </si>
  <si>
    <t xml:space="preserve">Na ficha aparece como 1,4 a 2,2, por exemplo. Lente fixa: um só valor.</t>
  </si>
  <si>
    <t xml:space="preserve">Throw ratio máximo (zoom fechado)</t>
  </si>
  <si>
    <t xml:space="preserve">Em branco para lente fixa.</t>
  </si>
  <si>
    <t xml:space="preserve">Distância da lente à tela</t>
  </si>
  <si>
    <t xml:space="preserve">A medida atual, ou o ponto de fixação que você pretende usar.</t>
  </si>
  <si>
    <t xml:space="preserve">Distância que a lente pede para esta largura: de</t>
  </si>
  <si>
    <t xml:space="preserve">Largura da imagem × throw ratio mínimo.</t>
  </si>
  <si>
    <t xml:space="preserve">até</t>
  </si>
  <si>
    <t xml:space="preserve">Largura da imagem × throw ratio máximo.</t>
  </si>
  <si>
    <t xml:space="preserve">Largura possível a esta distância: de</t>
  </si>
  <si>
    <t xml:space="preserve">Com o zoom fechado.</t>
  </si>
  <si>
    <t xml:space="preserve">Com o zoom aberto.</t>
  </si>
  <si>
    <t xml:space="preserve">Posição do projetor</t>
  </si>
  <si>
    <t xml:space="preserve">3. Luz ambiente e contraste</t>
  </si>
  <si>
    <t xml:space="preserve">Luz ambiente na tela, com o projetor tampado</t>
  </si>
  <si>
    <t xml:space="preserve">lux</t>
  </si>
  <si>
    <t xml:space="preserve">Com a luz do evento e do palco acesas. Anote o maior valor entre o centro e os cantos.</t>
  </si>
  <si>
    <t xml:space="preserve">Luz do projetor na tela</t>
  </si>
  <si>
    <t xml:space="preserve">Lúmens × aproveitamento ÷ área da imagem.</t>
  </si>
  <si>
    <t xml:space="preserve">Contraste na sala</t>
  </si>
  <si>
    <t xml:space="preserve">Lúmens da ficha necessários para o contraste mínimo</t>
  </si>
  <si>
    <t xml:space="preserve">Com esta luz ambiente e esta área de imagem.</t>
  </si>
  <si>
    <t xml:space="preserve">Luz ambiente máxima na tela para este projetor</t>
  </si>
  <si>
    <t xml:space="preserve">Acima disso, o contraste cai abaixo do mínimo.</t>
  </si>
  <si>
    <t xml:space="preserve">4. Tamanho da letra</t>
  </si>
  <si>
    <t xml:space="preserve">Linhas da saída de vídeo</t>
  </si>
  <si>
    <t xml:space="preserve">px</t>
  </si>
  <si>
    <t xml:space="preserve">1080 para Full HD, 720 para HD, 768 ou 800 em alguns projetores.</t>
  </si>
  <si>
    <t xml:space="preserve">Altura mínima da letra maiúscula na tela</t>
  </si>
  <si>
    <t xml:space="preserve">cm</t>
  </si>
  <si>
    <t xml:space="preserve">Altura confortável da letra maiúscula</t>
  </si>
  <si>
    <t xml:space="preserve">Letra mínima em pixels da saída</t>
  </si>
  <si>
    <t xml:space="preserve">Altura da maiúscula. A fonte precisa ser cerca de 1,4 vez maior, porque a maiúscula ocupa perto de 70% do tamanho nominal.</t>
  </si>
  <si>
    <t xml:space="preserve">Altura da letra maiúscula medida na tela</t>
  </si>
  <si>
    <t xml:space="preserve">5. Painel de LED ou TV (se usar)</t>
  </si>
  <si>
    <t xml:space="preserve">Pixel pitch do painel</t>
  </si>
  <si>
    <t xml:space="preserve">mm</t>
  </si>
  <si>
    <t xml:space="preserve">Largura do painel</t>
  </si>
  <si>
    <t xml:space="preserve">Altura do painel</t>
  </si>
  <si>
    <t xml:space="preserve">Resolução aproximada do painel</t>
  </si>
  <si>
    <t xml:space="preserve">pontos</t>
  </si>
  <si>
    <t xml:space="preserve">A real depende do tamanho dos gabinetes. Compare com a saída do computador.</t>
  </si>
  <si>
    <t xml:space="preserve">Distância mínima de visão (1 m por mm de pitch)</t>
  </si>
  <si>
    <t xml:space="preserve">Último espectador, em alturas do painel</t>
  </si>
  <si>
    <t xml:space="preserve">Diagonal da TV</t>
  </si>
  <si>
    <t xml:space="preserve">pol.</t>
  </si>
  <si>
    <t xml:space="preserve">Usa a proporção informada na parte 1.</t>
  </si>
  <si>
    <t xml:space="preserve">Largura da TV</t>
  </si>
  <si>
    <t xml:space="preserve">Altura da TV</t>
  </si>
  <si>
    <t xml:space="preserve">Último espectador, em alturas da TV</t>
  </si>
  <si>
    <t xml:space="preserve">Resumo automático</t>
  </si>
  <si>
    <t xml:space="preserve">Pontos conferidos</t>
  </si>
  <si>
    <t xml:space="preserve">Pontos a corrigir</t>
  </si>
  <si>
    <t xml:space="preserve">Aviso</t>
  </si>
  <si>
    <t xml:space="preserve">Os fatores do alto da aba são regra prática deste material, e não norma. As contas de brilho supõem tela branca fosca.</t>
  </si>
  <si>
    <t xml:space="preserve">Mídias do evento — lista em ordem, com duração e situação</t>
  </si>
  <si>
    <t xml:space="preserve">Liste na ordem do roteiro. A situação mostra o que falta fazer em cada mídia.</t>
  </si>
  <si>
    <t xml:space="preserve">Data limite para receber</t>
  </si>
  <si>
    <t xml:space="preserve">Data do evento</t>
  </si>
  <si>
    <t xml:space="preserve">Mídia que chega depois da data limite fica marcada como atrasada: dá tempo de converter e testar, mas aperta.</t>
  </si>
  <si>
    <t xml:space="preserve">Antecedência para receber (dias)</t>
  </si>
  <si>
    <t xml:space="preserve">Duração em minutos e segundos. O acumulado mostra quanto tempo de mídia já passou até o fim de cada item.</t>
  </si>
  <si>
    <t xml:space="preserve">Lista de mídias</t>
  </si>
  <si>
    <t xml:space="preserve">#</t>
  </si>
  <si>
    <t xml:space="preserve">Momento (deixa)</t>
  </si>
  <si>
    <t xml:space="preserve">Mídia</t>
  </si>
  <si>
    <t xml:space="preserve">Tipo</t>
  </si>
  <si>
    <t xml:space="preserve">Quem envia</t>
  </si>
  <si>
    <t xml:space="preserve">Recebida em</t>
  </si>
  <si>
    <t xml:space="preserve">No prazo</t>
  </si>
  <si>
    <t xml:space="preserve">Formato conferido</t>
  </si>
  <si>
    <t xml:space="preserve">No disco</t>
  </si>
  <si>
    <t xml:space="preserve">Tem áudio</t>
  </si>
  <si>
    <t xml:space="preserve">Testada</t>
  </si>
  <si>
    <t xml:space="preserve">Min</t>
  </si>
  <si>
    <t xml:space="preserve">Seg</t>
  </si>
  <si>
    <t xml:space="preserve">Duração</t>
  </si>
  <si>
    <t xml:space="preserve">Acumulado</t>
  </si>
  <si>
    <t xml:space="preserve">Observação</t>
  </si>
  <si>
    <t xml:space="preserve">no roteiro</t>
  </si>
  <si>
    <t xml:space="preserve">nome do arquivo ou título</t>
  </si>
  <si>
    <t xml:space="preserve">lista</t>
  </si>
  <si>
    <t xml:space="preserve">data</t>
  </si>
  <si>
    <t xml:space="preserve">Sim / Convertido / Não</t>
  </si>
  <si>
    <t xml:space="preserve">Sim / Não</t>
  </si>
  <si>
    <t xml:space="preserve">na tela e no som</t>
  </si>
  <si>
    <t xml:space="preserve">Ex.</t>
  </si>
  <si>
    <t xml:space="preserve">Abertura</t>
  </si>
  <si>
    <t xml:space="preserve">Vídeo de abertura</t>
  </si>
  <si>
    <t xml:space="preserve">Vídeo</t>
  </si>
  <si>
    <t xml:space="preserve">Comunicação</t>
  </si>
  <si>
    <t xml:space="preserve">02/10/2026</t>
  </si>
  <si>
    <t xml:space="preserve">Sim</t>
  </si>
  <si>
    <t xml:space="preserve">Convertido</t>
  </si>
  <si>
    <t xml:space="preserve">Não</t>
  </si>
  <si>
    <t xml:space="preserve">2:40</t>
  </si>
  <si>
    <t xml:space="preserve">Testar na tela e no som</t>
  </si>
  <si>
    <t xml:space="preserve">Situação: Falta receber → Conferir o formato → Copiar para o disco → Testar → OK. Letras e Bíblia montadas no programa também passam por aqui.</t>
  </si>
  <si>
    <t xml:space="preserve">Mídias listadas</t>
  </si>
  <si>
    <t xml:space="preserve">Duração total das mídias</t>
  </si>
  <si>
    <t xml:space="preserve">Prontas (OK)</t>
  </si>
  <si>
    <t xml:space="preserve">Pendentes</t>
  </si>
  <si>
    <t xml:space="preserve">Chegaram atrasadas</t>
  </si>
  <si>
    <t xml:space="preserve">Slides — conferência de letras, Bíblia, avisos e apresentações</t>
  </si>
  <si>
    <t xml:space="preserve">Uma linha por música ou apresentação. A situação aponta o primeiro problema a corrigir.</t>
  </si>
  <si>
    <t xml:space="preserve">Linhas por slide em música, no máximo</t>
  </si>
  <si>
    <t xml:space="preserve">Regras práticas deste material. Duas linhas por slide de música é o ponto de partida; Bíblia e avisos aceitam um pouco mais.</t>
  </si>
  <si>
    <t xml:space="preserve">Linhas por slide em Bíblia, aviso e palestra</t>
  </si>
  <si>
    <t xml:space="preserve">Caracteres na maior linha, no máximo</t>
  </si>
  <si>
    <t xml:space="preserve">A altura da letra se mede na tela, com uma régua, em uma letra maiúscula.</t>
  </si>
  <si>
    <t xml:space="preserve">Letra mínima na tela (cm), vinda da aba Projeção</t>
  </si>
  <si>
    <t xml:space="preserve">Preencha a aba Projeção para a planilha conferir a altura da letra.</t>
  </si>
  <si>
    <t xml:space="preserve">Conferência dos slides</t>
  </si>
  <si>
    <t xml:space="preserve">Máx. de linhas</t>
  </si>
  <si>
    <t xml:space="preserve">Maior linha</t>
  </si>
  <si>
    <t xml:space="preserve">Altura da letra</t>
  </si>
  <si>
    <t xml:space="preserve">Fundo</t>
  </si>
  <si>
    <t xml:space="preserve">Área segura</t>
  </si>
  <si>
    <t xml:space="preserve">Revisado</t>
  </si>
  <si>
    <t xml:space="preserve">Ordem combinada</t>
  </si>
  <si>
    <t xml:space="preserve">Limite de linhas</t>
  </si>
  <si>
    <t xml:space="preserve">O que corrigir</t>
  </si>
  <si>
    <t xml:space="preserve">música ou apresentação</t>
  </si>
  <si>
    <t xml:space="preserve">nº</t>
  </si>
  <si>
    <t xml:space="preserve">por slide</t>
  </si>
  <si>
    <t xml:space="preserve">caracteres</t>
  </si>
  <si>
    <t xml:space="preserve">cm, na tela</t>
  </si>
  <si>
    <t xml:space="preserve">Música de abertura</t>
  </si>
  <si>
    <t xml:space="preserve">Música</t>
  </si>
  <si>
    <t xml:space="preserve">Escuro liso</t>
  </si>
  <si>
    <t xml:space="preserve">Linhas demais</t>
  </si>
  <si>
    <t xml:space="preserve">Divida em mais slides: até 2 linhas por slide</t>
  </si>
  <si>
    <t xml:space="preserve">Ordem combinada: a sequência de estrofes e refrões confere com quem conduz a música. Em palestra, com quem fala.</t>
  </si>
  <si>
    <t xml:space="preserve">Itens listados</t>
  </si>
  <si>
    <t xml:space="preserve">Prontos (OK)</t>
  </si>
  <si>
    <t xml:space="preserve">A corrigir</t>
  </si>
  <si>
    <t xml:space="preserve">Referência — valores típicos</t>
  </si>
  <si>
    <t xml:space="preserve">Valores de referência, para servir de ponto de partida. Confira o manual do seu equipamento.</t>
  </si>
  <si>
    <t xml:space="preserve">Como aparece</t>
  </si>
  <si>
    <t xml:space="preserve">Serve para</t>
  </si>
  <si>
    <t xml:space="preserve">O que fazer</t>
  </si>
  <si>
    <t xml:space="preserve">Abaixo de 7 : 1</t>
  </si>
  <si>
    <t xml:space="preserve">lavada</t>
  </si>
  <si>
    <t xml:space="preserve">nada que precise de leitura</t>
  </si>
  <si>
    <t xml:space="preserve">Tire luz da tela, reduza a imagem ou use mais lúmens.</t>
  </si>
  <si>
    <t xml:space="preserve">De 7 a 15 : 1</t>
  </si>
  <si>
    <t xml:space="preserve">dá para ver, com esforço</t>
  </si>
  <si>
    <t xml:space="preserve">letra grande e em negrito</t>
  </si>
  <si>
    <t xml:space="preserve">Melhore a luz da sala antes do evento.</t>
  </si>
  <si>
    <t xml:space="preserve">De 15 a 50 : 1</t>
  </si>
  <si>
    <t xml:space="preserve">texto firme, cores presentes</t>
  </si>
  <si>
    <t xml:space="preserve">letras, Bíblia, avisos, slides</t>
  </si>
  <si>
    <t xml:space="preserve">Meta mínima deste material.</t>
  </si>
  <si>
    <t xml:space="preserve">Acima de 50 : 1</t>
  </si>
  <si>
    <t xml:space="preserve">preto de verdade</t>
  </si>
  <si>
    <t xml:space="preserve">vídeo com cenas escuras</t>
  </si>
  <si>
    <t xml:space="preserve">–</t>
  </si>
  <si>
    <t xml:space="preserve">Tipos de lente (throw ratio)</t>
  </si>
  <si>
    <t xml:space="preserve">Distância para 3 m de largura</t>
  </si>
  <si>
    <t xml:space="preserve">Onde se usa</t>
  </si>
  <si>
    <t xml:space="preserve">Tiro ultracurto</t>
  </si>
  <si>
    <t xml:space="preserve">abaixo de 0,4</t>
  </si>
  <si>
    <t xml:space="preserve">menos de 1,2 m</t>
  </si>
  <si>
    <t xml:space="preserve">Colado na parede, acima ou abaixo da tela. Exige tela muito plana.</t>
  </si>
  <si>
    <t xml:space="preserve">Tiro curto</t>
  </si>
  <si>
    <t xml:space="preserve">0,4 a 1,0</t>
  </si>
  <si>
    <t xml:space="preserve">1,2 a 3 m</t>
  </si>
  <si>
    <t xml:space="preserve">Salas rasas, palco em que ninguém pode passar na frente do feixe.</t>
  </si>
  <si>
    <t xml:space="preserve">Padrão</t>
  </si>
  <si>
    <t xml:space="preserve">1,2 a 2,0</t>
  </si>
  <si>
    <t xml:space="preserve">3,6 a 6 m</t>
  </si>
  <si>
    <t xml:space="preserve">A maioria dos projetores de sala e de auditório.</t>
  </si>
  <si>
    <t xml:space="preserve">Tiro longo</t>
  </si>
  <si>
    <t xml:space="preserve">acima de 2,0</t>
  </si>
  <si>
    <t xml:space="preserve">mais de 6 m</t>
  </si>
  <si>
    <t xml:space="preserve">Projetor no fundo da sala ou na cabine.</t>
  </si>
  <si>
    <t xml:space="preserve">Medidas de TVs 16:9</t>
  </si>
  <si>
    <t xml:space="preserve">Diagonal</t>
  </si>
  <si>
    <t xml:space="preserve">Largura × altura</t>
  </si>
  <si>
    <t xml:space="preserve">Último espectador (texto)</t>
  </si>
  <si>
    <t xml:space="preserve">43 polegadas</t>
  </si>
  <si>
    <t xml:space="preserve">0,95 × 0,54 m</t>
  </si>
  <si>
    <t xml:space="preserve">até 3,2 m</t>
  </si>
  <si>
    <t xml:space="preserve">Só vídeo: até 4,3 m.</t>
  </si>
  <si>
    <t xml:space="preserve">50 polegadas</t>
  </si>
  <si>
    <t xml:space="preserve">1,11 × 0,62 m</t>
  </si>
  <si>
    <t xml:space="preserve">até 3,7 m</t>
  </si>
  <si>
    <t xml:space="preserve">Só vídeo: até 5,0 m.</t>
  </si>
  <si>
    <t xml:space="preserve">55 polegadas</t>
  </si>
  <si>
    <t xml:space="preserve">1,22 × 0,68 m</t>
  </si>
  <si>
    <t xml:space="preserve">até 4,1 m</t>
  </si>
  <si>
    <t xml:space="preserve">Só vídeo: até 5,5 m.</t>
  </si>
  <si>
    <t xml:space="preserve">65 polegadas</t>
  </si>
  <si>
    <t xml:space="preserve">1,44 × 0,81 m</t>
  </si>
  <si>
    <t xml:space="preserve">até 4,9 m</t>
  </si>
  <si>
    <t xml:space="preserve">Só vídeo: até 6,5 m.</t>
  </si>
  <si>
    <t xml:space="preserve">75 polegadas</t>
  </si>
  <si>
    <t xml:space="preserve">1,66 × 0,93 m</t>
  </si>
  <si>
    <t xml:space="preserve">até 5,6 m</t>
  </si>
  <si>
    <t xml:space="preserve">Só vídeo: até 7,5 m.</t>
  </si>
  <si>
    <t xml:space="preserve">85 polegadas</t>
  </si>
  <si>
    <t xml:space="preserve">1,88 × 1,06 m</t>
  </si>
  <si>
    <t xml:space="preserve">até 6,4 m</t>
  </si>
  <si>
    <t xml:space="preserve">Só vídeo: até 8,5 m.</t>
  </si>
  <si>
    <t xml:space="preserve">98 polegadas</t>
  </si>
  <si>
    <t xml:space="preserve">2,17 × 1,22 m</t>
  </si>
  <si>
    <t xml:space="preserve">até 7,3 m</t>
  </si>
  <si>
    <t xml:space="preserve">Só vídeo: até 9,8 m.</t>
  </si>
  <si>
    <t xml:space="preserve">Painel de LED: pixel pitch</t>
  </si>
  <si>
    <t xml:space="preserve">Pixel pitch</t>
  </si>
  <si>
    <t xml:space="preserve">Pontos por metro</t>
  </si>
  <si>
    <t xml:space="preserve">Distância mínima de visão</t>
  </si>
  <si>
    <t xml:space="preserve">Uso típico</t>
  </si>
  <si>
    <t xml:space="preserve">1,9 a 2,6 mm</t>
  </si>
  <si>
    <t xml:space="preserve">380 a 520</t>
  </si>
  <si>
    <t xml:space="preserve">2 a 3 m</t>
  </si>
  <si>
    <t xml:space="preserve">Salas pequenas, estúdio, fundo que aparece em câmera de perto.</t>
  </si>
  <si>
    <t xml:space="preserve">2,9 a 3,9 mm</t>
  </si>
  <si>
    <t xml:space="preserve">256 a 345</t>
  </si>
  <si>
    <t xml:space="preserve">3 a 4 m</t>
  </si>
  <si>
    <t xml:space="preserve">O mais comum em igrejas, auditórios e locação para ambiente interno.</t>
  </si>
  <si>
    <t xml:space="preserve">4,8 a 6 mm</t>
  </si>
  <si>
    <t xml:space="preserve">165 a 210</t>
  </si>
  <si>
    <t xml:space="preserve">5 a 6 m</t>
  </si>
  <si>
    <t xml:space="preserve">Salas grandes e uso externo, com público distante.</t>
  </si>
  <si>
    <t xml:space="preserve">8 mm ou mais</t>
  </si>
  <si>
    <t xml:space="preserve">125 ou menos</t>
  </si>
  <si>
    <t xml:space="preserve">8 m ou mais</t>
  </si>
  <si>
    <t xml:space="preserve">Fachadas e grandes eventos externos.</t>
  </si>
  <si>
    <t xml:space="preserve">Formatos de mídia (ponto de partida)</t>
  </si>
  <si>
    <t xml:space="preserve">Formato seguro</t>
  </si>
  <si>
    <t xml:space="preserve">Detalhe</t>
  </si>
  <si>
    <t xml:space="preserve">O que evitar</t>
  </si>
  <si>
    <t xml:space="preserve">MP4, H.264</t>
  </si>
  <si>
    <t xml:space="preserve">1920 × 1080, 30 qps, 8 a 15 Mbps</t>
  </si>
  <si>
    <t xml:space="preserve">4K para tela Full HD, H.265 em computador antigo, taxa de quadros variável de celular.</t>
  </si>
  <si>
    <t xml:space="preserve">Áudio do vídeo</t>
  </si>
  <si>
    <t xml:space="preserve">AAC estéreo</t>
  </si>
  <si>
    <t xml:space="preserve">48 kHz</t>
  </si>
  <si>
    <t xml:space="preserve">Áudio em mais de dois canais (5.1); vídeos com volumes muito diferentes.</t>
  </si>
  <si>
    <t xml:space="preserve">Imagem</t>
  </si>
  <si>
    <t xml:space="preserve">JPG (foto), PNG (logo)</t>
  </si>
  <si>
    <t xml:space="preserve">1920 × 1080</t>
  </si>
  <si>
    <t xml:space="preserve">Foto de 12 megapixels em cada slide; imagem pequena ampliada.</t>
  </si>
  <si>
    <t xml:space="preserve">Música e trilha</t>
  </si>
  <si>
    <t xml:space="preserve">WAV, MP3 ou AAC</t>
  </si>
  <si>
    <t xml:space="preserve">256 kbps ou mais</t>
  </si>
  <si>
    <t xml:space="preserve">Áudio baixado de vídeo da internet em baixa qualidade.</t>
  </si>
  <si>
    <t xml:space="preserve">Slides de terceiros</t>
  </si>
  <si>
    <t xml:space="preserve">Original em 16:9 + PDF</t>
  </si>
  <si>
    <t xml:space="preserve">fontes incorporadas</t>
  </si>
  <si>
    <t xml:space="preserve">Fonte que só existe no computador de quem fez; vídeo embutido sem o arquivo.</t>
  </si>
  <si>
    <t xml:space="preserve">Regras de slide</t>
  </si>
  <si>
    <t xml:space="preserve">Ponto de partida</t>
  </si>
  <si>
    <t xml:space="preserve">Limite</t>
  </si>
  <si>
    <t xml:space="preserve">Por quê</t>
  </si>
  <si>
    <t xml:space="preserve">Linhas por slide</t>
  </si>
  <si>
    <t xml:space="preserve">2 em música</t>
  </si>
  <si>
    <t xml:space="preserve">4 em Bíblia e avisos</t>
  </si>
  <si>
    <t xml:space="preserve">Poucas linhas permitem letra grande.</t>
  </si>
  <si>
    <t xml:space="preserve">Tamanho da linha</t>
  </si>
  <si>
    <t xml:space="preserve">até 30 a 35 caracteres</t>
  </si>
  <si>
    <t xml:space="preserve">Linha longa obriga a letra a diminuir.</t>
  </si>
  <si>
    <t xml:space="preserve">Fonte</t>
  </si>
  <si>
    <t xml:space="preserve">sem serifa, traço médio ou negrito</t>
  </si>
  <si>
    <t xml:space="preserve">maiúsculas e minúsculas</t>
  </si>
  <si>
    <t xml:space="preserve">Traço fino e letra enfeitada somem de longe.</t>
  </si>
  <si>
    <t xml:space="preserve">Cor e fundo</t>
  </si>
  <si>
    <t xml:space="preserve">letra clara sobre fundo escuro e liso</t>
  </si>
  <si>
    <t xml:space="preserve">sombra ou contorno sobre imagem</t>
  </si>
  <si>
    <t xml:space="preserve">Fundo claro ofusca; fundo movimentado disputa com a letra.</t>
  </si>
  <si>
    <t xml:space="preserve">Margem</t>
  </si>
  <si>
    <t xml:space="preserve">5% de cada borda</t>
  </si>
  <si>
    <t xml:space="preserve">ou mais</t>
  </si>
  <si>
    <t xml:space="preserve">A borda pode ser cortada pela tela ou pelo ajuste de imagem.</t>
  </si>
  <si>
    <t xml:space="preserve">Troca da letra</t>
  </si>
  <si>
    <t xml:space="preserve">na última palavra do slide</t>
  </si>
  <si>
    <t xml:space="preserve">O público precisa ver a linha antes de cantar.</t>
  </si>
  <si>
    <t xml:space="preserve">Faixas típicas, que variam com o equipamento, a sala e o fabricante. Os fatores de distância e de letra são regra prática deste material.</t>
  </si>
  <si>
    <t xml:space="preserve">Checklist da projeção e da mídia</t>
  </si>
  <si>
    <t xml:space="preserve">Confira antes de abrir as portas. Escolha a situação de cada item na lista suspensa.</t>
  </si>
  <si>
    <t xml:space="preserve">Grupo</t>
  </si>
  <si>
    <t xml:space="preserve">Preparação</t>
  </si>
  <si>
    <t xml:space="preserve">Todas as mídias do roteiro estão na lista, na ordem do evento, e chegaram no prazo.</t>
  </si>
  <si>
    <t xml:space="preserve">Cada arquivo foi conferido (formato, resolução, proporção) e copiado para o disco do computador do evento.</t>
  </si>
  <si>
    <t xml:space="preserve">As letras foram revisadas e estão na ordem combinada com quem conduz a música.</t>
  </si>
  <si>
    <t xml:space="preserve">Os slides têm poucas linhas, letra grande, fundo com contraste e texto dentro da área segura.</t>
  </si>
  <si>
    <t xml:space="preserve">Tela</t>
  </si>
  <si>
    <t xml:space="preserve">O projetor ou o painel foi ligado com antecedência, sem aviso de filtro, de lâmpada ou de temperatura.</t>
  </si>
  <si>
    <t xml:space="preserve">A imagem enche a tela, reta, em foco nos quatro cantos e na proporção certa.</t>
  </si>
  <si>
    <t xml:space="preserve">Computador</t>
  </si>
  <si>
    <t xml:space="preserve">O computador está com as telas estendidas, na resolução nativa da saída, com fundo preto.</t>
  </si>
  <si>
    <t xml:space="preserve">Com a luz do evento acesa, um slide de letra e um de texto foram lidos do último banco.</t>
  </si>
  <si>
    <t xml:space="preserve">Cada vídeo foi assistido até o fim, na tela e nas caixas, com o operador de som.</t>
  </si>
  <si>
    <t xml:space="preserve">Saídas</t>
  </si>
  <si>
    <t xml:space="preserve">A saída de palco e a saída da transmissão, se houver, mostram o que devem.</t>
  </si>
  <si>
    <t xml:space="preserve">Notificações, proteção de tela, suspensão e atualizações estão desligadas, e o computador está na tomada.</t>
  </si>
  <si>
    <t xml:space="preserve">Operação</t>
  </si>
  <si>
    <t xml:space="preserve">O operador sabe os atalhos de tela preta e de limpar o texto, e o plano B está à mão.</t>
  </si>
  <si>
    <t xml:space="preserve">Itens respondidos</t>
  </si>
  <si>
    <t xml:space="preserve">Percentual atendido (Parcial vale metade)</t>
  </si>
  <si>
    <t xml:space="preserve">Exemplo preenchido, para consulta. Use a aba Projeção para a sua sala.</t>
  </si>
  <si>
    <t xml:space="preserve">Culto de domingo</t>
  </si>
  <si>
    <t xml:space="preserve">Igreja de 200 lugares</t>
  </si>
  <si>
    <t xml:space="preserve">Operador de projeção da escala</t>
  </si>
  <si>
    <t xml:space="preserve">Texto</t>
  </si>
  <si>
    <t xml:space="preserve">16x9</t>
  </si>
  <si>
    <t xml:space="preserve">Como a sala chegou a esta solução (exemplo 1 do treinamento)</t>
  </si>
  <si>
    <t xml:space="preserve">Projetor</t>
  </si>
  <si>
    <t xml:space="preserve">Luz na tela e resultado</t>
  </si>
  <si>
    <t xml:space="preserve">Como estava</t>
  </si>
  <si>
    <t xml:space="preserve">Tela de 2,1 m (altura 1,18 m)</t>
  </si>
  <si>
    <t xml:space="preserve">3.000 lm</t>
  </si>
  <si>
    <t xml:space="preserve">80 lux. Último banco a 11,9 alturas; contraste 13 : 1. Imagem pequena demais.</t>
  </si>
  <si>
    <t xml:space="preserve">Só a tela maior</t>
  </si>
  <si>
    <t xml:space="preserve">Tela de 4,2 m (altura 2,36 m)</t>
  </si>
  <si>
    <t xml:space="preserve">80 lux. Tamanho certo; contraste 4 : 1. Imagem lavada.</t>
  </si>
  <si>
    <t xml:space="preserve">Solução adotada</t>
  </si>
  <si>
    <t xml:space="preserve">5.000 lm a 7,5 m</t>
  </si>
  <si>
    <t xml:space="preserve">25 lux. Último banco a 5,9 alturas; contraste 17 : 1; letra de 13 cm.</t>
  </si>
  <si>
    <t xml:space="preserve">Comparação</t>
  </si>
  <si>
    <t xml:space="preserve">Painel de LED P3,9 de 4 × 2,5 m</t>
  </si>
  <si>
    <t xml:space="preserve">Não depende. Atende à primeira fila e à luz da sala; ficou de fora pelo custo.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</si>
</sst>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%"/>
    <numFmt numFmtId="167" formatCode="0.0"/>
    <numFmt numFmtId="168" formatCode="0.00"/>
    <numFmt numFmtId="169" formatCode="General"/>
    <numFmt numFmtId="170" formatCode="#,##0"/>
    <numFmt numFmtId="171" formatCode="0"/>
    <numFmt numFmtId="172" formatCode="[m]:ss"/>
    <numFmt numFmtId="173" formatCode="[h]:mm:ss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i val="true"/>
      <sz val="9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993300"/>
      </patternFill>
    </fill>
    <fill>
      <patternFill patternType="solid">
        <fgColor rgb="FF7A4A9A"/>
        <bgColor rgb="FF993366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6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59</v>
      </c>
      <c r="C2" s="2"/>
      <c r="D2" s="2"/>
      <c r="E2" s="2"/>
      <c r="F2" s="2"/>
    </row>
    <row r="4" customFormat="false" ht="19.5" hidden="false" customHeight="true" outlineLevel="0" collapsed="false">
      <c r="B4" s="4" t="s">
        <v>60</v>
      </c>
      <c r="C4" s="5"/>
      <c r="D4" s="5"/>
      <c r="E4" s="5"/>
      <c r="F4" s="5"/>
    </row>
    <row r="5" customFormat="false" ht="19.5" hidden="false" customHeight="true" outlineLevel="0" collapsed="false">
      <c r="B5" s="4" t="s">
        <v>61</v>
      </c>
      <c r="C5" s="5"/>
      <c r="D5" s="5"/>
      <c r="E5" s="5"/>
      <c r="F5" s="5"/>
    </row>
    <row r="6" customFormat="false" ht="19.5" hidden="false" customHeight="true" outlineLevel="0" collapsed="false">
      <c r="B6" s="4" t="s">
        <v>62</v>
      </c>
      <c r="C6" s="9"/>
      <c r="D6" s="9"/>
      <c r="E6" s="9"/>
      <c r="F6" s="9"/>
    </row>
    <row r="7" customFormat="false" ht="19.5" hidden="false" customHeight="true" outlineLevel="0" collapsed="false">
      <c r="B7" s="4" t="s">
        <v>63</v>
      </c>
      <c r="C7" s="5"/>
      <c r="D7" s="5"/>
      <c r="E7" s="5"/>
      <c r="F7" s="5"/>
    </row>
    <row r="9" customFormat="false" ht="21.75" hidden="false" customHeight="true" outlineLevel="0" collapsed="false">
      <c r="B9" s="10" t="s">
        <v>64</v>
      </c>
      <c r="C9" s="10"/>
      <c r="D9" s="10"/>
      <c r="E9" s="10"/>
      <c r="F9" s="10"/>
    </row>
    <row r="10" customFormat="false" ht="18" hidden="false" customHeight="true" outlineLevel="0" collapsed="false">
      <c r="B10" s="11" t="s">
        <v>65</v>
      </c>
      <c r="C10" s="11" t="s">
        <v>66</v>
      </c>
      <c r="D10" s="11" t="s">
        <v>67</v>
      </c>
      <c r="E10" s="11" t="s">
        <v>68</v>
      </c>
      <c r="F10" s="11" t="s">
        <v>69</v>
      </c>
    </row>
    <row r="11" customFormat="false" ht="21.75" hidden="false" customHeight="true" outlineLevel="0" collapsed="false">
      <c r="B11" s="4" t="s">
        <v>70</v>
      </c>
      <c r="C11" s="12" t="n">
        <v>6</v>
      </c>
      <c r="D11" s="13" t="s">
        <v>71</v>
      </c>
      <c r="E11" s="14" t="s">
        <v>72</v>
      </c>
      <c r="F11" s="14"/>
    </row>
    <row r="12" customFormat="false" ht="21.75" hidden="false" customHeight="true" outlineLevel="0" collapsed="false">
      <c r="B12" s="4" t="s">
        <v>73</v>
      </c>
      <c r="C12" s="12" t="n">
        <v>8</v>
      </c>
      <c r="D12" s="13" t="s">
        <v>71</v>
      </c>
      <c r="E12" s="14" t="s">
        <v>74</v>
      </c>
      <c r="F12" s="14"/>
    </row>
    <row r="13" customFormat="false" ht="21.75" hidden="false" customHeight="true" outlineLevel="0" collapsed="false">
      <c r="B13" s="4" t="s">
        <v>75</v>
      </c>
      <c r="C13" s="12" t="n">
        <v>2</v>
      </c>
      <c r="D13" s="13" t="s">
        <v>71</v>
      </c>
      <c r="E13" s="14" t="s">
        <v>76</v>
      </c>
      <c r="F13" s="14"/>
    </row>
    <row r="14" customFormat="false" ht="21.75" hidden="false" customHeight="true" outlineLevel="0" collapsed="false">
      <c r="B14" s="4" t="s">
        <v>77</v>
      </c>
      <c r="C14" s="12" t="n">
        <v>15</v>
      </c>
      <c r="D14" s="13" t="s">
        <v>78</v>
      </c>
      <c r="E14" s="14" t="s">
        <v>79</v>
      </c>
      <c r="F14" s="14"/>
    </row>
    <row r="15" customFormat="false" ht="21.75" hidden="false" customHeight="true" outlineLevel="0" collapsed="false">
      <c r="B15" s="4" t="s">
        <v>80</v>
      </c>
      <c r="C15" s="12" t="n">
        <v>200</v>
      </c>
      <c r="D15" s="13" t="s">
        <v>81</v>
      </c>
      <c r="E15" s="14" t="s">
        <v>82</v>
      </c>
      <c r="F15" s="14"/>
    </row>
    <row r="16" customFormat="false" ht="21.75" hidden="false" customHeight="true" outlineLevel="0" collapsed="false">
      <c r="B16" s="4" t="s">
        <v>83</v>
      </c>
      <c r="C16" s="12" t="n">
        <v>150</v>
      </c>
      <c r="D16" s="13" t="s">
        <v>81</v>
      </c>
      <c r="E16" s="14"/>
      <c r="F16" s="14"/>
    </row>
    <row r="17" customFormat="false" ht="31.5" hidden="false" customHeight="true" outlineLevel="0" collapsed="false">
      <c r="B17" s="4" t="s">
        <v>84</v>
      </c>
      <c r="C17" s="15" t="n">
        <v>0.8</v>
      </c>
      <c r="D17" s="13" t="s">
        <v>85</v>
      </c>
      <c r="E17" s="14" t="s">
        <v>86</v>
      </c>
      <c r="F17" s="14"/>
    </row>
    <row r="18" customFormat="false" ht="21.75" hidden="false" customHeight="true" outlineLevel="0" collapsed="false">
      <c r="B18" s="10" t="s">
        <v>87</v>
      </c>
      <c r="C18" s="10"/>
      <c r="D18" s="10"/>
      <c r="E18" s="10"/>
      <c r="F18" s="10"/>
    </row>
    <row r="19" customFormat="false" ht="18" hidden="false" customHeight="true" outlineLevel="0" collapsed="false">
      <c r="B19" s="11" t="s">
        <v>65</v>
      </c>
      <c r="C19" s="11" t="s">
        <v>66</v>
      </c>
      <c r="D19" s="11" t="s">
        <v>67</v>
      </c>
      <c r="E19" s="11" t="s">
        <v>68</v>
      </c>
      <c r="F19" s="11" t="s">
        <v>69</v>
      </c>
    </row>
    <row r="20" customFormat="false" ht="21.75" hidden="false" customHeight="true" outlineLevel="0" collapsed="false">
      <c r="B20" s="4" t="s">
        <v>88</v>
      </c>
      <c r="C20" s="12"/>
      <c r="D20" s="13"/>
      <c r="E20" s="14" t="s">
        <v>89</v>
      </c>
      <c r="F20" s="14"/>
    </row>
    <row r="21" customFormat="false" ht="21.75" hidden="false" customHeight="true" outlineLevel="0" collapsed="false">
      <c r="B21" s="4" t="s">
        <v>90</v>
      </c>
      <c r="C21" s="16"/>
      <c r="D21" s="13" t="s">
        <v>91</v>
      </c>
      <c r="E21" s="14"/>
      <c r="F21" s="14"/>
    </row>
    <row r="22" customFormat="false" ht="21.75" hidden="false" customHeight="true" outlineLevel="0" collapsed="false">
      <c r="B22" s="4" t="s">
        <v>92</v>
      </c>
      <c r="C22" s="16"/>
      <c r="D22" s="13" t="s">
        <v>91</v>
      </c>
      <c r="E22" s="14"/>
      <c r="F22" s="14"/>
    </row>
    <row r="23" customFormat="false" ht="21.75" hidden="false" customHeight="true" outlineLevel="0" collapsed="false">
      <c r="B23" s="4" t="s">
        <v>93</v>
      </c>
      <c r="C23" s="12"/>
      <c r="D23" s="13"/>
      <c r="E23" s="14" t="s">
        <v>94</v>
      </c>
      <c r="F23" s="14"/>
    </row>
    <row r="24" customFormat="false" ht="21.75" hidden="false" customHeight="true" outlineLevel="0" collapsed="false">
      <c r="B24" s="4" t="s">
        <v>95</v>
      </c>
      <c r="C24" s="17"/>
      <c r="D24" s="13" t="s">
        <v>91</v>
      </c>
      <c r="E24" s="14"/>
      <c r="F24" s="14"/>
    </row>
    <row r="25" customFormat="false" ht="21.75" hidden="false" customHeight="true" outlineLevel="0" collapsed="false">
      <c r="B25" s="4" t="s">
        <v>96</v>
      </c>
      <c r="C25" s="18" t="str">
        <f aca="false">IF(C24="","",C24*IF(C23="16x10",0.625,IF(C23="4x3",0.75,0.5625)))</f>
        <v/>
      </c>
      <c r="D25" s="13" t="s">
        <v>91</v>
      </c>
      <c r="E25" s="14"/>
      <c r="F25" s="14"/>
    </row>
    <row r="26" customFormat="false" ht="21.75" hidden="false" customHeight="true" outlineLevel="0" collapsed="false">
      <c r="B26" s="4" t="s">
        <v>97</v>
      </c>
      <c r="C26" s="18" t="str">
        <f aca="false">IF(C25="","",C24*C25)</f>
        <v/>
      </c>
      <c r="D26" s="13" t="s">
        <v>98</v>
      </c>
      <c r="E26" s="14"/>
      <c r="F26" s="14"/>
    </row>
    <row r="27" customFormat="false" ht="21.75" hidden="false" customHeight="true" outlineLevel="0" collapsed="false">
      <c r="B27" s="4" t="s">
        <v>99</v>
      </c>
      <c r="C27" s="18" t="str">
        <f aca="false">IF(C21="","",C21/IF(C20="Só vídeo",$C$12,$C$11))</f>
        <v/>
      </c>
      <c r="D27" s="13" t="s">
        <v>91</v>
      </c>
      <c r="E27" s="14"/>
      <c r="F27" s="14"/>
    </row>
    <row r="28" customFormat="false" ht="21.75" hidden="false" customHeight="true" outlineLevel="0" collapsed="false">
      <c r="B28" s="4" t="s">
        <v>100</v>
      </c>
      <c r="C28" s="18" t="str">
        <f aca="false">IF(C27="","",C27/IF(C23="16x10",0.625,IF(C23="4x3",0.75,0.5625)))</f>
        <v/>
      </c>
      <c r="D28" s="13" t="s">
        <v>91</v>
      </c>
      <c r="E28" s="14" t="s">
        <v>101</v>
      </c>
      <c r="F28" s="14"/>
    </row>
    <row r="29" customFormat="false" ht="21.75" hidden="false" customHeight="true" outlineLevel="0" collapsed="false">
      <c r="B29" s="4" t="s">
        <v>102</v>
      </c>
      <c r="C29" s="19" t="str">
        <f aca="false">IF(OR(C21="",C25=""),"",C21/C25)</f>
        <v/>
      </c>
      <c r="D29" s="13" t="s">
        <v>71</v>
      </c>
      <c r="E29" s="20" t="str">
        <f aca="false">IF(C29="","",IF(C29&lt;=IF(C20="Só vídeo",$C$12,$C$11),"OK","Imagem pequena"))</f>
        <v/>
      </c>
      <c r="F29" s="21" t="str">
        <f aca="false">IF(E29="","",IF(E29="OK","Manter","Aumente a imagem até a largura mínima, ou ponha telas de apoio para o fundo da sala"))</f>
        <v/>
      </c>
    </row>
    <row r="30" customFormat="false" ht="21.75" hidden="false" customHeight="true" outlineLevel="0" collapsed="false">
      <c r="B30" s="4" t="s">
        <v>103</v>
      </c>
      <c r="C30" s="19" t="str">
        <f aca="false">IF(OR(C22="",C25=""),"",C22/C25)</f>
        <v/>
      </c>
      <c r="D30" s="13" t="s">
        <v>71</v>
      </c>
      <c r="E30" s="20" t="str">
        <f aca="false">IF(C30="","",IF(C30&gt;=$C$13,"OK","Perto demais"))</f>
        <v/>
      </c>
      <c r="F30" s="21" t="str">
        <f aca="false">IF(E30="","",IF(E30="OK","Manter","Recue a primeira fila, ou reduza a imagem se ela passa do mínimo"))</f>
        <v/>
      </c>
    </row>
    <row r="31" customFormat="false" ht="21.75" hidden="false" customHeight="true" outlineLevel="0" collapsed="false">
      <c r="B31" s="10" t="s">
        <v>104</v>
      </c>
      <c r="C31" s="10"/>
      <c r="D31" s="10"/>
      <c r="E31" s="10"/>
      <c r="F31" s="10"/>
    </row>
    <row r="32" customFormat="false" ht="18" hidden="false" customHeight="true" outlineLevel="0" collapsed="false">
      <c r="B32" s="11" t="s">
        <v>65</v>
      </c>
      <c r="C32" s="11" t="s">
        <v>66</v>
      </c>
      <c r="D32" s="11" t="s">
        <v>67</v>
      </c>
      <c r="E32" s="11" t="s">
        <v>68</v>
      </c>
      <c r="F32" s="11" t="s">
        <v>69</v>
      </c>
    </row>
    <row r="33" customFormat="false" ht="21.75" hidden="false" customHeight="true" outlineLevel="0" collapsed="false">
      <c r="B33" s="4" t="s">
        <v>105</v>
      </c>
      <c r="C33" s="22"/>
      <c r="D33" s="13" t="s">
        <v>106</v>
      </c>
      <c r="E33" s="14" t="s">
        <v>107</v>
      </c>
      <c r="F33" s="14"/>
    </row>
    <row r="34" customFormat="false" ht="21.75" hidden="false" customHeight="true" outlineLevel="0" collapsed="false">
      <c r="B34" s="4" t="s">
        <v>108</v>
      </c>
      <c r="C34" s="17"/>
      <c r="D34" s="13"/>
      <c r="E34" s="14" t="s">
        <v>109</v>
      </c>
      <c r="F34" s="14"/>
    </row>
    <row r="35" customFormat="false" ht="21.75" hidden="false" customHeight="true" outlineLevel="0" collapsed="false">
      <c r="B35" s="4" t="s">
        <v>110</v>
      </c>
      <c r="C35" s="17"/>
      <c r="D35" s="13"/>
      <c r="E35" s="14" t="s">
        <v>111</v>
      </c>
      <c r="F35" s="14"/>
    </row>
    <row r="36" customFormat="false" ht="21.75" hidden="false" customHeight="true" outlineLevel="0" collapsed="false">
      <c r="B36" s="4" t="s">
        <v>112</v>
      </c>
      <c r="C36" s="17"/>
      <c r="D36" s="13" t="s">
        <v>91</v>
      </c>
      <c r="E36" s="14" t="s">
        <v>113</v>
      </c>
      <c r="F36" s="14"/>
    </row>
    <row r="37" customFormat="false" ht="21.75" hidden="false" customHeight="true" outlineLevel="0" collapsed="false">
      <c r="B37" s="4" t="s">
        <v>114</v>
      </c>
      <c r="C37" s="18" t="str">
        <f aca="false">IF(OR(C24="",C34=""),"",C24*C34)</f>
        <v/>
      </c>
      <c r="D37" s="13" t="s">
        <v>91</v>
      </c>
      <c r="E37" s="14" t="s">
        <v>115</v>
      </c>
      <c r="F37" s="14"/>
    </row>
    <row r="38" customFormat="false" ht="21.75" hidden="false" customHeight="true" outlineLevel="0" collapsed="false">
      <c r="B38" s="4" t="s">
        <v>116</v>
      </c>
      <c r="C38" s="18" t="str">
        <f aca="false">IF(C37="","",C24*IF(C35="",C34,C35))</f>
        <v/>
      </c>
      <c r="D38" s="13" t="s">
        <v>91</v>
      </c>
      <c r="E38" s="14" t="s">
        <v>117</v>
      </c>
      <c r="F38" s="14"/>
    </row>
    <row r="39" customFormat="false" ht="21.75" hidden="false" customHeight="true" outlineLevel="0" collapsed="false">
      <c r="B39" s="4" t="s">
        <v>118</v>
      </c>
      <c r="C39" s="18" t="str">
        <f aca="false">IF(OR(C36="",C34=""),"",C36/IF(C35="",C34,C35))</f>
        <v/>
      </c>
      <c r="D39" s="13" t="s">
        <v>91</v>
      </c>
      <c r="E39" s="14" t="s">
        <v>119</v>
      </c>
      <c r="F39" s="14"/>
    </row>
    <row r="40" customFormat="false" ht="21.75" hidden="false" customHeight="true" outlineLevel="0" collapsed="false">
      <c r="B40" s="4" t="s">
        <v>116</v>
      </c>
      <c r="C40" s="18" t="str">
        <f aca="false">IF(C39="","",C36/C34)</f>
        <v/>
      </c>
      <c r="D40" s="13" t="s">
        <v>91</v>
      </c>
      <c r="E40" s="14" t="s">
        <v>120</v>
      </c>
      <c r="F40" s="14"/>
    </row>
    <row r="41" customFormat="false" ht="21.75" hidden="false" customHeight="true" outlineLevel="0" collapsed="false">
      <c r="B41" s="4" t="s">
        <v>121</v>
      </c>
      <c r="C41" s="18" t="str">
        <f aca="false">IF(OR(C36="",C37=""),"",C36)</f>
        <v/>
      </c>
      <c r="D41" s="13"/>
      <c r="E41" s="20" t="str">
        <f aca="false">IF(C41="","",IF(C36&lt;C37-0.005,"Perto demais",IF(C36&gt;C38+0.005,"Longe demais","OK")))</f>
        <v/>
      </c>
      <c r="F41" s="21" t="str">
        <f aca="false">IF(E41="","",IF(E41="OK","Dentro da faixa do zoom. Ajuste fino no zoom e no foco",IF(E41="Perto demais","A imagem não chega à largura: afaste o projetor ou use lente de throw ratio menor","A imagem passa da largura: aproxime o projetor ou use lente de throw ratio maior")))</f>
        <v/>
      </c>
    </row>
    <row r="42" customFormat="false" ht="21.75" hidden="false" customHeight="true" outlineLevel="0" collapsed="false">
      <c r="B42" s="10" t="s">
        <v>122</v>
      </c>
      <c r="C42" s="10"/>
      <c r="D42" s="10"/>
      <c r="E42" s="10"/>
      <c r="F42" s="10"/>
    </row>
    <row r="43" customFormat="false" ht="18" hidden="false" customHeight="true" outlineLevel="0" collapsed="false">
      <c r="B43" s="11" t="s">
        <v>65</v>
      </c>
      <c r="C43" s="11" t="s">
        <v>66</v>
      </c>
      <c r="D43" s="11" t="s">
        <v>67</v>
      </c>
      <c r="E43" s="11" t="s">
        <v>68</v>
      </c>
      <c r="F43" s="11" t="s">
        <v>69</v>
      </c>
    </row>
    <row r="44" customFormat="false" ht="21.75" hidden="false" customHeight="true" outlineLevel="0" collapsed="false">
      <c r="B44" s="4" t="s">
        <v>123</v>
      </c>
      <c r="C44" s="23"/>
      <c r="D44" s="13" t="s">
        <v>124</v>
      </c>
      <c r="E44" s="14" t="s">
        <v>125</v>
      </c>
      <c r="F44" s="14"/>
    </row>
    <row r="45" customFormat="false" ht="21.75" hidden="false" customHeight="true" outlineLevel="0" collapsed="false">
      <c r="B45" s="4" t="s">
        <v>126</v>
      </c>
      <c r="C45" s="24" t="str">
        <f aca="false">IF(OR(C33="",C26=""),"",C33*$C$17/C26)</f>
        <v/>
      </c>
      <c r="D45" s="13" t="s">
        <v>124</v>
      </c>
      <c r="E45" s="14" t="s">
        <v>127</v>
      </c>
      <c r="F45" s="14"/>
    </row>
    <row r="46" customFormat="false" ht="21.75" hidden="false" customHeight="true" outlineLevel="0" collapsed="false">
      <c r="B46" s="4" t="s">
        <v>128</v>
      </c>
      <c r="C46" s="19" t="str">
        <f aca="false">IF(OR(C45="",C44="",C44&lt;=0),"",(C45+C44)/C44)</f>
        <v/>
      </c>
      <c r="D46" s="13" t="s">
        <v>78</v>
      </c>
      <c r="E46" s="20" t="str">
        <f aca="false">IF(C46="","",IF(C46&gt;=$C$14,"OK","Contraste baixo"))</f>
        <v/>
      </c>
      <c r="F46" s="21" t="str">
        <f aca="false">IF(E46="","",IF(C46&lt;7,"Imagem lavada. Tire luz da tela, reduza a imagem ou use mais lúmens",IF(E46="OK",IF(C46&gt;=50,"Bom também para vídeo com cenas escuras","Bom para letras e texto"),"No limite: só letra grande e em negrito. Tire luz da tela ou use mais lúmens")))</f>
        <v/>
      </c>
    </row>
    <row r="47" customFormat="false" ht="21.75" hidden="false" customHeight="true" outlineLevel="0" collapsed="false">
      <c r="B47" s="4" t="s">
        <v>129</v>
      </c>
      <c r="C47" s="25" t="str">
        <f aca="false">IF(OR(C44="",C26=""),"",($C$14-1)*C44*C26/$C$17)</f>
        <v/>
      </c>
      <c r="D47" s="13" t="s">
        <v>106</v>
      </c>
      <c r="E47" s="14" t="s">
        <v>130</v>
      </c>
      <c r="F47" s="14"/>
    </row>
    <row r="48" customFormat="false" ht="21.75" hidden="false" customHeight="true" outlineLevel="0" collapsed="false">
      <c r="B48" s="4" t="s">
        <v>131</v>
      </c>
      <c r="C48" s="24" t="str">
        <f aca="false">IF(C45="","",C45/($C$14-1))</f>
        <v/>
      </c>
      <c r="D48" s="13" t="s">
        <v>124</v>
      </c>
      <c r="E48" s="14" t="s">
        <v>132</v>
      </c>
      <c r="F48" s="14"/>
    </row>
    <row r="49" customFormat="false" ht="21.75" hidden="false" customHeight="true" outlineLevel="0" collapsed="false">
      <c r="B49" s="10" t="s">
        <v>133</v>
      </c>
      <c r="C49" s="10"/>
      <c r="D49" s="10"/>
      <c r="E49" s="10"/>
      <c r="F49" s="10"/>
    </row>
    <row r="50" customFormat="false" ht="18" hidden="false" customHeight="true" outlineLevel="0" collapsed="false">
      <c r="B50" s="11" t="s">
        <v>65</v>
      </c>
      <c r="C50" s="11" t="s">
        <v>66</v>
      </c>
      <c r="D50" s="11" t="s">
        <v>67</v>
      </c>
      <c r="E50" s="11" t="s">
        <v>68</v>
      </c>
      <c r="F50" s="11" t="s">
        <v>69</v>
      </c>
    </row>
    <row r="51" customFormat="false" ht="21.75" hidden="false" customHeight="true" outlineLevel="0" collapsed="false">
      <c r="B51" s="4" t="s">
        <v>134</v>
      </c>
      <c r="C51" s="23"/>
      <c r="D51" s="13" t="s">
        <v>135</v>
      </c>
      <c r="E51" s="14" t="s">
        <v>136</v>
      </c>
      <c r="F51" s="14"/>
    </row>
    <row r="52" customFormat="false" ht="21.75" hidden="false" customHeight="true" outlineLevel="0" collapsed="false">
      <c r="B52" s="4" t="s">
        <v>137</v>
      </c>
      <c r="C52" s="19" t="str">
        <f aca="false">IF(C21="","",C21/$C$15*100)</f>
        <v/>
      </c>
      <c r="D52" s="13" t="s">
        <v>138</v>
      </c>
      <c r="E52" s="14"/>
      <c r="F52" s="14"/>
    </row>
    <row r="53" customFormat="false" ht="21.75" hidden="false" customHeight="true" outlineLevel="0" collapsed="false">
      <c r="B53" s="4" t="s">
        <v>139</v>
      </c>
      <c r="C53" s="19" t="str">
        <f aca="false">IF(C21="","",C21/$C$16*100)</f>
        <v/>
      </c>
      <c r="D53" s="13" t="s">
        <v>138</v>
      </c>
      <c r="E53" s="14"/>
      <c r="F53" s="14"/>
    </row>
    <row r="54" customFormat="false" ht="31.5" hidden="false" customHeight="true" outlineLevel="0" collapsed="false">
      <c r="B54" s="4" t="s">
        <v>140</v>
      </c>
      <c r="C54" s="24" t="str">
        <f aca="false">IF(OR(C52="",C25="",C51=""),"",ROUND(C52/100/C25*C51,0))</f>
        <v/>
      </c>
      <c r="D54" s="13" t="s">
        <v>135</v>
      </c>
      <c r="E54" s="14" t="s">
        <v>141</v>
      </c>
      <c r="F54" s="14"/>
    </row>
    <row r="55" customFormat="false" ht="21.75" hidden="false" customHeight="true" outlineLevel="0" collapsed="false">
      <c r="B55" s="4" t="s">
        <v>142</v>
      </c>
      <c r="C55" s="16"/>
      <c r="D55" s="13" t="s">
        <v>138</v>
      </c>
      <c r="E55" s="20" t="str">
        <f aca="false">IF(OR(C55="",C52=""),"",IF(C55&gt;=C53,"OK",IF(C55&gt;=C52,"No limite","Letra pequena")))</f>
        <v/>
      </c>
      <c r="F55" s="21" t="str">
        <f aca="false">IF(E55="","",IF(E55="OK","Manter",IF(E55="No limite","Lê-se com esforço: menos linhas e letra maior","Reduza as linhas por slide e aumente a letra")))</f>
        <v/>
      </c>
    </row>
    <row r="56" customFormat="false" ht="21.75" hidden="false" customHeight="true" outlineLevel="0" collapsed="false">
      <c r="B56" s="10" t="s">
        <v>143</v>
      </c>
      <c r="C56" s="10"/>
      <c r="D56" s="10"/>
      <c r="E56" s="10"/>
      <c r="F56" s="10"/>
    </row>
    <row r="57" customFormat="false" ht="18" hidden="false" customHeight="true" outlineLevel="0" collapsed="false">
      <c r="B57" s="11" t="s">
        <v>65</v>
      </c>
      <c r="C57" s="11" t="s">
        <v>66</v>
      </c>
      <c r="D57" s="11" t="s">
        <v>67</v>
      </c>
      <c r="E57" s="11" t="s">
        <v>68</v>
      </c>
      <c r="F57" s="11" t="s">
        <v>69</v>
      </c>
    </row>
    <row r="58" customFormat="false" ht="21.75" hidden="false" customHeight="true" outlineLevel="0" collapsed="false">
      <c r="B58" s="4" t="s">
        <v>144</v>
      </c>
      <c r="C58" s="16"/>
      <c r="D58" s="13" t="s">
        <v>145</v>
      </c>
      <c r="E58" s="14"/>
      <c r="F58" s="14"/>
    </row>
    <row r="59" customFormat="false" ht="21.75" hidden="false" customHeight="true" outlineLevel="0" collapsed="false">
      <c r="B59" s="4" t="s">
        <v>146</v>
      </c>
      <c r="C59" s="17"/>
      <c r="D59" s="13" t="s">
        <v>91</v>
      </c>
      <c r="E59" s="14"/>
      <c r="F59" s="14"/>
    </row>
    <row r="60" customFormat="false" ht="21.75" hidden="false" customHeight="true" outlineLevel="0" collapsed="false">
      <c r="B60" s="4" t="s">
        <v>147</v>
      </c>
      <c r="C60" s="17"/>
      <c r="D60" s="13" t="s">
        <v>91</v>
      </c>
      <c r="E60" s="14"/>
      <c r="F60" s="14"/>
    </row>
    <row r="61" customFormat="false" ht="21.75" hidden="false" customHeight="true" outlineLevel="0" collapsed="false">
      <c r="B61" s="4" t="s">
        <v>148</v>
      </c>
      <c r="C61" s="8" t="str">
        <f aca="false">IF(OR(C58="",C59="",C60=""),"",ROUND(C59*1000/C58,0)&amp;" × "&amp;ROUND(C60*1000/C58,0))</f>
        <v/>
      </c>
      <c r="D61" s="13" t="s">
        <v>149</v>
      </c>
      <c r="E61" s="14" t="s">
        <v>150</v>
      </c>
      <c r="F61" s="14"/>
    </row>
    <row r="62" customFormat="false" ht="21.75" hidden="false" customHeight="true" outlineLevel="0" collapsed="false">
      <c r="B62" s="4" t="s">
        <v>151</v>
      </c>
      <c r="C62" s="19" t="str">
        <f aca="false">IF(C58="","",C58*1)</f>
        <v/>
      </c>
      <c r="D62" s="13" t="s">
        <v>91</v>
      </c>
      <c r="E62" s="20" t="str">
        <f aca="false">IF(OR(C62="",C22=""),"",IF(C22&gt;=C62,"OK","Perto demais"))</f>
        <v/>
      </c>
      <c r="F62" s="21" t="str">
        <f aca="false">IF(E62="","",IF(E62="OK",IF(C22&gt;=2*C62,"Imagem lisa desde a primeira fila","Aceitável. De perto, a grade dos pontos ainda aparece um pouco"),"A primeira fila vê os pontos: recue a fila ou use pitch menor"))</f>
        <v/>
      </c>
    </row>
    <row r="63" customFormat="false" ht="21.75" hidden="false" customHeight="true" outlineLevel="0" collapsed="false">
      <c r="B63" s="4" t="s">
        <v>152</v>
      </c>
      <c r="C63" s="19" t="str">
        <f aca="false">IF(OR(C60="",C21=""),"",C21/C60)</f>
        <v/>
      </c>
      <c r="D63" s="13" t="s">
        <v>71</v>
      </c>
      <c r="E63" s="20" t="str">
        <f aca="false">IF(C63="","",IF(C63&lt;=IF(C20="Só vídeo",$C$12,$C$11),"OK","Imagem pequena"))</f>
        <v/>
      </c>
      <c r="F63" s="21" t="str">
        <f aca="false">IF(E63="","",IF(E63="OK","Manter","Painel baixo para a distância: aumente a altura ou ponha telas de apoio"))</f>
        <v/>
      </c>
    </row>
    <row r="64" customFormat="false" ht="21.75" hidden="false" customHeight="true" outlineLevel="0" collapsed="false">
      <c r="B64" s="4" t="s">
        <v>153</v>
      </c>
      <c r="C64" s="23"/>
      <c r="D64" s="13" t="s">
        <v>154</v>
      </c>
      <c r="E64" s="14" t="s">
        <v>155</v>
      </c>
      <c r="F64" s="14"/>
    </row>
    <row r="65" customFormat="false" ht="21.75" hidden="false" customHeight="true" outlineLevel="0" collapsed="false">
      <c r="B65" s="4" t="s">
        <v>156</v>
      </c>
      <c r="C65" s="18" t="str">
        <f aca="false">IF(C64="","",C64*0.0254*IF(C23="16x10",0.848,IF(C23="4x3",0.8,0.8716)))</f>
        <v/>
      </c>
      <c r="D65" s="13" t="s">
        <v>91</v>
      </c>
      <c r="E65" s="14"/>
      <c r="F65" s="14"/>
    </row>
    <row r="66" customFormat="false" ht="21.75" hidden="false" customHeight="true" outlineLevel="0" collapsed="false">
      <c r="B66" s="4" t="s">
        <v>157</v>
      </c>
      <c r="C66" s="18" t="str">
        <f aca="false">IF(C64="","",C64*0.0254*IF(C23="16x10",0.53,IF(C23="4x3",0.6,0.4903)))</f>
        <v/>
      </c>
      <c r="D66" s="13" t="s">
        <v>91</v>
      </c>
      <c r="E66" s="14"/>
      <c r="F66" s="14"/>
    </row>
    <row r="67" customFormat="false" ht="21.75" hidden="false" customHeight="true" outlineLevel="0" collapsed="false">
      <c r="B67" s="4" t="s">
        <v>158</v>
      </c>
      <c r="C67" s="19" t="str">
        <f aca="false">IF(OR(C66="",C21=""),"",C21/C66)</f>
        <v/>
      </c>
      <c r="D67" s="13" t="s">
        <v>71</v>
      </c>
      <c r="E67" s="20" t="str">
        <f aca="false">IF(C67="","",IF(C67&lt;=IF(C20="Só vídeo",$C$12,$C$11),"OK","Imagem pequena"))</f>
        <v/>
      </c>
      <c r="F67" s="21" t="str">
        <f aca="false">IF(E67="","",IF(E67="OK","Manter","TV pequena para esta distância: use TV maior, projetor ou TVs de apoio"))</f>
        <v/>
      </c>
    </row>
    <row r="69" customFormat="false" ht="21.75" hidden="false" customHeight="true" outlineLevel="0" collapsed="false">
      <c r="B69" s="10" t="s">
        <v>159</v>
      </c>
      <c r="C69" s="10"/>
      <c r="D69" s="10"/>
      <c r="E69" s="10"/>
      <c r="F69" s="10"/>
    </row>
    <row r="70" customFormat="false" ht="19.5" hidden="false" customHeight="true" outlineLevel="0" collapsed="false">
      <c r="B70" s="26" t="s">
        <v>160</v>
      </c>
      <c r="C70" s="8" t="n">
        <f aca="false">IF(E29&lt;&gt;"",1,0)+IF(E30&lt;&gt;"",1,0)+IF(E41&lt;&gt;"",1,0)+IF(E46&lt;&gt;"",1,0)+IF(E55&lt;&gt;"",1,0)+IF(E62&lt;&gt;"",1,0)+IF(E63&lt;&gt;"",1,0)+IF(E67&lt;&gt;"",1,0)</f>
        <v>0</v>
      </c>
    </row>
    <row r="71" customFormat="false" ht="19.5" hidden="false" customHeight="true" outlineLevel="0" collapsed="false">
      <c r="B71" s="26" t="s">
        <v>161</v>
      </c>
      <c r="C71" s="8" t="n">
        <f aca="false">IF(AND(E29&lt;&gt;"",E29&lt;&gt;"OK"),1,0)+IF(AND(E30&lt;&gt;"",E30&lt;&gt;"OK"),1,0)+IF(AND(E41&lt;&gt;"",E41&lt;&gt;"OK"),1,0)+IF(AND(E46&lt;&gt;"",E46&lt;&gt;"OK"),1,0)+IF(AND(E55&lt;&gt;"",E55&lt;&gt;"OK"),1,0)+IF(AND(E62&lt;&gt;"",E62&lt;&gt;"OK"),1,0)+IF(AND(E63&lt;&gt;"",E63&lt;&gt;"OK"),1,0)+IF(AND(E67&lt;&gt;"",E67&lt;&gt;"OK"),1,0)</f>
        <v>0</v>
      </c>
    </row>
    <row r="72" customFormat="false" ht="21.75" hidden="false" customHeight="true" outlineLevel="0" collapsed="false">
      <c r="B72" s="26" t="s">
        <v>162</v>
      </c>
      <c r="C72" s="27" t="str">
        <f aca="false">IF(C21="","Informe a distância do último espectador",IF(C70=0,"Preencha a imagem, o projetor, o painel ou a TV",IF(C71&gt;0,"Há pontos a corrigir: veja a coluna Situação","OK")))</f>
        <v>Informe a distância do último espectador</v>
      </c>
      <c r="D72" s="27"/>
      <c r="E72" s="27"/>
      <c r="F72" s="27"/>
    </row>
    <row r="73" customFormat="false" ht="15" hidden="false" customHeight="true" outlineLevel="0" collapsed="false">
      <c r="B73" s="14" t="s">
        <v>163</v>
      </c>
      <c r="C73" s="14"/>
      <c r="D73" s="14"/>
      <c r="E73" s="14"/>
      <c r="F73" s="14"/>
    </row>
  </sheetData>
  <mergeCells count="54">
    <mergeCell ref="B1:F1"/>
    <mergeCell ref="B2:F2"/>
    <mergeCell ref="C4:F4"/>
    <mergeCell ref="C5:F5"/>
    <mergeCell ref="C6:F6"/>
    <mergeCell ref="C7:F7"/>
    <mergeCell ref="B9:F9"/>
    <mergeCell ref="E11:F11"/>
    <mergeCell ref="E12:F12"/>
    <mergeCell ref="E13:F13"/>
    <mergeCell ref="E14:F14"/>
    <mergeCell ref="E15:F15"/>
    <mergeCell ref="E16:F16"/>
    <mergeCell ref="E17:F17"/>
    <mergeCell ref="B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B31:F31"/>
    <mergeCell ref="E33:F33"/>
    <mergeCell ref="E34:F34"/>
    <mergeCell ref="E35:F35"/>
    <mergeCell ref="E36:F36"/>
    <mergeCell ref="E37:F37"/>
    <mergeCell ref="E38:F38"/>
    <mergeCell ref="E39:F39"/>
    <mergeCell ref="E40:F40"/>
    <mergeCell ref="B42:F42"/>
    <mergeCell ref="E44:F44"/>
    <mergeCell ref="E45:F45"/>
    <mergeCell ref="E47:F47"/>
    <mergeCell ref="E48:F48"/>
    <mergeCell ref="B49:F49"/>
    <mergeCell ref="E51:F51"/>
    <mergeCell ref="E52:F52"/>
    <mergeCell ref="E53:F53"/>
    <mergeCell ref="E54:F54"/>
    <mergeCell ref="B56:F56"/>
    <mergeCell ref="E58:F58"/>
    <mergeCell ref="E59:F59"/>
    <mergeCell ref="E60:F60"/>
    <mergeCell ref="E61:F61"/>
    <mergeCell ref="E64:F64"/>
    <mergeCell ref="E65:F65"/>
    <mergeCell ref="E66:F66"/>
    <mergeCell ref="B69:F69"/>
    <mergeCell ref="C72:F72"/>
    <mergeCell ref="B73:F73"/>
  </mergeCells>
  <conditionalFormatting sqref="E29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AND(LEN($E$29)&gt;0,$E$29&lt;&gt;"OK")</formula>
    </cfRule>
  </conditionalFormatting>
  <conditionalFormatting sqref="E30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AND(LEN($E$30)&gt;0,$E$30&lt;&gt;"OK")</formula>
    </cfRule>
  </conditionalFormatting>
  <conditionalFormatting sqref="E41">
    <cfRule type="cellIs" priority="6" operator="equal" aboveAverage="0" equalAverage="0" bottom="0" percent="0" rank="0" text="" dxfId="0">
      <formula>"OK"</formula>
    </cfRule>
    <cfRule type="expression" priority="7" aboveAverage="0" equalAverage="0" bottom="0" percent="0" rank="0" text="" dxfId="1">
      <formula>AND(LEN($E$41)&gt;0,$E$41&lt;&gt;"OK")</formula>
    </cfRule>
  </conditionalFormatting>
  <conditionalFormatting sqref="E46">
    <cfRule type="cellIs" priority="8" operator="equal" aboveAverage="0" equalAverage="0" bottom="0" percent="0" rank="0" text="" dxfId="0">
      <formula>"OK"</formula>
    </cfRule>
    <cfRule type="expression" priority="9" aboveAverage="0" equalAverage="0" bottom="0" percent="0" rank="0" text="" dxfId="1">
      <formula>AND(LEN($E$46)&gt;0,$E$46&lt;&gt;"OK")</formula>
    </cfRule>
  </conditionalFormatting>
  <conditionalFormatting sqref="E55">
    <cfRule type="cellIs" priority="10" operator="equal" aboveAverage="0" equalAverage="0" bottom="0" percent="0" rank="0" text="" dxfId="0">
      <formula>"OK"</formula>
    </cfRule>
    <cfRule type="expression" priority="11" aboveAverage="0" equalAverage="0" bottom="0" percent="0" rank="0" text="" dxfId="1">
      <formula>AND(LEN($E$55)&gt;0,$E$55&lt;&gt;"OK")</formula>
    </cfRule>
  </conditionalFormatting>
  <conditionalFormatting sqref="E62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AND(LEN($E$62)&gt;0,$E$62&lt;&gt;"OK")</formula>
    </cfRule>
  </conditionalFormatting>
  <conditionalFormatting sqref="E63">
    <cfRule type="cellIs" priority="14" operator="equal" aboveAverage="0" equalAverage="0" bottom="0" percent="0" rank="0" text="" dxfId="0">
      <formula>"OK"</formula>
    </cfRule>
    <cfRule type="expression" priority="15" aboveAverage="0" equalAverage="0" bottom="0" percent="0" rank="0" text="" dxfId="1">
      <formula>AND(LEN($E$63)&gt;0,$E$63&lt;&gt;"OK")</formula>
    </cfRule>
  </conditionalFormatting>
  <conditionalFormatting sqref="E67">
    <cfRule type="cellIs" priority="16" operator="equal" aboveAverage="0" equalAverage="0" bottom="0" percent="0" rank="0" text="" dxfId="0">
      <formula>"OK"</formula>
    </cfRule>
    <cfRule type="expression" priority="17" aboveAverage="0" equalAverage="0" bottom="0" percent="0" rank="0" text="" dxfId="1">
      <formula>AND(LEN($E$67)&gt;0,$E$67&lt;&gt;"OK")</formula>
    </cfRule>
  </conditionalFormatting>
  <conditionalFormatting sqref="C72:F72">
    <cfRule type="cellIs" priority="18" operator="equal" aboveAverage="0" equalAverage="0" bottom="0" percent="0" rank="0" text="" dxfId="0">
      <formula>"OK"</formula>
    </cfRule>
    <cfRule type="cellIs" priority="19" operator="notEqual" aboveAverage="0" equalAverage="0" bottom="0" percent="0" rank="0" text="" dxfId="1">
      <formula>"OK"</formula>
    </cfRule>
  </conditionalFormatting>
  <dataValidations count="24">
    <dataValidation allowBlank="true" error="Digite uma data no formato dia/mês/ano." errorStyle="stop" errorTitle="Data inválida" operator="greaterThanOrEqual" showDropDown="false" showErrorMessage="true" showInputMessage="false" sqref="C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1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2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7" type="decimal">
      <formula1>-1000000000</formula1>
      <formula2>1000000000</formula2>
    </dataValidation>
    <dataValidation allowBlank="true" error="Escolha uma das opções da lista." errorStyle="stop" errorTitle="Valor inválido" operator="between" prompt="Texto ou Só vídeo." promptTitle="Opções" showDropDown="false" showErrorMessage="true" showInputMessage="true" sqref="C20" type="list">
      <formula1>"Texto,Só vídeo"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2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22" type="decimal">
      <formula1>-1000000000</formula1>
      <formula2>1000000000</formula2>
    </dataValidation>
    <dataValidation allowBlank="true" error="Escolha uma das opções da lista." errorStyle="stop" errorTitle="Valor inválido" operator="between" prompt="16x9, 16x10 ou 4x3." promptTitle="Opções" showDropDown="false" showErrorMessage="true" showInputMessage="true" sqref="C23" type="list">
      <formula1>"16x9,16x10,4x3"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2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4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6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6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R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4" min="13" style="0" width="7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165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B4" s="4" t="s">
        <v>60</v>
      </c>
      <c r="C4" s="4"/>
      <c r="D4" s="5"/>
      <c r="E4" s="5"/>
      <c r="F4" s="5"/>
      <c r="H4" s="4" t="s">
        <v>166</v>
      </c>
      <c r="I4" s="4"/>
      <c r="J4" s="4"/>
      <c r="K4" s="28" t="str">
        <f aca="false">IF(OR(D5="",D6=""),"",D5-D6)</f>
        <v/>
      </c>
      <c r="L4" s="28"/>
      <c r="M4" s="28"/>
    </row>
    <row r="5" customFormat="false" ht="19.5" hidden="false" customHeight="true" outlineLevel="0" collapsed="false">
      <c r="B5" s="4" t="s">
        <v>167</v>
      </c>
      <c r="C5" s="4"/>
      <c r="D5" s="9"/>
      <c r="E5" s="9"/>
      <c r="F5" s="9"/>
      <c r="H5" s="14" t="s">
        <v>168</v>
      </c>
      <c r="I5" s="14"/>
      <c r="J5" s="14"/>
      <c r="K5" s="14"/>
      <c r="L5" s="14"/>
      <c r="M5" s="14"/>
      <c r="N5" s="14"/>
      <c r="O5" s="14"/>
      <c r="P5" s="14"/>
      <c r="Q5" s="14"/>
      <c r="R5" s="14"/>
    </row>
    <row r="6" customFormat="false" ht="19.5" hidden="false" customHeight="true" outlineLevel="0" collapsed="false">
      <c r="B6" s="4" t="s">
        <v>169</v>
      </c>
      <c r="C6" s="4"/>
      <c r="D6" s="5" t="n">
        <v>2</v>
      </c>
      <c r="E6" s="5"/>
      <c r="F6" s="5"/>
      <c r="H6" s="14" t="s">
        <v>170</v>
      </c>
      <c r="I6" s="14"/>
      <c r="J6" s="14"/>
      <c r="K6" s="14"/>
      <c r="L6" s="14"/>
      <c r="M6" s="14"/>
      <c r="N6" s="14"/>
      <c r="O6" s="14"/>
      <c r="P6" s="14"/>
      <c r="Q6" s="14"/>
      <c r="R6" s="14"/>
    </row>
    <row r="7" customFormat="false" ht="19.5" hidden="false" customHeight="true" outlineLevel="0" collapsed="false">
      <c r="B7" s="4" t="s">
        <v>63</v>
      </c>
      <c r="C7" s="4"/>
      <c r="D7" s="5"/>
      <c r="E7" s="5"/>
      <c r="F7" s="5"/>
    </row>
    <row r="9" customFormat="false" ht="21.75" hidden="false" customHeight="true" outlineLevel="0" collapsed="false">
      <c r="B9" s="10" t="s">
        <v>171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30" hidden="false" customHeight="true" outlineLevel="0" collapsed="false">
      <c r="B10" s="29" t="s">
        <v>172</v>
      </c>
      <c r="C10" s="29" t="s">
        <v>173</v>
      </c>
      <c r="D10" s="29" t="s">
        <v>174</v>
      </c>
      <c r="E10" s="29" t="s">
        <v>175</v>
      </c>
      <c r="F10" s="29" t="s">
        <v>176</v>
      </c>
      <c r="G10" s="30" t="s">
        <v>177</v>
      </c>
      <c r="H10" s="31" t="s">
        <v>178</v>
      </c>
      <c r="I10" s="30" t="s">
        <v>179</v>
      </c>
      <c r="J10" s="30" t="s">
        <v>180</v>
      </c>
      <c r="K10" s="30" t="s">
        <v>181</v>
      </c>
      <c r="L10" s="30" t="s">
        <v>182</v>
      </c>
      <c r="M10" s="30" t="s">
        <v>183</v>
      </c>
      <c r="N10" s="30" t="s">
        <v>184</v>
      </c>
      <c r="O10" s="31" t="s">
        <v>185</v>
      </c>
      <c r="P10" s="31" t="s">
        <v>186</v>
      </c>
      <c r="Q10" s="31" t="s">
        <v>68</v>
      </c>
      <c r="R10" s="29" t="s">
        <v>187</v>
      </c>
    </row>
    <row r="11" customFormat="false" ht="24" hidden="false" customHeight="true" outlineLevel="0" collapsed="false">
      <c r="B11" s="32"/>
      <c r="C11" s="32" t="s">
        <v>188</v>
      </c>
      <c r="D11" s="32" t="s">
        <v>189</v>
      </c>
      <c r="E11" s="32" t="s">
        <v>190</v>
      </c>
      <c r="F11" s="32"/>
      <c r="G11" s="32" t="s">
        <v>191</v>
      </c>
      <c r="H11" s="32"/>
      <c r="I11" s="32" t="s">
        <v>192</v>
      </c>
      <c r="J11" s="32" t="s">
        <v>193</v>
      </c>
      <c r="K11" s="32" t="s">
        <v>193</v>
      </c>
      <c r="L11" s="32" t="s">
        <v>194</v>
      </c>
      <c r="M11" s="32"/>
      <c r="N11" s="32"/>
      <c r="O11" s="32"/>
      <c r="P11" s="32"/>
      <c r="Q11" s="32"/>
      <c r="R11" s="32"/>
    </row>
    <row r="12" customFormat="false" ht="15" hidden="false" customHeight="false" outlineLevel="0" collapsed="false">
      <c r="B12" s="32" t="s">
        <v>195</v>
      </c>
      <c r="C12" s="14" t="s">
        <v>196</v>
      </c>
      <c r="D12" s="14" t="s">
        <v>197</v>
      </c>
      <c r="E12" s="32" t="s">
        <v>198</v>
      </c>
      <c r="F12" s="32" t="s">
        <v>199</v>
      </c>
      <c r="G12" s="32" t="s">
        <v>200</v>
      </c>
      <c r="H12" s="32" t="s">
        <v>201</v>
      </c>
      <c r="I12" s="32" t="s">
        <v>202</v>
      </c>
      <c r="J12" s="32" t="s">
        <v>201</v>
      </c>
      <c r="K12" s="32" t="s">
        <v>201</v>
      </c>
      <c r="L12" s="32" t="s">
        <v>203</v>
      </c>
      <c r="M12" s="32" t="n">
        <v>2</v>
      </c>
      <c r="N12" s="32" t="n">
        <v>40</v>
      </c>
      <c r="O12" s="32" t="s">
        <v>204</v>
      </c>
      <c r="P12" s="32" t="s">
        <v>204</v>
      </c>
      <c r="Q12" s="14" t="s">
        <v>205</v>
      </c>
      <c r="R12" s="14"/>
    </row>
    <row r="13" customFormat="false" ht="15" hidden="false" customHeight="true" outlineLevel="0" collapsed="false">
      <c r="B13" s="14" t="s">
        <v>206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customFormat="false" ht="19.5" hidden="false" customHeight="true" outlineLevel="0" collapsed="false">
      <c r="B14" s="33" t="n">
        <v>1</v>
      </c>
      <c r="C14" s="5"/>
      <c r="D14" s="5"/>
      <c r="E14" s="12"/>
      <c r="F14" s="5"/>
      <c r="G14" s="34"/>
      <c r="H14" s="20" t="str">
        <f aca="false">IF(OR(G14="",$K$4=""),"",IF(G14&lt;=$K$4,"Sim","Atrasada"))</f>
        <v/>
      </c>
      <c r="I14" s="12"/>
      <c r="J14" s="12"/>
      <c r="K14" s="12"/>
      <c r="L14" s="12"/>
      <c r="M14" s="12"/>
      <c r="N14" s="12"/>
      <c r="O14" s="35" t="str">
        <f aca="false">IF(AND(M14="",N14=""),"",(M14*60+N14)/86400)</f>
        <v/>
      </c>
      <c r="P14" s="35" t="str">
        <f aca="false">IF(O14="","",SUM(O$14:O14))</f>
        <v/>
      </c>
      <c r="Q14" s="20" t="str">
        <f aca="false">IF(D14="","",IF(G14="","Falta receber",IF(OR(I14="",I14="Não"),"Conferir o formato",IF(J14&lt;&gt;"Sim","Copiar para o disco",IF(L14&lt;&gt;"Sim",IF(K14="Sim","Testar na tela e no som","Testar na tela"),"OK")))))</f>
        <v/>
      </c>
      <c r="R14" s="5"/>
    </row>
    <row r="15" customFormat="false" ht="19.5" hidden="false" customHeight="true" outlineLevel="0" collapsed="false">
      <c r="B15" s="33" t="n">
        <v>2</v>
      </c>
      <c r="C15" s="5"/>
      <c r="D15" s="5"/>
      <c r="E15" s="12"/>
      <c r="F15" s="5"/>
      <c r="G15" s="34"/>
      <c r="H15" s="20" t="str">
        <f aca="false">IF(OR(G15="",$K$4=""),"",IF(G15&lt;=$K$4,"Sim","Atrasada"))</f>
        <v/>
      </c>
      <c r="I15" s="12"/>
      <c r="J15" s="12"/>
      <c r="K15" s="12"/>
      <c r="L15" s="12"/>
      <c r="M15" s="12"/>
      <c r="N15" s="12"/>
      <c r="O15" s="35" t="str">
        <f aca="false">IF(AND(M15="",N15=""),"",(M15*60+N15)/86400)</f>
        <v/>
      </c>
      <c r="P15" s="35" t="str">
        <f aca="false">IF(O15="","",SUM(O$14:O15))</f>
        <v/>
      </c>
      <c r="Q15" s="20" t="str">
        <f aca="false">IF(D15="","",IF(G15="","Falta receber",IF(OR(I15="",I15="Não"),"Conferir o formato",IF(J15&lt;&gt;"Sim","Copiar para o disco",IF(L15&lt;&gt;"Sim",IF(K15="Sim","Testar na tela e no som","Testar na tela"),"OK")))))</f>
        <v/>
      </c>
      <c r="R15" s="5"/>
    </row>
    <row r="16" customFormat="false" ht="19.5" hidden="false" customHeight="true" outlineLevel="0" collapsed="false">
      <c r="B16" s="33" t="n">
        <v>3</v>
      </c>
      <c r="C16" s="5"/>
      <c r="D16" s="5"/>
      <c r="E16" s="12"/>
      <c r="F16" s="5"/>
      <c r="G16" s="34"/>
      <c r="H16" s="20" t="str">
        <f aca="false">IF(OR(G16="",$K$4=""),"",IF(G16&lt;=$K$4,"Sim","Atrasada"))</f>
        <v/>
      </c>
      <c r="I16" s="12"/>
      <c r="J16" s="12"/>
      <c r="K16" s="12"/>
      <c r="L16" s="12"/>
      <c r="M16" s="12"/>
      <c r="N16" s="12"/>
      <c r="O16" s="35" t="str">
        <f aca="false">IF(AND(M16="",N16=""),"",(M16*60+N16)/86400)</f>
        <v/>
      </c>
      <c r="P16" s="35" t="str">
        <f aca="false">IF(O16="","",SUM(O$14:O16))</f>
        <v/>
      </c>
      <c r="Q16" s="20" t="str">
        <f aca="false">IF(D16="","",IF(G16="","Falta receber",IF(OR(I16="",I16="Não"),"Conferir o formato",IF(J16&lt;&gt;"Sim","Copiar para o disco",IF(L16&lt;&gt;"Sim",IF(K16="Sim","Testar na tela e no som","Testar na tela"),"OK")))))</f>
        <v/>
      </c>
      <c r="R16" s="5"/>
    </row>
    <row r="17" customFormat="false" ht="19.5" hidden="false" customHeight="true" outlineLevel="0" collapsed="false">
      <c r="B17" s="33" t="n">
        <v>4</v>
      </c>
      <c r="C17" s="5"/>
      <c r="D17" s="5"/>
      <c r="E17" s="12"/>
      <c r="F17" s="5"/>
      <c r="G17" s="34"/>
      <c r="H17" s="20" t="str">
        <f aca="false">IF(OR(G17="",$K$4=""),"",IF(G17&lt;=$K$4,"Sim","Atrasada"))</f>
        <v/>
      </c>
      <c r="I17" s="12"/>
      <c r="J17" s="12"/>
      <c r="K17" s="12"/>
      <c r="L17" s="12"/>
      <c r="M17" s="12"/>
      <c r="N17" s="12"/>
      <c r="O17" s="35" t="str">
        <f aca="false">IF(AND(M17="",N17=""),"",(M17*60+N17)/86400)</f>
        <v/>
      </c>
      <c r="P17" s="35" t="str">
        <f aca="false">IF(O17="","",SUM(O$14:O17))</f>
        <v/>
      </c>
      <c r="Q17" s="20" t="str">
        <f aca="false">IF(D17="","",IF(G17="","Falta receber",IF(OR(I17="",I17="Não"),"Conferir o formato",IF(J17&lt;&gt;"Sim","Copiar para o disco",IF(L17&lt;&gt;"Sim",IF(K17="Sim","Testar na tela e no som","Testar na tela"),"OK")))))</f>
        <v/>
      </c>
      <c r="R17" s="5"/>
    </row>
    <row r="18" customFormat="false" ht="19.5" hidden="false" customHeight="true" outlineLevel="0" collapsed="false">
      <c r="B18" s="33" t="n">
        <v>5</v>
      </c>
      <c r="C18" s="5"/>
      <c r="D18" s="5"/>
      <c r="E18" s="12"/>
      <c r="F18" s="5"/>
      <c r="G18" s="34"/>
      <c r="H18" s="20" t="str">
        <f aca="false">IF(OR(G18="",$K$4=""),"",IF(G18&lt;=$K$4,"Sim","Atrasada"))</f>
        <v/>
      </c>
      <c r="I18" s="12"/>
      <c r="J18" s="12"/>
      <c r="K18" s="12"/>
      <c r="L18" s="12"/>
      <c r="M18" s="12"/>
      <c r="N18" s="12"/>
      <c r="O18" s="35" t="str">
        <f aca="false">IF(AND(M18="",N18=""),"",(M18*60+N18)/86400)</f>
        <v/>
      </c>
      <c r="P18" s="35" t="str">
        <f aca="false">IF(O18="","",SUM(O$14:O18))</f>
        <v/>
      </c>
      <c r="Q18" s="20" t="str">
        <f aca="false">IF(D18="","",IF(G18="","Falta receber",IF(OR(I18="",I18="Não"),"Conferir o formato",IF(J18&lt;&gt;"Sim","Copiar para o disco",IF(L18&lt;&gt;"Sim",IF(K18="Sim","Testar na tela e no som","Testar na tela"),"OK")))))</f>
        <v/>
      </c>
      <c r="R18" s="5"/>
    </row>
    <row r="19" customFormat="false" ht="19.5" hidden="false" customHeight="true" outlineLevel="0" collapsed="false">
      <c r="B19" s="33" t="n">
        <v>6</v>
      </c>
      <c r="C19" s="5"/>
      <c r="D19" s="5"/>
      <c r="E19" s="12"/>
      <c r="F19" s="5"/>
      <c r="G19" s="34"/>
      <c r="H19" s="20" t="str">
        <f aca="false">IF(OR(G19="",$K$4=""),"",IF(G19&lt;=$K$4,"Sim","Atrasada"))</f>
        <v/>
      </c>
      <c r="I19" s="12"/>
      <c r="J19" s="12"/>
      <c r="K19" s="12"/>
      <c r="L19" s="12"/>
      <c r="M19" s="12"/>
      <c r="N19" s="12"/>
      <c r="O19" s="35" t="str">
        <f aca="false">IF(AND(M19="",N19=""),"",(M19*60+N19)/86400)</f>
        <v/>
      </c>
      <c r="P19" s="35" t="str">
        <f aca="false">IF(O19="","",SUM(O$14:O19))</f>
        <v/>
      </c>
      <c r="Q19" s="20" t="str">
        <f aca="false">IF(D19="","",IF(G19="","Falta receber",IF(OR(I19="",I19="Não"),"Conferir o formato",IF(J19&lt;&gt;"Sim","Copiar para o disco",IF(L19&lt;&gt;"Sim",IF(K19="Sim","Testar na tela e no som","Testar na tela"),"OK")))))</f>
        <v/>
      </c>
      <c r="R19" s="5"/>
    </row>
    <row r="20" customFormat="false" ht="19.5" hidden="false" customHeight="true" outlineLevel="0" collapsed="false">
      <c r="B20" s="33" t="n">
        <v>7</v>
      </c>
      <c r="C20" s="5"/>
      <c r="D20" s="5"/>
      <c r="E20" s="12"/>
      <c r="F20" s="5"/>
      <c r="G20" s="34"/>
      <c r="H20" s="20" t="str">
        <f aca="false">IF(OR(G20="",$K$4=""),"",IF(G20&lt;=$K$4,"Sim","Atrasada"))</f>
        <v/>
      </c>
      <c r="I20" s="12"/>
      <c r="J20" s="12"/>
      <c r="K20" s="12"/>
      <c r="L20" s="12"/>
      <c r="M20" s="12"/>
      <c r="N20" s="12"/>
      <c r="O20" s="35" t="str">
        <f aca="false">IF(AND(M20="",N20=""),"",(M20*60+N20)/86400)</f>
        <v/>
      </c>
      <c r="P20" s="35" t="str">
        <f aca="false">IF(O20="","",SUM(O$14:O20))</f>
        <v/>
      </c>
      <c r="Q20" s="20" t="str">
        <f aca="false">IF(D20="","",IF(G20="","Falta receber",IF(OR(I20="",I20="Não"),"Conferir o formato",IF(J20&lt;&gt;"Sim","Copiar para o disco",IF(L20&lt;&gt;"Sim",IF(K20="Sim","Testar na tela e no som","Testar na tela"),"OK")))))</f>
        <v/>
      </c>
      <c r="R20" s="5"/>
    </row>
    <row r="21" customFormat="false" ht="19.5" hidden="false" customHeight="true" outlineLevel="0" collapsed="false">
      <c r="B21" s="33" t="n">
        <v>8</v>
      </c>
      <c r="C21" s="5"/>
      <c r="D21" s="5"/>
      <c r="E21" s="12"/>
      <c r="F21" s="5"/>
      <c r="G21" s="34"/>
      <c r="H21" s="20" t="str">
        <f aca="false">IF(OR(G21="",$K$4=""),"",IF(G21&lt;=$K$4,"Sim","Atrasada"))</f>
        <v/>
      </c>
      <c r="I21" s="12"/>
      <c r="J21" s="12"/>
      <c r="K21" s="12"/>
      <c r="L21" s="12"/>
      <c r="M21" s="12"/>
      <c r="N21" s="12"/>
      <c r="O21" s="35" t="str">
        <f aca="false">IF(AND(M21="",N21=""),"",(M21*60+N21)/86400)</f>
        <v/>
      </c>
      <c r="P21" s="35" t="str">
        <f aca="false">IF(O21="","",SUM(O$14:O21))</f>
        <v/>
      </c>
      <c r="Q21" s="20" t="str">
        <f aca="false">IF(D21="","",IF(G21="","Falta receber",IF(OR(I21="",I21="Não"),"Conferir o formato",IF(J21&lt;&gt;"Sim","Copiar para o disco",IF(L21&lt;&gt;"Sim",IF(K21="Sim","Testar na tela e no som","Testar na tela"),"OK")))))</f>
        <v/>
      </c>
      <c r="R21" s="5"/>
    </row>
    <row r="22" customFormat="false" ht="19.5" hidden="false" customHeight="true" outlineLevel="0" collapsed="false">
      <c r="B22" s="33" t="n">
        <v>9</v>
      </c>
      <c r="C22" s="5"/>
      <c r="D22" s="5"/>
      <c r="E22" s="12"/>
      <c r="F22" s="5"/>
      <c r="G22" s="34"/>
      <c r="H22" s="20" t="str">
        <f aca="false">IF(OR(G22="",$K$4=""),"",IF(G22&lt;=$K$4,"Sim","Atrasada"))</f>
        <v/>
      </c>
      <c r="I22" s="12"/>
      <c r="J22" s="12"/>
      <c r="K22" s="12"/>
      <c r="L22" s="12"/>
      <c r="M22" s="12"/>
      <c r="N22" s="12"/>
      <c r="O22" s="35" t="str">
        <f aca="false">IF(AND(M22="",N22=""),"",(M22*60+N22)/86400)</f>
        <v/>
      </c>
      <c r="P22" s="35" t="str">
        <f aca="false">IF(O22="","",SUM(O$14:O22))</f>
        <v/>
      </c>
      <c r="Q22" s="20" t="str">
        <f aca="false">IF(D22="","",IF(G22="","Falta receber",IF(OR(I22="",I22="Não"),"Conferir o formato",IF(J22&lt;&gt;"Sim","Copiar para o disco",IF(L22&lt;&gt;"Sim",IF(K22="Sim","Testar na tela e no som","Testar na tela"),"OK")))))</f>
        <v/>
      </c>
      <c r="R22" s="5"/>
    </row>
    <row r="23" customFormat="false" ht="19.5" hidden="false" customHeight="true" outlineLevel="0" collapsed="false">
      <c r="B23" s="33" t="n">
        <v>10</v>
      </c>
      <c r="C23" s="5"/>
      <c r="D23" s="5"/>
      <c r="E23" s="12"/>
      <c r="F23" s="5"/>
      <c r="G23" s="34"/>
      <c r="H23" s="20" t="str">
        <f aca="false">IF(OR(G23="",$K$4=""),"",IF(G23&lt;=$K$4,"Sim","Atrasada"))</f>
        <v/>
      </c>
      <c r="I23" s="12"/>
      <c r="J23" s="12"/>
      <c r="K23" s="12"/>
      <c r="L23" s="12"/>
      <c r="M23" s="12"/>
      <c r="N23" s="12"/>
      <c r="O23" s="35" t="str">
        <f aca="false">IF(AND(M23="",N23=""),"",(M23*60+N23)/86400)</f>
        <v/>
      </c>
      <c r="P23" s="35" t="str">
        <f aca="false">IF(O23="","",SUM(O$14:O23))</f>
        <v/>
      </c>
      <c r="Q23" s="20" t="str">
        <f aca="false">IF(D23="","",IF(G23="","Falta receber",IF(OR(I23="",I23="Não"),"Conferir o formato",IF(J23&lt;&gt;"Sim","Copiar para o disco",IF(L23&lt;&gt;"Sim",IF(K23="Sim","Testar na tela e no som","Testar na tela"),"OK")))))</f>
        <v/>
      </c>
      <c r="R23" s="5"/>
    </row>
    <row r="24" customFormat="false" ht="19.5" hidden="false" customHeight="true" outlineLevel="0" collapsed="false">
      <c r="B24" s="33" t="n">
        <v>11</v>
      </c>
      <c r="C24" s="5"/>
      <c r="D24" s="5"/>
      <c r="E24" s="12"/>
      <c r="F24" s="5"/>
      <c r="G24" s="34"/>
      <c r="H24" s="20" t="str">
        <f aca="false">IF(OR(G24="",$K$4=""),"",IF(G24&lt;=$K$4,"Sim","Atrasada"))</f>
        <v/>
      </c>
      <c r="I24" s="12"/>
      <c r="J24" s="12"/>
      <c r="K24" s="12"/>
      <c r="L24" s="12"/>
      <c r="M24" s="12"/>
      <c r="N24" s="12"/>
      <c r="O24" s="35" t="str">
        <f aca="false">IF(AND(M24="",N24=""),"",(M24*60+N24)/86400)</f>
        <v/>
      </c>
      <c r="P24" s="35" t="str">
        <f aca="false">IF(O24="","",SUM(O$14:O24))</f>
        <v/>
      </c>
      <c r="Q24" s="20" t="str">
        <f aca="false">IF(D24="","",IF(G24="","Falta receber",IF(OR(I24="",I24="Não"),"Conferir o formato",IF(J24&lt;&gt;"Sim","Copiar para o disco",IF(L24&lt;&gt;"Sim",IF(K24="Sim","Testar na tela e no som","Testar na tela"),"OK")))))</f>
        <v/>
      </c>
      <c r="R24" s="5"/>
    </row>
    <row r="25" customFormat="false" ht="19.5" hidden="false" customHeight="true" outlineLevel="0" collapsed="false">
      <c r="B25" s="33" t="n">
        <v>12</v>
      </c>
      <c r="C25" s="5"/>
      <c r="D25" s="5"/>
      <c r="E25" s="12"/>
      <c r="F25" s="5"/>
      <c r="G25" s="34"/>
      <c r="H25" s="20" t="str">
        <f aca="false">IF(OR(G25="",$K$4=""),"",IF(G25&lt;=$K$4,"Sim","Atrasada"))</f>
        <v/>
      </c>
      <c r="I25" s="12"/>
      <c r="J25" s="12"/>
      <c r="K25" s="12"/>
      <c r="L25" s="12"/>
      <c r="M25" s="12"/>
      <c r="N25" s="12"/>
      <c r="O25" s="35" t="str">
        <f aca="false">IF(AND(M25="",N25=""),"",(M25*60+N25)/86400)</f>
        <v/>
      </c>
      <c r="P25" s="35" t="str">
        <f aca="false">IF(O25="","",SUM(O$14:O25))</f>
        <v/>
      </c>
      <c r="Q25" s="20" t="str">
        <f aca="false">IF(D25="","",IF(G25="","Falta receber",IF(OR(I25="",I25="Não"),"Conferir o formato",IF(J25&lt;&gt;"Sim","Copiar para o disco",IF(L25&lt;&gt;"Sim",IF(K25="Sim","Testar na tela e no som","Testar na tela"),"OK")))))</f>
        <v/>
      </c>
      <c r="R25" s="5"/>
    </row>
    <row r="26" customFormat="false" ht="19.5" hidden="false" customHeight="true" outlineLevel="0" collapsed="false">
      <c r="B26" s="33" t="n">
        <v>13</v>
      </c>
      <c r="C26" s="5"/>
      <c r="D26" s="5"/>
      <c r="E26" s="12"/>
      <c r="F26" s="5"/>
      <c r="G26" s="34"/>
      <c r="H26" s="20" t="str">
        <f aca="false">IF(OR(G26="",$K$4=""),"",IF(G26&lt;=$K$4,"Sim","Atrasada"))</f>
        <v/>
      </c>
      <c r="I26" s="12"/>
      <c r="J26" s="12"/>
      <c r="K26" s="12"/>
      <c r="L26" s="12"/>
      <c r="M26" s="12"/>
      <c r="N26" s="12"/>
      <c r="O26" s="35" t="str">
        <f aca="false">IF(AND(M26="",N26=""),"",(M26*60+N26)/86400)</f>
        <v/>
      </c>
      <c r="P26" s="35" t="str">
        <f aca="false">IF(O26="","",SUM(O$14:O26))</f>
        <v/>
      </c>
      <c r="Q26" s="20" t="str">
        <f aca="false">IF(D26="","",IF(G26="","Falta receber",IF(OR(I26="",I26="Não"),"Conferir o formato",IF(J26&lt;&gt;"Sim","Copiar para o disco",IF(L26&lt;&gt;"Sim",IF(K26="Sim","Testar na tela e no som","Testar na tela"),"OK")))))</f>
        <v/>
      </c>
      <c r="R26" s="5"/>
    </row>
    <row r="27" customFormat="false" ht="19.5" hidden="false" customHeight="true" outlineLevel="0" collapsed="false">
      <c r="B27" s="33" t="n">
        <v>14</v>
      </c>
      <c r="C27" s="5"/>
      <c r="D27" s="5"/>
      <c r="E27" s="12"/>
      <c r="F27" s="5"/>
      <c r="G27" s="34"/>
      <c r="H27" s="20" t="str">
        <f aca="false">IF(OR(G27="",$K$4=""),"",IF(G27&lt;=$K$4,"Sim","Atrasada"))</f>
        <v/>
      </c>
      <c r="I27" s="12"/>
      <c r="J27" s="12"/>
      <c r="K27" s="12"/>
      <c r="L27" s="12"/>
      <c r="M27" s="12"/>
      <c r="N27" s="12"/>
      <c r="O27" s="35" t="str">
        <f aca="false">IF(AND(M27="",N27=""),"",(M27*60+N27)/86400)</f>
        <v/>
      </c>
      <c r="P27" s="35" t="str">
        <f aca="false">IF(O27="","",SUM(O$14:O27))</f>
        <v/>
      </c>
      <c r="Q27" s="20" t="str">
        <f aca="false">IF(D27="","",IF(G27="","Falta receber",IF(OR(I27="",I27="Não"),"Conferir o formato",IF(J27&lt;&gt;"Sim","Copiar para o disco",IF(L27&lt;&gt;"Sim",IF(K27="Sim","Testar na tela e no som","Testar na tela"),"OK")))))</f>
        <v/>
      </c>
      <c r="R27" s="5"/>
    </row>
    <row r="28" customFormat="false" ht="19.5" hidden="false" customHeight="true" outlineLevel="0" collapsed="false">
      <c r="B28" s="33" t="n">
        <v>15</v>
      </c>
      <c r="C28" s="5"/>
      <c r="D28" s="5"/>
      <c r="E28" s="12"/>
      <c r="F28" s="5"/>
      <c r="G28" s="34"/>
      <c r="H28" s="20" t="str">
        <f aca="false">IF(OR(G28="",$K$4=""),"",IF(G28&lt;=$K$4,"Sim","Atrasada"))</f>
        <v/>
      </c>
      <c r="I28" s="12"/>
      <c r="J28" s="12"/>
      <c r="K28" s="12"/>
      <c r="L28" s="12"/>
      <c r="M28" s="12"/>
      <c r="N28" s="12"/>
      <c r="O28" s="35" t="str">
        <f aca="false">IF(AND(M28="",N28=""),"",(M28*60+N28)/86400)</f>
        <v/>
      </c>
      <c r="P28" s="35" t="str">
        <f aca="false">IF(O28="","",SUM(O$14:O28))</f>
        <v/>
      </c>
      <c r="Q28" s="20" t="str">
        <f aca="false">IF(D28="","",IF(G28="","Falta receber",IF(OR(I28="",I28="Não"),"Conferir o formato",IF(J28&lt;&gt;"Sim","Copiar para o disco",IF(L28&lt;&gt;"Sim",IF(K28="Sim","Testar na tela e no som","Testar na tela"),"OK")))))</f>
        <v/>
      </c>
      <c r="R28" s="5"/>
    </row>
    <row r="29" customFormat="false" ht="19.5" hidden="false" customHeight="true" outlineLevel="0" collapsed="false">
      <c r="B29" s="33" t="n">
        <v>16</v>
      </c>
      <c r="C29" s="5"/>
      <c r="D29" s="5"/>
      <c r="E29" s="12"/>
      <c r="F29" s="5"/>
      <c r="G29" s="34"/>
      <c r="H29" s="20" t="str">
        <f aca="false">IF(OR(G29="",$K$4=""),"",IF(G29&lt;=$K$4,"Sim","Atrasada"))</f>
        <v/>
      </c>
      <c r="I29" s="12"/>
      <c r="J29" s="12"/>
      <c r="K29" s="12"/>
      <c r="L29" s="12"/>
      <c r="M29" s="12"/>
      <c r="N29" s="12"/>
      <c r="O29" s="35" t="str">
        <f aca="false">IF(AND(M29="",N29=""),"",(M29*60+N29)/86400)</f>
        <v/>
      </c>
      <c r="P29" s="35" t="str">
        <f aca="false">IF(O29="","",SUM(O$14:O29))</f>
        <v/>
      </c>
      <c r="Q29" s="20" t="str">
        <f aca="false">IF(D29="","",IF(G29="","Falta receber",IF(OR(I29="",I29="Não"),"Conferir o formato",IF(J29&lt;&gt;"Sim","Copiar para o disco",IF(L29&lt;&gt;"Sim",IF(K29="Sim","Testar na tela e no som","Testar na tela"),"OK")))))</f>
        <v/>
      </c>
      <c r="R29" s="5"/>
    </row>
    <row r="30" customFormat="false" ht="19.5" hidden="false" customHeight="true" outlineLevel="0" collapsed="false">
      <c r="B30" s="33" t="n">
        <v>17</v>
      </c>
      <c r="C30" s="5"/>
      <c r="D30" s="5"/>
      <c r="E30" s="12"/>
      <c r="F30" s="5"/>
      <c r="G30" s="34"/>
      <c r="H30" s="20" t="str">
        <f aca="false">IF(OR(G30="",$K$4=""),"",IF(G30&lt;=$K$4,"Sim","Atrasada"))</f>
        <v/>
      </c>
      <c r="I30" s="12"/>
      <c r="J30" s="12"/>
      <c r="K30" s="12"/>
      <c r="L30" s="12"/>
      <c r="M30" s="12"/>
      <c r="N30" s="12"/>
      <c r="O30" s="35" t="str">
        <f aca="false">IF(AND(M30="",N30=""),"",(M30*60+N30)/86400)</f>
        <v/>
      </c>
      <c r="P30" s="35" t="str">
        <f aca="false">IF(O30="","",SUM(O$14:O30))</f>
        <v/>
      </c>
      <c r="Q30" s="20" t="str">
        <f aca="false">IF(D30="","",IF(G30="","Falta receber",IF(OR(I30="",I30="Não"),"Conferir o formato",IF(J30&lt;&gt;"Sim","Copiar para o disco",IF(L30&lt;&gt;"Sim",IF(K30="Sim","Testar na tela e no som","Testar na tela"),"OK")))))</f>
        <v/>
      </c>
      <c r="R30" s="5"/>
    </row>
    <row r="31" customFormat="false" ht="19.5" hidden="false" customHeight="true" outlineLevel="0" collapsed="false">
      <c r="B31" s="33" t="n">
        <v>18</v>
      </c>
      <c r="C31" s="5"/>
      <c r="D31" s="5"/>
      <c r="E31" s="12"/>
      <c r="F31" s="5"/>
      <c r="G31" s="34"/>
      <c r="H31" s="20" t="str">
        <f aca="false">IF(OR(G31="",$K$4=""),"",IF(G31&lt;=$K$4,"Sim","Atrasada"))</f>
        <v/>
      </c>
      <c r="I31" s="12"/>
      <c r="J31" s="12"/>
      <c r="K31" s="12"/>
      <c r="L31" s="12"/>
      <c r="M31" s="12"/>
      <c r="N31" s="12"/>
      <c r="O31" s="35" t="str">
        <f aca="false">IF(AND(M31="",N31=""),"",(M31*60+N31)/86400)</f>
        <v/>
      </c>
      <c r="P31" s="35" t="str">
        <f aca="false">IF(O31="","",SUM(O$14:O31))</f>
        <v/>
      </c>
      <c r="Q31" s="20" t="str">
        <f aca="false">IF(D31="","",IF(G31="","Falta receber",IF(OR(I31="",I31="Não"),"Conferir o formato",IF(J31&lt;&gt;"Sim","Copiar para o disco",IF(L31&lt;&gt;"Sim",IF(K31="Sim","Testar na tela e no som","Testar na tela"),"OK")))))</f>
        <v/>
      </c>
      <c r="R31" s="5"/>
    </row>
    <row r="32" customFormat="false" ht="19.5" hidden="false" customHeight="true" outlineLevel="0" collapsed="false">
      <c r="B32" s="33" t="n">
        <v>19</v>
      </c>
      <c r="C32" s="5"/>
      <c r="D32" s="5"/>
      <c r="E32" s="12"/>
      <c r="F32" s="5"/>
      <c r="G32" s="34"/>
      <c r="H32" s="20" t="str">
        <f aca="false">IF(OR(G32="",$K$4=""),"",IF(G32&lt;=$K$4,"Sim","Atrasada"))</f>
        <v/>
      </c>
      <c r="I32" s="12"/>
      <c r="J32" s="12"/>
      <c r="K32" s="12"/>
      <c r="L32" s="12"/>
      <c r="M32" s="12"/>
      <c r="N32" s="12"/>
      <c r="O32" s="35" t="str">
        <f aca="false">IF(AND(M32="",N32=""),"",(M32*60+N32)/86400)</f>
        <v/>
      </c>
      <c r="P32" s="35" t="str">
        <f aca="false">IF(O32="","",SUM(O$14:O32))</f>
        <v/>
      </c>
      <c r="Q32" s="20" t="str">
        <f aca="false">IF(D32="","",IF(G32="","Falta receber",IF(OR(I32="",I32="Não"),"Conferir o formato",IF(J32&lt;&gt;"Sim","Copiar para o disco",IF(L32&lt;&gt;"Sim",IF(K32="Sim","Testar na tela e no som","Testar na tela"),"OK")))))</f>
        <v/>
      </c>
      <c r="R32" s="5"/>
    </row>
    <row r="33" customFormat="false" ht="19.5" hidden="false" customHeight="true" outlineLevel="0" collapsed="false">
      <c r="B33" s="33" t="n">
        <v>20</v>
      </c>
      <c r="C33" s="5"/>
      <c r="D33" s="5"/>
      <c r="E33" s="12"/>
      <c r="F33" s="5"/>
      <c r="G33" s="34"/>
      <c r="H33" s="20" t="str">
        <f aca="false">IF(OR(G33="",$K$4=""),"",IF(G33&lt;=$K$4,"Sim","Atrasada"))</f>
        <v/>
      </c>
      <c r="I33" s="12"/>
      <c r="J33" s="12"/>
      <c r="K33" s="12"/>
      <c r="L33" s="12"/>
      <c r="M33" s="12"/>
      <c r="N33" s="12"/>
      <c r="O33" s="35" t="str">
        <f aca="false">IF(AND(M33="",N33=""),"",(M33*60+N33)/86400)</f>
        <v/>
      </c>
      <c r="P33" s="35" t="str">
        <f aca="false">IF(O33="","",SUM(O$14:O33))</f>
        <v/>
      </c>
      <c r="Q33" s="20" t="str">
        <f aca="false">IF(D33="","",IF(G33="","Falta receber",IF(OR(I33="",I33="Não"),"Conferir o formato",IF(J33&lt;&gt;"Sim","Copiar para o disco",IF(L33&lt;&gt;"Sim",IF(K33="Sim","Testar na tela e no som","Testar na tela"),"OK")))))</f>
        <v/>
      </c>
      <c r="R33" s="5"/>
    </row>
    <row r="34" customFormat="false" ht="19.5" hidden="false" customHeight="true" outlineLevel="0" collapsed="false">
      <c r="B34" s="33" t="n">
        <v>21</v>
      </c>
      <c r="C34" s="5"/>
      <c r="D34" s="5"/>
      <c r="E34" s="12"/>
      <c r="F34" s="5"/>
      <c r="G34" s="34"/>
      <c r="H34" s="20" t="str">
        <f aca="false">IF(OR(G34="",$K$4=""),"",IF(G34&lt;=$K$4,"Sim","Atrasada"))</f>
        <v/>
      </c>
      <c r="I34" s="12"/>
      <c r="J34" s="12"/>
      <c r="K34" s="12"/>
      <c r="L34" s="12"/>
      <c r="M34" s="12"/>
      <c r="N34" s="12"/>
      <c r="O34" s="35" t="str">
        <f aca="false">IF(AND(M34="",N34=""),"",(M34*60+N34)/86400)</f>
        <v/>
      </c>
      <c r="P34" s="35" t="str">
        <f aca="false">IF(O34="","",SUM(O$14:O34))</f>
        <v/>
      </c>
      <c r="Q34" s="20" t="str">
        <f aca="false">IF(D34="","",IF(G34="","Falta receber",IF(OR(I34="",I34="Não"),"Conferir o formato",IF(J34&lt;&gt;"Sim","Copiar para o disco",IF(L34&lt;&gt;"Sim",IF(K34="Sim","Testar na tela e no som","Testar na tela"),"OK")))))</f>
        <v/>
      </c>
      <c r="R34" s="5"/>
    </row>
    <row r="35" customFormat="false" ht="19.5" hidden="false" customHeight="true" outlineLevel="0" collapsed="false">
      <c r="B35" s="33" t="n">
        <v>22</v>
      </c>
      <c r="C35" s="5"/>
      <c r="D35" s="5"/>
      <c r="E35" s="12"/>
      <c r="F35" s="5"/>
      <c r="G35" s="34"/>
      <c r="H35" s="20" t="str">
        <f aca="false">IF(OR(G35="",$K$4=""),"",IF(G35&lt;=$K$4,"Sim","Atrasada"))</f>
        <v/>
      </c>
      <c r="I35" s="12"/>
      <c r="J35" s="12"/>
      <c r="K35" s="12"/>
      <c r="L35" s="12"/>
      <c r="M35" s="12"/>
      <c r="N35" s="12"/>
      <c r="O35" s="35" t="str">
        <f aca="false">IF(AND(M35="",N35=""),"",(M35*60+N35)/86400)</f>
        <v/>
      </c>
      <c r="P35" s="35" t="str">
        <f aca="false">IF(O35="","",SUM(O$14:O35))</f>
        <v/>
      </c>
      <c r="Q35" s="20" t="str">
        <f aca="false">IF(D35="","",IF(G35="","Falta receber",IF(OR(I35="",I35="Não"),"Conferir o formato",IF(J35&lt;&gt;"Sim","Copiar para o disco",IF(L35&lt;&gt;"Sim",IF(K35="Sim","Testar na tela e no som","Testar na tela"),"OK")))))</f>
        <v/>
      </c>
      <c r="R35" s="5"/>
    </row>
    <row r="36" customFormat="false" ht="19.5" hidden="false" customHeight="true" outlineLevel="0" collapsed="false">
      <c r="B36" s="33" t="n">
        <v>23</v>
      </c>
      <c r="C36" s="5"/>
      <c r="D36" s="5"/>
      <c r="E36" s="12"/>
      <c r="F36" s="5"/>
      <c r="G36" s="34"/>
      <c r="H36" s="20" t="str">
        <f aca="false">IF(OR(G36="",$K$4=""),"",IF(G36&lt;=$K$4,"Sim","Atrasada"))</f>
        <v/>
      </c>
      <c r="I36" s="12"/>
      <c r="J36" s="12"/>
      <c r="K36" s="12"/>
      <c r="L36" s="12"/>
      <c r="M36" s="12"/>
      <c r="N36" s="12"/>
      <c r="O36" s="35" t="str">
        <f aca="false">IF(AND(M36="",N36=""),"",(M36*60+N36)/86400)</f>
        <v/>
      </c>
      <c r="P36" s="35" t="str">
        <f aca="false">IF(O36="","",SUM(O$14:O36))</f>
        <v/>
      </c>
      <c r="Q36" s="20" t="str">
        <f aca="false">IF(D36="","",IF(G36="","Falta receber",IF(OR(I36="",I36="Não"),"Conferir o formato",IF(J36&lt;&gt;"Sim","Copiar para o disco",IF(L36&lt;&gt;"Sim",IF(K36="Sim","Testar na tela e no som","Testar na tela"),"OK")))))</f>
        <v/>
      </c>
      <c r="R36" s="5"/>
    </row>
    <row r="37" customFormat="false" ht="19.5" hidden="false" customHeight="true" outlineLevel="0" collapsed="false">
      <c r="B37" s="33" t="n">
        <v>24</v>
      </c>
      <c r="C37" s="5"/>
      <c r="D37" s="5"/>
      <c r="E37" s="12"/>
      <c r="F37" s="5"/>
      <c r="G37" s="34"/>
      <c r="H37" s="20" t="str">
        <f aca="false">IF(OR(G37="",$K$4=""),"",IF(G37&lt;=$K$4,"Sim","Atrasada"))</f>
        <v/>
      </c>
      <c r="I37" s="12"/>
      <c r="J37" s="12"/>
      <c r="K37" s="12"/>
      <c r="L37" s="12"/>
      <c r="M37" s="12"/>
      <c r="N37" s="12"/>
      <c r="O37" s="35" t="str">
        <f aca="false">IF(AND(M37="",N37=""),"",(M37*60+N37)/86400)</f>
        <v/>
      </c>
      <c r="P37" s="35" t="str">
        <f aca="false">IF(O37="","",SUM(O$14:O37))</f>
        <v/>
      </c>
      <c r="Q37" s="20" t="str">
        <f aca="false">IF(D37="","",IF(G37="","Falta receber",IF(OR(I37="",I37="Não"),"Conferir o formato",IF(J37&lt;&gt;"Sim","Copiar para o disco",IF(L37&lt;&gt;"Sim",IF(K37="Sim","Testar na tela e no som","Testar na tela"),"OK")))))</f>
        <v/>
      </c>
      <c r="R37" s="5"/>
    </row>
    <row r="38" customFormat="false" ht="19.5" hidden="false" customHeight="true" outlineLevel="0" collapsed="false">
      <c r="B38" s="33" t="n">
        <v>25</v>
      </c>
      <c r="C38" s="5"/>
      <c r="D38" s="5"/>
      <c r="E38" s="12"/>
      <c r="F38" s="5"/>
      <c r="G38" s="34"/>
      <c r="H38" s="20" t="str">
        <f aca="false">IF(OR(G38="",$K$4=""),"",IF(G38&lt;=$K$4,"Sim","Atrasada"))</f>
        <v/>
      </c>
      <c r="I38" s="12"/>
      <c r="J38" s="12"/>
      <c r="K38" s="12"/>
      <c r="L38" s="12"/>
      <c r="M38" s="12"/>
      <c r="N38" s="12"/>
      <c r="O38" s="35" t="str">
        <f aca="false">IF(AND(M38="",N38=""),"",(M38*60+N38)/86400)</f>
        <v/>
      </c>
      <c r="P38" s="35" t="str">
        <f aca="false">IF(O38="","",SUM(O$14:O38))</f>
        <v/>
      </c>
      <c r="Q38" s="20" t="str">
        <f aca="false">IF(D38="","",IF(G38="","Falta receber",IF(OR(I38="",I38="Não"),"Conferir o formato",IF(J38&lt;&gt;"Sim","Copiar para o disco",IF(L38&lt;&gt;"Sim",IF(K38="Sim","Testar na tela e no som","Testar na tela"),"OK")))))</f>
        <v/>
      </c>
      <c r="R38" s="5"/>
    </row>
    <row r="39" customFormat="false" ht="19.5" hidden="false" customHeight="true" outlineLevel="0" collapsed="false">
      <c r="B39" s="33" t="n">
        <v>26</v>
      </c>
      <c r="C39" s="5"/>
      <c r="D39" s="5"/>
      <c r="E39" s="12"/>
      <c r="F39" s="5"/>
      <c r="G39" s="34"/>
      <c r="H39" s="20" t="str">
        <f aca="false">IF(OR(G39="",$K$4=""),"",IF(G39&lt;=$K$4,"Sim","Atrasada"))</f>
        <v/>
      </c>
      <c r="I39" s="12"/>
      <c r="J39" s="12"/>
      <c r="K39" s="12"/>
      <c r="L39" s="12"/>
      <c r="M39" s="12"/>
      <c r="N39" s="12"/>
      <c r="O39" s="35" t="str">
        <f aca="false">IF(AND(M39="",N39=""),"",(M39*60+N39)/86400)</f>
        <v/>
      </c>
      <c r="P39" s="35" t="str">
        <f aca="false">IF(O39="","",SUM(O$14:O39))</f>
        <v/>
      </c>
      <c r="Q39" s="20" t="str">
        <f aca="false">IF(D39="","",IF(G39="","Falta receber",IF(OR(I39="",I39="Não"),"Conferir o formato",IF(J39&lt;&gt;"Sim","Copiar para o disco",IF(L39&lt;&gt;"Sim",IF(K39="Sim","Testar na tela e no som","Testar na tela"),"OK")))))</f>
        <v/>
      </c>
      <c r="R39" s="5"/>
    </row>
    <row r="40" customFormat="false" ht="19.5" hidden="false" customHeight="true" outlineLevel="0" collapsed="false">
      <c r="B40" s="33" t="n">
        <v>27</v>
      </c>
      <c r="C40" s="5"/>
      <c r="D40" s="5"/>
      <c r="E40" s="12"/>
      <c r="F40" s="5"/>
      <c r="G40" s="34"/>
      <c r="H40" s="20" t="str">
        <f aca="false">IF(OR(G40="",$K$4=""),"",IF(G40&lt;=$K$4,"Sim","Atrasada"))</f>
        <v/>
      </c>
      <c r="I40" s="12"/>
      <c r="J40" s="12"/>
      <c r="K40" s="12"/>
      <c r="L40" s="12"/>
      <c r="M40" s="12"/>
      <c r="N40" s="12"/>
      <c r="O40" s="35" t="str">
        <f aca="false">IF(AND(M40="",N40=""),"",(M40*60+N40)/86400)</f>
        <v/>
      </c>
      <c r="P40" s="35" t="str">
        <f aca="false">IF(O40="","",SUM(O$14:O40))</f>
        <v/>
      </c>
      <c r="Q40" s="20" t="str">
        <f aca="false">IF(D40="","",IF(G40="","Falta receber",IF(OR(I40="",I40="Não"),"Conferir o formato",IF(J40&lt;&gt;"Sim","Copiar para o disco",IF(L40&lt;&gt;"Sim",IF(K40="Sim","Testar na tela e no som","Testar na tela"),"OK")))))</f>
        <v/>
      </c>
      <c r="R40" s="5"/>
    </row>
    <row r="41" customFormat="false" ht="19.5" hidden="false" customHeight="true" outlineLevel="0" collapsed="false">
      <c r="B41" s="33" t="n">
        <v>28</v>
      </c>
      <c r="C41" s="5"/>
      <c r="D41" s="5"/>
      <c r="E41" s="12"/>
      <c r="F41" s="5"/>
      <c r="G41" s="34"/>
      <c r="H41" s="20" t="str">
        <f aca="false">IF(OR(G41="",$K$4=""),"",IF(G41&lt;=$K$4,"Sim","Atrasada"))</f>
        <v/>
      </c>
      <c r="I41" s="12"/>
      <c r="J41" s="12"/>
      <c r="K41" s="12"/>
      <c r="L41" s="12"/>
      <c r="M41" s="12"/>
      <c r="N41" s="12"/>
      <c r="O41" s="35" t="str">
        <f aca="false">IF(AND(M41="",N41=""),"",(M41*60+N41)/86400)</f>
        <v/>
      </c>
      <c r="P41" s="35" t="str">
        <f aca="false">IF(O41="","",SUM(O$14:O41))</f>
        <v/>
      </c>
      <c r="Q41" s="20" t="str">
        <f aca="false">IF(D41="","",IF(G41="","Falta receber",IF(OR(I41="",I41="Não"),"Conferir o formato",IF(J41&lt;&gt;"Sim","Copiar para o disco",IF(L41&lt;&gt;"Sim",IF(K41="Sim","Testar na tela e no som","Testar na tela"),"OK")))))</f>
        <v/>
      </c>
      <c r="R41" s="5"/>
    </row>
    <row r="42" customFormat="false" ht="19.5" hidden="false" customHeight="true" outlineLevel="0" collapsed="false">
      <c r="B42" s="33" t="n">
        <v>29</v>
      </c>
      <c r="C42" s="5"/>
      <c r="D42" s="5"/>
      <c r="E42" s="12"/>
      <c r="F42" s="5"/>
      <c r="G42" s="34"/>
      <c r="H42" s="20" t="str">
        <f aca="false">IF(OR(G42="",$K$4=""),"",IF(G42&lt;=$K$4,"Sim","Atrasada"))</f>
        <v/>
      </c>
      <c r="I42" s="12"/>
      <c r="J42" s="12"/>
      <c r="K42" s="12"/>
      <c r="L42" s="12"/>
      <c r="M42" s="12"/>
      <c r="N42" s="12"/>
      <c r="O42" s="35" t="str">
        <f aca="false">IF(AND(M42="",N42=""),"",(M42*60+N42)/86400)</f>
        <v/>
      </c>
      <c r="P42" s="35" t="str">
        <f aca="false">IF(O42="","",SUM(O$14:O42))</f>
        <v/>
      </c>
      <c r="Q42" s="20" t="str">
        <f aca="false">IF(D42="","",IF(G42="","Falta receber",IF(OR(I42="",I42="Não"),"Conferir o formato",IF(J42&lt;&gt;"Sim","Copiar para o disco",IF(L42&lt;&gt;"Sim",IF(K42="Sim","Testar na tela e no som","Testar na tela"),"OK")))))</f>
        <v/>
      </c>
      <c r="R42" s="5"/>
    </row>
    <row r="43" customFormat="false" ht="19.5" hidden="false" customHeight="true" outlineLevel="0" collapsed="false">
      <c r="B43" s="33" t="n">
        <v>30</v>
      </c>
      <c r="C43" s="5"/>
      <c r="D43" s="5"/>
      <c r="E43" s="12"/>
      <c r="F43" s="5"/>
      <c r="G43" s="34"/>
      <c r="H43" s="20" t="str">
        <f aca="false">IF(OR(G43="",$K$4=""),"",IF(G43&lt;=$K$4,"Sim","Atrasada"))</f>
        <v/>
      </c>
      <c r="I43" s="12"/>
      <c r="J43" s="12"/>
      <c r="K43" s="12"/>
      <c r="L43" s="12"/>
      <c r="M43" s="12"/>
      <c r="N43" s="12"/>
      <c r="O43" s="35" t="str">
        <f aca="false">IF(AND(M43="",N43=""),"",(M43*60+N43)/86400)</f>
        <v/>
      </c>
      <c r="P43" s="35" t="str">
        <f aca="false">IF(O43="","",SUM(O$14:O43))</f>
        <v/>
      </c>
      <c r="Q43" s="20" t="str">
        <f aca="false">IF(D43="","",IF(G43="","Falta receber",IF(OR(I43="",I43="Não"),"Conferir o formato",IF(J43&lt;&gt;"Sim","Copiar para o disco",IF(L43&lt;&gt;"Sim",IF(K43="Sim","Testar na tela e no som","Testar na tela"),"OK")))))</f>
        <v/>
      </c>
      <c r="R43" s="5"/>
    </row>
    <row r="45" customFormat="false" ht="21.75" hidden="false" customHeight="true" outlineLevel="0" collapsed="false">
      <c r="B45" s="10" t="s">
        <v>159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customFormat="false" ht="19.5" hidden="false" customHeight="true" outlineLevel="0" collapsed="false">
      <c r="B46" s="26" t="s">
        <v>207</v>
      </c>
      <c r="C46" s="26"/>
      <c r="D46" s="26"/>
      <c r="E46" s="26"/>
      <c r="F46" s="20" t="n">
        <f aca="false">COUNTA(D14:D43)</f>
        <v>0</v>
      </c>
      <c r="G46" s="20"/>
    </row>
    <row r="47" customFormat="false" ht="19.5" hidden="false" customHeight="true" outlineLevel="0" collapsed="false">
      <c r="B47" s="26" t="s">
        <v>208</v>
      </c>
      <c r="C47" s="26"/>
      <c r="D47" s="26"/>
      <c r="E47" s="26"/>
      <c r="F47" s="36" t="n">
        <f aca="false">SUM(O14:O43)</f>
        <v>0</v>
      </c>
      <c r="G47" s="36"/>
    </row>
    <row r="48" customFormat="false" ht="19.5" hidden="false" customHeight="true" outlineLevel="0" collapsed="false">
      <c r="B48" s="26" t="s">
        <v>209</v>
      </c>
      <c r="C48" s="26"/>
      <c r="D48" s="26"/>
      <c r="E48" s="26"/>
      <c r="F48" s="20" t="n">
        <f aca="false">COUNTIF(Q14:Q43,"OK")</f>
        <v>0</v>
      </c>
      <c r="G48" s="20"/>
    </row>
    <row r="49" customFormat="false" ht="19.5" hidden="false" customHeight="true" outlineLevel="0" collapsed="false">
      <c r="B49" s="26" t="s">
        <v>210</v>
      </c>
      <c r="C49" s="26"/>
      <c r="D49" s="26"/>
      <c r="E49" s="26"/>
      <c r="F49" s="20" t="n">
        <f aca="false">F46-F48</f>
        <v>0</v>
      </c>
      <c r="G49" s="20"/>
    </row>
    <row r="50" customFormat="false" ht="19.5" hidden="false" customHeight="true" outlineLevel="0" collapsed="false">
      <c r="B50" s="26" t="s">
        <v>211</v>
      </c>
      <c r="C50" s="26"/>
      <c r="D50" s="26"/>
      <c r="E50" s="26"/>
      <c r="F50" s="20" t="n">
        <f aca="false">COUNTIF(H14:H43,"Atrasada")</f>
        <v>0</v>
      </c>
      <c r="G50" s="20"/>
    </row>
    <row r="51" customFormat="false" ht="15" hidden="false" customHeight="true" outlineLevel="0" collapsed="false">
      <c r="B51" s="26" t="s">
        <v>162</v>
      </c>
      <c r="C51" s="26"/>
      <c r="D51" s="26"/>
      <c r="E51" s="26"/>
      <c r="F51" s="6" t="str">
        <f aca="false">IF(F46=0,"Liste as mídias do evento",IF(F49&gt;0,"Há mídia pendente: veja a coluna Situação","OK"))</f>
        <v>Liste as mídias do evento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</sheetData>
  <mergeCells count="29">
    <mergeCell ref="B1:R1"/>
    <mergeCell ref="B2:R2"/>
    <mergeCell ref="B4:C4"/>
    <mergeCell ref="D4:F4"/>
    <mergeCell ref="H4:J4"/>
    <mergeCell ref="K4:M4"/>
    <mergeCell ref="B5:C5"/>
    <mergeCell ref="D5:F5"/>
    <mergeCell ref="H5:R5"/>
    <mergeCell ref="B6:C6"/>
    <mergeCell ref="D6:F6"/>
    <mergeCell ref="H6:R6"/>
    <mergeCell ref="B7:C7"/>
    <mergeCell ref="D7:F7"/>
    <mergeCell ref="B9:R9"/>
    <mergeCell ref="B13:R13"/>
    <mergeCell ref="B45:R45"/>
    <mergeCell ref="B46:E46"/>
    <mergeCell ref="F46:G46"/>
    <mergeCell ref="B47:E47"/>
    <mergeCell ref="F47:G47"/>
    <mergeCell ref="B48:E48"/>
    <mergeCell ref="F48:G48"/>
    <mergeCell ref="B49:E49"/>
    <mergeCell ref="F49:G49"/>
    <mergeCell ref="B50:E50"/>
    <mergeCell ref="F50:G50"/>
    <mergeCell ref="B51:E51"/>
    <mergeCell ref="F51:R51"/>
  </mergeCells>
  <conditionalFormatting sqref="Q14:Q43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AND(LEN(Q14)&gt;0,Q14&lt;&gt;"OK")</formula>
    </cfRule>
  </conditionalFormatting>
  <conditionalFormatting sqref="H14:H43">
    <cfRule type="cellIs" priority="4" operator="equal" aboveAverage="0" equalAverage="0" bottom="0" percent="0" rank="0" text="" dxfId="0">
      <formula>"Sim"</formula>
    </cfRule>
    <cfRule type="cellIs" priority="5" operator="equal" aboveAverage="0" equalAverage="0" bottom="0" percent="0" rank="0" text="" dxfId="1">
      <formula>"Atrasada"</formula>
    </cfRule>
  </conditionalFormatting>
  <conditionalFormatting sqref="F51:R51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8">
    <dataValidation allowBlank="true" error="Digite uma data no formato dia/mês/ano." errorStyle="stop" errorTitle="Data inválida" operator="greaterThanOrEqual" showDropDown="false" showErrorMessage="true" showInputMessage="false" sqref="D5 G14:G43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6" type="decimal">
      <formula1>-1000000000</formula1>
      <formula2>1000000000</formula2>
    </dataValidation>
    <dataValidation allowBlank="true" error="Escolha uma das opções da lista." errorStyle="stop" errorTitle="Valor inválido" operator="between" prompt="Letra, Bíblia, Vídeo, Imagem, Slides, Aviso ou Áudio." promptTitle="Opções" showDropDown="false" showErrorMessage="true" showInputMessage="true" sqref="E14:E43" type="list">
      <formula1>"Letra,Bíblia,Vídeo,Imagem,Slides,Aviso,Áudio"</formula1>
      <formula2>0</formula2>
    </dataValidation>
    <dataValidation allowBlank="true" error="Escolha uma das opções da lista." errorStyle="stop" errorTitle="Valor inválido" operator="between" prompt="Sim, Convertido ou Não." promptTitle="Opções" showDropDown="false" showErrorMessage="true" showInputMessage="true" sqref="I14:I43" type="list">
      <formula1>"Sim,Convertido,Não"</formula1>
      <formula2>0</formula2>
    </dataValidation>
    <dataValidation allowBlank="true" error="Escolha uma das opções da lista." errorStyle="stop" errorTitle="Valor inválido" operator="between" prompt="A mídia está copiada no disco do computador do evento?" promptTitle="Opções" showDropDown="false" showErrorMessage="true" showInputMessage="true" sqref="J14:J43" type="list">
      <formula1>"Sim,Não"</formula1>
      <formula2>0</formula2>
    </dataValidation>
    <dataValidation allowBlank="true" error="Escolha uma das opções da lista." errorStyle="stop" errorTitle="Valor inválido" operator="between" prompt="A mídia tem som?" promptTitle="Opções" showDropDown="false" showErrorMessage="true" showInputMessage="true" sqref="K14:K43" type="list">
      <formula1>"Sim,Não"</formula1>
      <formula2>0</formula2>
    </dataValidation>
    <dataValidation allowBlank="true" error="Escolha uma das opções da lista." errorStyle="stop" errorTitle="Valor inválido" operator="between" prompt="Foi assistida até o fim, na tela e no som da sala?" promptTitle="Opções" showDropDown="false" showErrorMessage="true" showInputMessage="true" sqref="L14:L43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14:N4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8"/>
    <col collapsed="false" customWidth="true" hidden="false" outlineLevel="0" max="15" min="15" style="0" width="44"/>
    <col collapsed="false" customWidth="true" hidden="false" outlineLevel="0" max="16" min="16" style="0" width="26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212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213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9.5" hidden="false" customHeight="true" outlineLevel="0" collapsed="false">
      <c r="B4" s="4" t="s">
        <v>214</v>
      </c>
      <c r="C4" s="4"/>
      <c r="D4" s="4"/>
      <c r="E4" s="4"/>
      <c r="F4" s="4"/>
      <c r="G4" s="12" t="n">
        <v>2</v>
      </c>
      <c r="I4" s="14" t="s">
        <v>215</v>
      </c>
      <c r="J4" s="14"/>
      <c r="K4" s="14"/>
      <c r="L4" s="14"/>
      <c r="M4" s="14"/>
      <c r="N4" s="14"/>
      <c r="O4" s="14"/>
      <c r="P4" s="14"/>
    </row>
    <row r="5" customFormat="false" ht="19.5" hidden="false" customHeight="true" outlineLevel="0" collapsed="false">
      <c r="B5" s="4" t="s">
        <v>216</v>
      </c>
      <c r="C5" s="4"/>
      <c r="D5" s="4"/>
      <c r="E5" s="4"/>
      <c r="F5" s="4"/>
      <c r="G5" s="12" t="n">
        <v>4</v>
      </c>
      <c r="I5" s="14"/>
      <c r="J5" s="14"/>
      <c r="K5" s="14"/>
      <c r="L5" s="14"/>
      <c r="M5" s="14"/>
      <c r="N5" s="14"/>
      <c r="O5" s="14"/>
      <c r="P5" s="14"/>
    </row>
    <row r="6" customFormat="false" ht="19.5" hidden="false" customHeight="true" outlineLevel="0" collapsed="false">
      <c r="B6" s="4" t="s">
        <v>217</v>
      </c>
      <c r="C6" s="4"/>
      <c r="D6" s="4"/>
      <c r="E6" s="4"/>
      <c r="F6" s="4"/>
      <c r="G6" s="12" t="n">
        <v>35</v>
      </c>
      <c r="I6" s="14" t="s">
        <v>218</v>
      </c>
      <c r="J6" s="14"/>
      <c r="K6" s="14"/>
      <c r="L6" s="14"/>
      <c r="M6" s="14"/>
      <c r="N6" s="14"/>
      <c r="O6" s="14"/>
      <c r="P6" s="14"/>
    </row>
    <row r="7" customFormat="false" ht="19.5" hidden="false" customHeight="true" outlineLevel="0" collapsed="false">
      <c r="B7" s="4" t="s">
        <v>219</v>
      </c>
      <c r="C7" s="4"/>
      <c r="D7" s="4"/>
      <c r="E7" s="4"/>
      <c r="F7" s="4"/>
      <c r="G7" s="19" t="str">
        <f aca="false">IF(Projeção!C52="","",Projeção!C52)</f>
        <v/>
      </c>
      <c r="I7" s="14" t="s">
        <v>220</v>
      </c>
      <c r="J7" s="14"/>
      <c r="K7" s="14"/>
      <c r="L7" s="14"/>
      <c r="M7" s="14"/>
      <c r="N7" s="14"/>
      <c r="O7" s="14"/>
      <c r="P7" s="14"/>
    </row>
    <row r="9" customFormat="false" ht="21.75" hidden="false" customHeight="true" outlineLevel="0" collapsed="false">
      <c r="B9" s="10" t="s">
        <v>221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30" hidden="false" customHeight="true" outlineLevel="0" collapsed="false">
      <c r="B10" s="29" t="s">
        <v>172</v>
      </c>
      <c r="C10" s="29" t="s">
        <v>65</v>
      </c>
      <c r="D10" s="29" t="s">
        <v>175</v>
      </c>
      <c r="E10" s="30" t="s">
        <v>35</v>
      </c>
      <c r="F10" s="30" t="s">
        <v>222</v>
      </c>
      <c r="G10" s="30" t="s">
        <v>223</v>
      </c>
      <c r="H10" s="30" t="s">
        <v>224</v>
      </c>
      <c r="I10" s="30" t="s">
        <v>225</v>
      </c>
      <c r="J10" s="30" t="s">
        <v>226</v>
      </c>
      <c r="K10" s="30" t="s">
        <v>227</v>
      </c>
      <c r="L10" s="30" t="s">
        <v>228</v>
      </c>
      <c r="M10" s="31" t="s">
        <v>229</v>
      </c>
      <c r="N10" s="31" t="s">
        <v>68</v>
      </c>
      <c r="O10" s="31" t="s">
        <v>230</v>
      </c>
      <c r="P10" s="29" t="s">
        <v>187</v>
      </c>
    </row>
    <row r="11" customFormat="false" ht="24" hidden="false" customHeight="true" outlineLevel="0" collapsed="false">
      <c r="B11" s="32"/>
      <c r="C11" s="32" t="s">
        <v>231</v>
      </c>
      <c r="D11" s="32" t="s">
        <v>190</v>
      </c>
      <c r="E11" s="32" t="s">
        <v>232</v>
      </c>
      <c r="F11" s="32" t="s">
        <v>233</v>
      </c>
      <c r="G11" s="32" t="s">
        <v>234</v>
      </c>
      <c r="H11" s="32" t="s">
        <v>235</v>
      </c>
      <c r="I11" s="32" t="s">
        <v>190</v>
      </c>
      <c r="J11" s="32" t="s">
        <v>193</v>
      </c>
      <c r="K11" s="32" t="s">
        <v>193</v>
      </c>
      <c r="L11" s="32" t="s">
        <v>193</v>
      </c>
      <c r="M11" s="32"/>
      <c r="N11" s="32"/>
      <c r="O11" s="32"/>
      <c r="P11" s="32"/>
    </row>
    <row r="12" customFormat="false" ht="15" hidden="false" customHeight="false" outlineLevel="0" collapsed="false">
      <c r="B12" s="32" t="s">
        <v>195</v>
      </c>
      <c r="C12" s="14" t="s">
        <v>236</v>
      </c>
      <c r="D12" s="32" t="s">
        <v>237</v>
      </c>
      <c r="E12" s="32" t="n">
        <v>18</v>
      </c>
      <c r="F12" s="32" t="n">
        <v>3</v>
      </c>
      <c r="G12" s="32" t="n">
        <v>31</v>
      </c>
      <c r="H12" s="32" t="n">
        <v>9</v>
      </c>
      <c r="I12" s="32" t="s">
        <v>238</v>
      </c>
      <c r="J12" s="32" t="s">
        <v>201</v>
      </c>
      <c r="K12" s="32" t="s">
        <v>201</v>
      </c>
      <c r="L12" s="32" t="s">
        <v>201</v>
      </c>
      <c r="M12" s="32" t="n">
        <v>2</v>
      </c>
      <c r="N12" s="32" t="s">
        <v>239</v>
      </c>
      <c r="O12" s="14" t="s">
        <v>240</v>
      </c>
      <c r="P12" s="14"/>
    </row>
    <row r="13" customFormat="false" ht="15" hidden="false" customHeight="true" outlineLevel="0" collapsed="false">
      <c r="B13" s="14" t="s">
        <v>241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customFormat="false" ht="19.5" hidden="false" customHeight="true" outlineLevel="0" collapsed="false">
      <c r="B14" s="33" t="n">
        <v>1</v>
      </c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8" t="str">
        <f aca="false">IF(C14="","",IF(D14="Música",$G$4,$G$5))</f>
        <v/>
      </c>
      <c r="N14" s="20" t="str">
        <f aca="false">IF(C14="","",IF(F14="","Preencha as linhas",IF(F14&gt;M14,"Linhas demais",IF(AND(G14&lt;&gt;"",G14&gt;$G$6),"Linha longa",IF(AND(H14&lt;&gt;"",$G$7&lt;&gt;"",H14&lt;$G$7),"Letra pequena",IF(OR(I14="Claro",I14="Movimentado"),"Pouco contraste",IF(J14="Não","Fora da área segura",IF(K14&lt;&gt;"Sim","Revisar",IF(L14="Não","Conferir a ordem","OK")))))))))</f>
        <v/>
      </c>
      <c r="O14" s="21" t="str">
        <f aca="false">IF(N14="","",IF(N14="OK","Manter",IF(N14="Preencha as linhas","Conte as linhas do slide mais cheio",IF(N14="Linhas demais","Divida em mais slides: até "&amp;M14&amp;" linhas por slide",IF(N14="Linha longa","Quebre a linha onde a frase respira",IF(N14="Letra pequena","Aumente a letra até a altura mínima, com menos linhas",IF(N14="Pouco contraste","Fundo escuro e liso, ou sombra e contorno na letra",IF(N14="Fora da área segura","Afaste o texto das bordas",IF(N14="Revisar","Leia tudo em voz alta uma vez","Confira a sequência com quem conduz")))))))))</f>
        <v/>
      </c>
      <c r="P14" s="5"/>
    </row>
    <row r="15" customFormat="false" ht="19.5" hidden="false" customHeight="true" outlineLevel="0" collapsed="false">
      <c r="B15" s="33" t="n">
        <v>2</v>
      </c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8" t="str">
        <f aca="false">IF(C15="","",IF(D15="Música",$G$4,$G$5))</f>
        <v/>
      </c>
      <c r="N15" s="20" t="str">
        <f aca="false">IF(C15="","",IF(F15="","Preencha as linhas",IF(F15&gt;M15,"Linhas demais",IF(AND(G15&lt;&gt;"",G15&gt;$G$6),"Linha longa",IF(AND(H15&lt;&gt;"",$G$7&lt;&gt;"",H15&lt;$G$7),"Letra pequena",IF(OR(I15="Claro",I15="Movimentado"),"Pouco contraste",IF(J15="Não","Fora da área segura",IF(K15&lt;&gt;"Sim","Revisar",IF(L15="Não","Conferir a ordem","OK")))))))))</f>
        <v/>
      </c>
      <c r="O15" s="21" t="str">
        <f aca="false">IF(N15="","",IF(N15="OK","Manter",IF(N15="Preencha as linhas","Conte as linhas do slide mais cheio",IF(N15="Linhas demais","Divida em mais slides: até "&amp;M15&amp;" linhas por slide",IF(N15="Linha longa","Quebre a linha onde a frase respira",IF(N15="Letra pequena","Aumente a letra até a altura mínima, com menos linhas",IF(N15="Pouco contraste","Fundo escuro e liso, ou sombra e contorno na letra",IF(N15="Fora da área segura","Afaste o texto das bordas",IF(N15="Revisar","Leia tudo em voz alta uma vez","Confira a sequência com quem conduz")))))))))</f>
        <v/>
      </c>
      <c r="P15" s="5"/>
    </row>
    <row r="16" customFormat="false" ht="19.5" hidden="false" customHeight="true" outlineLevel="0" collapsed="false">
      <c r="B16" s="33" t="n">
        <v>3</v>
      </c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8" t="str">
        <f aca="false">IF(C16="","",IF(D16="Música",$G$4,$G$5))</f>
        <v/>
      </c>
      <c r="N16" s="20" t="str">
        <f aca="false">IF(C16="","",IF(F16="","Preencha as linhas",IF(F16&gt;M16,"Linhas demais",IF(AND(G16&lt;&gt;"",G16&gt;$G$6),"Linha longa",IF(AND(H16&lt;&gt;"",$G$7&lt;&gt;"",H16&lt;$G$7),"Letra pequena",IF(OR(I16="Claro",I16="Movimentado"),"Pouco contraste",IF(J16="Não","Fora da área segura",IF(K16&lt;&gt;"Sim","Revisar",IF(L16="Não","Conferir a ordem","OK")))))))))</f>
        <v/>
      </c>
      <c r="O16" s="21" t="str">
        <f aca="false">IF(N16="","",IF(N16="OK","Manter",IF(N16="Preencha as linhas","Conte as linhas do slide mais cheio",IF(N16="Linhas demais","Divida em mais slides: até "&amp;M16&amp;" linhas por slide",IF(N16="Linha longa","Quebre a linha onde a frase respira",IF(N16="Letra pequena","Aumente a letra até a altura mínima, com menos linhas",IF(N16="Pouco contraste","Fundo escuro e liso, ou sombra e contorno na letra",IF(N16="Fora da área segura","Afaste o texto das bordas",IF(N16="Revisar","Leia tudo em voz alta uma vez","Confira a sequência com quem conduz")))))))))</f>
        <v/>
      </c>
      <c r="P16" s="5"/>
    </row>
    <row r="17" customFormat="false" ht="19.5" hidden="false" customHeight="true" outlineLevel="0" collapsed="false">
      <c r="B17" s="33" t="n">
        <v>4</v>
      </c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8" t="str">
        <f aca="false">IF(C17="","",IF(D17="Música",$G$4,$G$5))</f>
        <v/>
      </c>
      <c r="N17" s="20" t="str">
        <f aca="false">IF(C17="","",IF(F17="","Preencha as linhas",IF(F17&gt;M17,"Linhas demais",IF(AND(G17&lt;&gt;"",G17&gt;$G$6),"Linha longa",IF(AND(H17&lt;&gt;"",$G$7&lt;&gt;"",H17&lt;$G$7),"Letra pequena",IF(OR(I17="Claro",I17="Movimentado"),"Pouco contraste",IF(J17="Não","Fora da área segura",IF(K17&lt;&gt;"Sim","Revisar",IF(L17="Não","Conferir a ordem","OK")))))))))</f>
        <v/>
      </c>
      <c r="O17" s="21" t="str">
        <f aca="false">IF(N17="","",IF(N17="OK","Manter",IF(N17="Preencha as linhas","Conte as linhas do slide mais cheio",IF(N17="Linhas demais","Divida em mais slides: até "&amp;M17&amp;" linhas por slide",IF(N17="Linha longa","Quebre a linha onde a frase respira",IF(N17="Letra pequena","Aumente a letra até a altura mínima, com menos linhas",IF(N17="Pouco contraste","Fundo escuro e liso, ou sombra e contorno na letra",IF(N17="Fora da área segura","Afaste o texto das bordas",IF(N17="Revisar","Leia tudo em voz alta uma vez","Confira a sequência com quem conduz")))))))))</f>
        <v/>
      </c>
      <c r="P17" s="5"/>
    </row>
    <row r="18" customFormat="false" ht="19.5" hidden="false" customHeight="true" outlineLevel="0" collapsed="false">
      <c r="B18" s="33" t="n">
        <v>5</v>
      </c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8" t="str">
        <f aca="false">IF(C18="","",IF(D18="Música",$G$4,$G$5))</f>
        <v/>
      </c>
      <c r="N18" s="20" t="str">
        <f aca="false">IF(C18="","",IF(F18="","Preencha as linhas",IF(F18&gt;M18,"Linhas demais",IF(AND(G18&lt;&gt;"",G18&gt;$G$6),"Linha longa",IF(AND(H18&lt;&gt;"",$G$7&lt;&gt;"",H18&lt;$G$7),"Letra pequena",IF(OR(I18="Claro",I18="Movimentado"),"Pouco contraste",IF(J18="Não","Fora da área segura",IF(K18&lt;&gt;"Sim","Revisar",IF(L18="Não","Conferir a ordem","OK")))))))))</f>
        <v/>
      </c>
      <c r="O18" s="21" t="str">
        <f aca="false">IF(N18="","",IF(N18="OK","Manter",IF(N18="Preencha as linhas","Conte as linhas do slide mais cheio",IF(N18="Linhas demais","Divida em mais slides: até "&amp;M18&amp;" linhas por slide",IF(N18="Linha longa","Quebre a linha onde a frase respira",IF(N18="Letra pequena","Aumente a letra até a altura mínima, com menos linhas",IF(N18="Pouco contraste","Fundo escuro e liso, ou sombra e contorno na letra",IF(N18="Fora da área segura","Afaste o texto das bordas",IF(N18="Revisar","Leia tudo em voz alta uma vez","Confira a sequência com quem conduz")))))))))</f>
        <v/>
      </c>
      <c r="P18" s="5"/>
    </row>
    <row r="19" customFormat="false" ht="19.5" hidden="false" customHeight="true" outlineLevel="0" collapsed="false">
      <c r="B19" s="33" t="n">
        <v>6</v>
      </c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8" t="str">
        <f aca="false">IF(C19="","",IF(D19="Música",$G$4,$G$5))</f>
        <v/>
      </c>
      <c r="N19" s="20" t="str">
        <f aca="false">IF(C19="","",IF(F19="","Preencha as linhas",IF(F19&gt;M19,"Linhas demais",IF(AND(G19&lt;&gt;"",G19&gt;$G$6),"Linha longa",IF(AND(H19&lt;&gt;"",$G$7&lt;&gt;"",H19&lt;$G$7),"Letra pequena",IF(OR(I19="Claro",I19="Movimentado"),"Pouco contraste",IF(J19="Não","Fora da área segura",IF(K19&lt;&gt;"Sim","Revisar",IF(L19="Não","Conferir a ordem","OK")))))))))</f>
        <v/>
      </c>
      <c r="O19" s="21" t="str">
        <f aca="false">IF(N19="","",IF(N19="OK","Manter",IF(N19="Preencha as linhas","Conte as linhas do slide mais cheio",IF(N19="Linhas demais","Divida em mais slides: até "&amp;M19&amp;" linhas por slide",IF(N19="Linha longa","Quebre a linha onde a frase respira",IF(N19="Letra pequena","Aumente a letra até a altura mínima, com menos linhas",IF(N19="Pouco contraste","Fundo escuro e liso, ou sombra e contorno na letra",IF(N19="Fora da área segura","Afaste o texto das bordas",IF(N19="Revisar","Leia tudo em voz alta uma vez","Confira a sequência com quem conduz")))))))))</f>
        <v/>
      </c>
      <c r="P19" s="5"/>
    </row>
    <row r="20" customFormat="false" ht="19.5" hidden="false" customHeight="true" outlineLevel="0" collapsed="false">
      <c r="B20" s="33" t="n">
        <v>7</v>
      </c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8" t="str">
        <f aca="false">IF(C20="","",IF(D20="Música",$G$4,$G$5))</f>
        <v/>
      </c>
      <c r="N20" s="20" t="str">
        <f aca="false">IF(C20="","",IF(F20="","Preencha as linhas",IF(F20&gt;M20,"Linhas demais",IF(AND(G20&lt;&gt;"",G20&gt;$G$6),"Linha longa",IF(AND(H20&lt;&gt;"",$G$7&lt;&gt;"",H20&lt;$G$7),"Letra pequena",IF(OR(I20="Claro",I20="Movimentado"),"Pouco contraste",IF(J20="Não","Fora da área segura",IF(K20&lt;&gt;"Sim","Revisar",IF(L20="Não","Conferir a ordem","OK")))))))))</f>
        <v/>
      </c>
      <c r="O20" s="21" t="str">
        <f aca="false">IF(N20="","",IF(N20="OK","Manter",IF(N20="Preencha as linhas","Conte as linhas do slide mais cheio",IF(N20="Linhas demais","Divida em mais slides: até "&amp;M20&amp;" linhas por slide",IF(N20="Linha longa","Quebre a linha onde a frase respira",IF(N20="Letra pequena","Aumente a letra até a altura mínima, com menos linhas",IF(N20="Pouco contraste","Fundo escuro e liso, ou sombra e contorno na letra",IF(N20="Fora da área segura","Afaste o texto das bordas",IF(N20="Revisar","Leia tudo em voz alta uma vez","Confira a sequência com quem conduz")))))))))</f>
        <v/>
      </c>
      <c r="P20" s="5"/>
    </row>
    <row r="21" customFormat="false" ht="19.5" hidden="false" customHeight="true" outlineLevel="0" collapsed="false">
      <c r="B21" s="33" t="n">
        <v>8</v>
      </c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8" t="str">
        <f aca="false">IF(C21="","",IF(D21="Música",$G$4,$G$5))</f>
        <v/>
      </c>
      <c r="N21" s="20" t="str">
        <f aca="false">IF(C21="","",IF(F21="","Preencha as linhas",IF(F21&gt;M21,"Linhas demais",IF(AND(G21&lt;&gt;"",G21&gt;$G$6),"Linha longa",IF(AND(H21&lt;&gt;"",$G$7&lt;&gt;"",H21&lt;$G$7),"Letra pequena",IF(OR(I21="Claro",I21="Movimentado"),"Pouco contraste",IF(J21="Não","Fora da área segura",IF(K21&lt;&gt;"Sim","Revisar",IF(L21="Não","Conferir a ordem","OK")))))))))</f>
        <v/>
      </c>
      <c r="O21" s="21" t="str">
        <f aca="false">IF(N21="","",IF(N21="OK","Manter",IF(N21="Preencha as linhas","Conte as linhas do slide mais cheio",IF(N21="Linhas demais","Divida em mais slides: até "&amp;M21&amp;" linhas por slide",IF(N21="Linha longa","Quebre a linha onde a frase respira",IF(N21="Letra pequena","Aumente a letra até a altura mínima, com menos linhas",IF(N21="Pouco contraste","Fundo escuro e liso, ou sombra e contorno na letra",IF(N21="Fora da área segura","Afaste o texto das bordas",IF(N21="Revisar","Leia tudo em voz alta uma vez","Confira a sequência com quem conduz")))))))))</f>
        <v/>
      </c>
      <c r="P21" s="5"/>
    </row>
    <row r="22" customFormat="false" ht="19.5" hidden="false" customHeight="true" outlineLevel="0" collapsed="false">
      <c r="B22" s="33" t="n">
        <v>9</v>
      </c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8" t="str">
        <f aca="false">IF(C22="","",IF(D22="Música",$G$4,$G$5))</f>
        <v/>
      </c>
      <c r="N22" s="20" t="str">
        <f aca="false">IF(C22="","",IF(F22="","Preencha as linhas",IF(F22&gt;M22,"Linhas demais",IF(AND(G22&lt;&gt;"",G22&gt;$G$6),"Linha longa",IF(AND(H22&lt;&gt;"",$G$7&lt;&gt;"",H22&lt;$G$7),"Letra pequena",IF(OR(I22="Claro",I22="Movimentado"),"Pouco contraste",IF(J22="Não","Fora da área segura",IF(K22&lt;&gt;"Sim","Revisar",IF(L22="Não","Conferir a ordem","OK")))))))))</f>
        <v/>
      </c>
      <c r="O22" s="21" t="str">
        <f aca="false">IF(N22="","",IF(N22="OK","Manter",IF(N22="Preencha as linhas","Conte as linhas do slide mais cheio",IF(N22="Linhas demais","Divida em mais slides: até "&amp;M22&amp;" linhas por slide",IF(N22="Linha longa","Quebre a linha onde a frase respira",IF(N22="Letra pequena","Aumente a letra até a altura mínima, com menos linhas",IF(N22="Pouco contraste","Fundo escuro e liso, ou sombra e contorno na letra",IF(N22="Fora da área segura","Afaste o texto das bordas",IF(N22="Revisar","Leia tudo em voz alta uma vez","Confira a sequência com quem conduz")))))))))</f>
        <v/>
      </c>
      <c r="P22" s="5"/>
    </row>
    <row r="23" customFormat="false" ht="19.5" hidden="false" customHeight="true" outlineLevel="0" collapsed="false">
      <c r="B23" s="33" t="n">
        <v>10</v>
      </c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8" t="str">
        <f aca="false">IF(C23="","",IF(D23="Música",$G$4,$G$5))</f>
        <v/>
      </c>
      <c r="N23" s="20" t="str">
        <f aca="false">IF(C23="","",IF(F23="","Preencha as linhas",IF(F23&gt;M23,"Linhas demais",IF(AND(G23&lt;&gt;"",G23&gt;$G$6),"Linha longa",IF(AND(H23&lt;&gt;"",$G$7&lt;&gt;"",H23&lt;$G$7),"Letra pequena",IF(OR(I23="Claro",I23="Movimentado"),"Pouco contraste",IF(J23="Não","Fora da área segura",IF(K23&lt;&gt;"Sim","Revisar",IF(L23="Não","Conferir a ordem","OK")))))))))</f>
        <v/>
      </c>
      <c r="O23" s="21" t="str">
        <f aca="false">IF(N23="","",IF(N23="OK","Manter",IF(N23="Preencha as linhas","Conte as linhas do slide mais cheio",IF(N23="Linhas demais","Divida em mais slides: até "&amp;M23&amp;" linhas por slide",IF(N23="Linha longa","Quebre a linha onde a frase respira",IF(N23="Letra pequena","Aumente a letra até a altura mínima, com menos linhas",IF(N23="Pouco contraste","Fundo escuro e liso, ou sombra e contorno na letra",IF(N23="Fora da área segura","Afaste o texto das bordas",IF(N23="Revisar","Leia tudo em voz alta uma vez","Confira a sequência com quem conduz")))))))))</f>
        <v/>
      </c>
      <c r="P23" s="5"/>
    </row>
    <row r="24" customFormat="false" ht="19.5" hidden="false" customHeight="true" outlineLevel="0" collapsed="false">
      <c r="B24" s="33" t="n">
        <v>11</v>
      </c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8" t="str">
        <f aca="false">IF(C24="","",IF(D24="Música",$G$4,$G$5))</f>
        <v/>
      </c>
      <c r="N24" s="20" t="str">
        <f aca="false">IF(C24="","",IF(F24="","Preencha as linhas",IF(F24&gt;M24,"Linhas demais",IF(AND(G24&lt;&gt;"",G24&gt;$G$6),"Linha longa",IF(AND(H24&lt;&gt;"",$G$7&lt;&gt;"",H24&lt;$G$7),"Letra pequena",IF(OR(I24="Claro",I24="Movimentado"),"Pouco contraste",IF(J24="Não","Fora da área segura",IF(K24&lt;&gt;"Sim","Revisar",IF(L24="Não","Conferir a ordem","OK")))))))))</f>
        <v/>
      </c>
      <c r="O24" s="21" t="str">
        <f aca="false">IF(N24="","",IF(N24="OK","Manter",IF(N24="Preencha as linhas","Conte as linhas do slide mais cheio",IF(N24="Linhas demais","Divida em mais slides: até "&amp;M24&amp;" linhas por slide",IF(N24="Linha longa","Quebre a linha onde a frase respira",IF(N24="Letra pequena","Aumente a letra até a altura mínima, com menos linhas",IF(N24="Pouco contraste","Fundo escuro e liso, ou sombra e contorno na letra",IF(N24="Fora da área segura","Afaste o texto das bordas",IF(N24="Revisar","Leia tudo em voz alta uma vez","Confira a sequência com quem conduz")))))))))</f>
        <v/>
      </c>
      <c r="P24" s="5"/>
    </row>
    <row r="25" customFormat="false" ht="19.5" hidden="false" customHeight="true" outlineLevel="0" collapsed="false">
      <c r="B25" s="33" t="n">
        <v>12</v>
      </c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8" t="str">
        <f aca="false">IF(C25="","",IF(D25="Música",$G$4,$G$5))</f>
        <v/>
      </c>
      <c r="N25" s="20" t="str">
        <f aca="false">IF(C25="","",IF(F25="","Preencha as linhas",IF(F25&gt;M25,"Linhas demais",IF(AND(G25&lt;&gt;"",G25&gt;$G$6),"Linha longa",IF(AND(H25&lt;&gt;"",$G$7&lt;&gt;"",H25&lt;$G$7),"Letra pequena",IF(OR(I25="Claro",I25="Movimentado"),"Pouco contraste",IF(J25="Não","Fora da área segura",IF(K25&lt;&gt;"Sim","Revisar",IF(L25="Não","Conferir a ordem","OK")))))))))</f>
        <v/>
      </c>
      <c r="O25" s="21" t="str">
        <f aca="false">IF(N25="","",IF(N25="OK","Manter",IF(N25="Preencha as linhas","Conte as linhas do slide mais cheio",IF(N25="Linhas demais","Divida em mais slides: até "&amp;M25&amp;" linhas por slide",IF(N25="Linha longa","Quebre a linha onde a frase respira",IF(N25="Letra pequena","Aumente a letra até a altura mínima, com menos linhas",IF(N25="Pouco contraste","Fundo escuro e liso, ou sombra e contorno na letra",IF(N25="Fora da área segura","Afaste o texto das bordas",IF(N25="Revisar","Leia tudo em voz alta uma vez","Confira a sequência com quem conduz")))))))))</f>
        <v/>
      </c>
      <c r="P25" s="5"/>
    </row>
    <row r="26" customFormat="false" ht="19.5" hidden="false" customHeight="true" outlineLevel="0" collapsed="false">
      <c r="B26" s="33" t="n">
        <v>13</v>
      </c>
      <c r="C26" s="5"/>
      <c r="D26" s="12"/>
      <c r="E26" s="12"/>
      <c r="F26" s="12"/>
      <c r="G26" s="12"/>
      <c r="H26" s="12"/>
      <c r="I26" s="12"/>
      <c r="J26" s="12"/>
      <c r="K26" s="12"/>
      <c r="L26" s="12"/>
      <c r="M26" s="8" t="str">
        <f aca="false">IF(C26="","",IF(D26="Música",$G$4,$G$5))</f>
        <v/>
      </c>
      <c r="N26" s="20" t="str">
        <f aca="false">IF(C26="","",IF(F26="","Preencha as linhas",IF(F26&gt;M26,"Linhas demais",IF(AND(G26&lt;&gt;"",G26&gt;$G$6),"Linha longa",IF(AND(H26&lt;&gt;"",$G$7&lt;&gt;"",H26&lt;$G$7),"Letra pequena",IF(OR(I26="Claro",I26="Movimentado"),"Pouco contraste",IF(J26="Não","Fora da área segura",IF(K26&lt;&gt;"Sim","Revisar",IF(L26="Não","Conferir a ordem","OK")))))))))</f>
        <v/>
      </c>
      <c r="O26" s="21" t="str">
        <f aca="false">IF(N26="","",IF(N26="OK","Manter",IF(N26="Preencha as linhas","Conte as linhas do slide mais cheio",IF(N26="Linhas demais","Divida em mais slides: até "&amp;M26&amp;" linhas por slide",IF(N26="Linha longa","Quebre a linha onde a frase respira",IF(N26="Letra pequena","Aumente a letra até a altura mínima, com menos linhas",IF(N26="Pouco contraste","Fundo escuro e liso, ou sombra e contorno na letra",IF(N26="Fora da área segura","Afaste o texto das bordas",IF(N26="Revisar","Leia tudo em voz alta uma vez","Confira a sequência com quem conduz")))))))))</f>
        <v/>
      </c>
      <c r="P26" s="5"/>
    </row>
    <row r="27" customFormat="false" ht="19.5" hidden="false" customHeight="true" outlineLevel="0" collapsed="false">
      <c r="B27" s="33" t="n">
        <v>14</v>
      </c>
      <c r="C27" s="5"/>
      <c r="D27" s="12"/>
      <c r="E27" s="12"/>
      <c r="F27" s="12"/>
      <c r="G27" s="12"/>
      <c r="H27" s="12"/>
      <c r="I27" s="12"/>
      <c r="J27" s="12"/>
      <c r="K27" s="12"/>
      <c r="L27" s="12"/>
      <c r="M27" s="8" t="str">
        <f aca="false">IF(C27="","",IF(D27="Música",$G$4,$G$5))</f>
        <v/>
      </c>
      <c r="N27" s="20" t="str">
        <f aca="false">IF(C27="","",IF(F27="","Preencha as linhas",IF(F27&gt;M27,"Linhas demais",IF(AND(G27&lt;&gt;"",G27&gt;$G$6),"Linha longa",IF(AND(H27&lt;&gt;"",$G$7&lt;&gt;"",H27&lt;$G$7),"Letra pequena",IF(OR(I27="Claro",I27="Movimentado"),"Pouco contraste",IF(J27="Não","Fora da área segura",IF(K27&lt;&gt;"Sim","Revisar",IF(L27="Não","Conferir a ordem","OK")))))))))</f>
        <v/>
      </c>
      <c r="O27" s="21" t="str">
        <f aca="false">IF(N27="","",IF(N27="OK","Manter",IF(N27="Preencha as linhas","Conte as linhas do slide mais cheio",IF(N27="Linhas demais","Divida em mais slides: até "&amp;M27&amp;" linhas por slide",IF(N27="Linha longa","Quebre a linha onde a frase respira",IF(N27="Letra pequena","Aumente a letra até a altura mínima, com menos linhas",IF(N27="Pouco contraste","Fundo escuro e liso, ou sombra e contorno na letra",IF(N27="Fora da área segura","Afaste o texto das bordas",IF(N27="Revisar","Leia tudo em voz alta uma vez","Confira a sequência com quem conduz")))))))))</f>
        <v/>
      </c>
      <c r="P27" s="5"/>
    </row>
    <row r="28" customFormat="false" ht="19.5" hidden="false" customHeight="true" outlineLevel="0" collapsed="false">
      <c r="B28" s="33" t="n">
        <v>15</v>
      </c>
      <c r="C28" s="5"/>
      <c r="D28" s="12"/>
      <c r="E28" s="12"/>
      <c r="F28" s="12"/>
      <c r="G28" s="12"/>
      <c r="H28" s="12"/>
      <c r="I28" s="12"/>
      <c r="J28" s="12"/>
      <c r="K28" s="12"/>
      <c r="L28" s="12"/>
      <c r="M28" s="8" t="str">
        <f aca="false">IF(C28="","",IF(D28="Música",$G$4,$G$5))</f>
        <v/>
      </c>
      <c r="N28" s="20" t="str">
        <f aca="false">IF(C28="","",IF(F28="","Preencha as linhas",IF(F28&gt;M28,"Linhas demais",IF(AND(G28&lt;&gt;"",G28&gt;$G$6),"Linha longa",IF(AND(H28&lt;&gt;"",$G$7&lt;&gt;"",H28&lt;$G$7),"Letra pequena",IF(OR(I28="Claro",I28="Movimentado"),"Pouco contraste",IF(J28="Não","Fora da área segura",IF(K28&lt;&gt;"Sim","Revisar",IF(L28="Não","Conferir a ordem","OK")))))))))</f>
        <v/>
      </c>
      <c r="O28" s="21" t="str">
        <f aca="false">IF(N28="","",IF(N28="OK","Manter",IF(N28="Preencha as linhas","Conte as linhas do slide mais cheio",IF(N28="Linhas demais","Divida em mais slides: até "&amp;M28&amp;" linhas por slide",IF(N28="Linha longa","Quebre a linha onde a frase respira",IF(N28="Letra pequena","Aumente a letra até a altura mínima, com menos linhas",IF(N28="Pouco contraste","Fundo escuro e liso, ou sombra e contorno na letra",IF(N28="Fora da área segura","Afaste o texto das bordas",IF(N28="Revisar","Leia tudo em voz alta uma vez","Confira a sequência com quem conduz")))))))))</f>
        <v/>
      </c>
      <c r="P28" s="5"/>
    </row>
    <row r="29" customFormat="false" ht="19.5" hidden="false" customHeight="true" outlineLevel="0" collapsed="false">
      <c r="B29" s="33" t="n">
        <v>16</v>
      </c>
      <c r="C29" s="5"/>
      <c r="D29" s="12"/>
      <c r="E29" s="12"/>
      <c r="F29" s="12"/>
      <c r="G29" s="12"/>
      <c r="H29" s="12"/>
      <c r="I29" s="12"/>
      <c r="J29" s="12"/>
      <c r="K29" s="12"/>
      <c r="L29" s="12"/>
      <c r="M29" s="8" t="str">
        <f aca="false">IF(C29="","",IF(D29="Música",$G$4,$G$5))</f>
        <v/>
      </c>
      <c r="N29" s="20" t="str">
        <f aca="false">IF(C29="","",IF(F29="","Preencha as linhas",IF(F29&gt;M29,"Linhas demais",IF(AND(G29&lt;&gt;"",G29&gt;$G$6),"Linha longa",IF(AND(H29&lt;&gt;"",$G$7&lt;&gt;"",H29&lt;$G$7),"Letra pequena",IF(OR(I29="Claro",I29="Movimentado"),"Pouco contraste",IF(J29="Não","Fora da área segura",IF(K29&lt;&gt;"Sim","Revisar",IF(L29="Não","Conferir a ordem","OK")))))))))</f>
        <v/>
      </c>
      <c r="O29" s="21" t="str">
        <f aca="false">IF(N29="","",IF(N29="OK","Manter",IF(N29="Preencha as linhas","Conte as linhas do slide mais cheio",IF(N29="Linhas demais","Divida em mais slides: até "&amp;M29&amp;" linhas por slide",IF(N29="Linha longa","Quebre a linha onde a frase respira",IF(N29="Letra pequena","Aumente a letra até a altura mínima, com menos linhas",IF(N29="Pouco contraste","Fundo escuro e liso, ou sombra e contorno na letra",IF(N29="Fora da área segura","Afaste o texto das bordas",IF(N29="Revisar","Leia tudo em voz alta uma vez","Confira a sequência com quem conduz")))))))))</f>
        <v/>
      </c>
      <c r="P29" s="5"/>
    </row>
    <row r="30" customFormat="false" ht="19.5" hidden="false" customHeight="true" outlineLevel="0" collapsed="false">
      <c r="B30" s="33" t="n">
        <v>17</v>
      </c>
      <c r="C30" s="5"/>
      <c r="D30" s="12"/>
      <c r="E30" s="12"/>
      <c r="F30" s="12"/>
      <c r="G30" s="12"/>
      <c r="H30" s="12"/>
      <c r="I30" s="12"/>
      <c r="J30" s="12"/>
      <c r="K30" s="12"/>
      <c r="L30" s="12"/>
      <c r="M30" s="8" t="str">
        <f aca="false">IF(C30="","",IF(D30="Música",$G$4,$G$5))</f>
        <v/>
      </c>
      <c r="N30" s="20" t="str">
        <f aca="false">IF(C30="","",IF(F30="","Preencha as linhas",IF(F30&gt;M30,"Linhas demais",IF(AND(G30&lt;&gt;"",G30&gt;$G$6),"Linha longa",IF(AND(H30&lt;&gt;"",$G$7&lt;&gt;"",H30&lt;$G$7),"Letra pequena",IF(OR(I30="Claro",I30="Movimentado"),"Pouco contraste",IF(J30="Não","Fora da área segura",IF(K30&lt;&gt;"Sim","Revisar",IF(L30="Não","Conferir a ordem","OK")))))))))</f>
        <v/>
      </c>
      <c r="O30" s="21" t="str">
        <f aca="false">IF(N30="","",IF(N30="OK","Manter",IF(N30="Preencha as linhas","Conte as linhas do slide mais cheio",IF(N30="Linhas demais","Divida em mais slides: até "&amp;M30&amp;" linhas por slide",IF(N30="Linha longa","Quebre a linha onde a frase respira",IF(N30="Letra pequena","Aumente a letra até a altura mínima, com menos linhas",IF(N30="Pouco contraste","Fundo escuro e liso, ou sombra e contorno na letra",IF(N30="Fora da área segura","Afaste o texto das bordas",IF(N30="Revisar","Leia tudo em voz alta uma vez","Confira a sequência com quem conduz")))))))))</f>
        <v/>
      </c>
      <c r="P30" s="5"/>
    </row>
    <row r="31" customFormat="false" ht="19.5" hidden="false" customHeight="true" outlineLevel="0" collapsed="false">
      <c r="B31" s="33" t="n">
        <v>18</v>
      </c>
      <c r="C31" s="5"/>
      <c r="D31" s="12"/>
      <c r="E31" s="12"/>
      <c r="F31" s="12"/>
      <c r="G31" s="12"/>
      <c r="H31" s="12"/>
      <c r="I31" s="12"/>
      <c r="J31" s="12"/>
      <c r="K31" s="12"/>
      <c r="L31" s="12"/>
      <c r="M31" s="8" t="str">
        <f aca="false">IF(C31="","",IF(D31="Música",$G$4,$G$5))</f>
        <v/>
      </c>
      <c r="N31" s="20" t="str">
        <f aca="false">IF(C31="","",IF(F31="","Preencha as linhas",IF(F31&gt;M31,"Linhas demais",IF(AND(G31&lt;&gt;"",G31&gt;$G$6),"Linha longa",IF(AND(H31&lt;&gt;"",$G$7&lt;&gt;"",H31&lt;$G$7),"Letra pequena",IF(OR(I31="Claro",I31="Movimentado"),"Pouco contraste",IF(J31="Não","Fora da área segura",IF(K31&lt;&gt;"Sim","Revisar",IF(L31="Não","Conferir a ordem","OK")))))))))</f>
        <v/>
      </c>
      <c r="O31" s="21" t="str">
        <f aca="false">IF(N31="","",IF(N31="OK","Manter",IF(N31="Preencha as linhas","Conte as linhas do slide mais cheio",IF(N31="Linhas demais","Divida em mais slides: até "&amp;M31&amp;" linhas por slide",IF(N31="Linha longa","Quebre a linha onde a frase respira",IF(N31="Letra pequena","Aumente a letra até a altura mínima, com menos linhas",IF(N31="Pouco contraste","Fundo escuro e liso, ou sombra e contorno na letra",IF(N31="Fora da área segura","Afaste o texto das bordas",IF(N31="Revisar","Leia tudo em voz alta uma vez","Confira a sequência com quem conduz")))))))))</f>
        <v/>
      </c>
      <c r="P31" s="5"/>
    </row>
    <row r="32" customFormat="false" ht="19.5" hidden="false" customHeight="true" outlineLevel="0" collapsed="false">
      <c r="B32" s="33" t="n">
        <v>19</v>
      </c>
      <c r="C32" s="5"/>
      <c r="D32" s="12"/>
      <c r="E32" s="12"/>
      <c r="F32" s="12"/>
      <c r="G32" s="12"/>
      <c r="H32" s="12"/>
      <c r="I32" s="12"/>
      <c r="J32" s="12"/>
      <c r="K32" s="12"/>
      <c r="L32" s="12"/>
      <c r="M32" s="8" t="str">
        <f aca="false">IF(C32="","",IF(D32="Música",$G$4,$G$5))</f>
        <v/>
      </c>
      <c r="N32" s="20" t="str">
        <f aca="false">IF(C32="","",IF(F32="","Preencha as linhas",IF(F32&gt;M32,"Linhas demais",IF(AND(G32&lt;&gt;"",G32&gt;$G$6),"Linha longa",IF(AND(H32&lt;&gt;"",$G$7&lt;&gt;"",H32&lt;$G$7),"Letra pequena",IF(OR(I32="Claro",I32="Movimentado"),"Pouco contraste",IF(J32="Não","Fora da área segura",IF(K32&lt;&gt;"Sim","Revisar",IF(L32="Não","Conferir a ordem","OK")))))))))</f>
        <v/>
      </c>
      <c r="O32" s="21" t="str">
        <f aca="false">IF(N32="","",IF(N32="OK","Manter",IF(N32="Preencha as linhas","Conte as linhas do slide mais cheio",IF(N32="Linhas demais","Divida em mais slides: até "&amp;M32&amp;" linhas por slide",IF(N32="Linha longa","Quebre a linha onde a frase respira",IF(N32="Letra pequena","Aumente a letra até a altura mínima, com menos linhas",IF(N32="Pouco contraste","Fundo escuro e liso, ou sombra e contorno na letra",IF(N32="Fora da área segura","Afaste o texto das bordas",IF(N32="Revisar","Leia tudo em voz alta uma vez","Confira a sequência com quem conduz")))))))))</f>
        <v/>
      </c>
      <c r="P32" s="5"/>
    </row>
    <row r="33" customFormat="false" ht="19.5" hidden="false" customHeight="true" outlineLevel="0" collapsed="false">
      <c r="B33" s="33" t="n">
        <v>20</v>
      </c>
      <c r="C33" s="5"/>
      <c r="D33" s="12"/>
      <c r="E33" s="12"/>
      <c r="F33" s="12"/>
      <c r="G33" s="12"/>
      <c r="H33" s="12"/>
      <c r="I33" s="12"/>
      <c r="J33" s="12"/>
      <c r="K33" s="12"/>
      <c r="L33" s="12"/>
      <c r="M33" s="8" t="str">
        <f aca="false">IF(C33="","",IF(D33="Música",$G$4,$G$5))</f>
        <v/>
      </c>
      <c r="N33" s="20" t="str">
        <f aca="false">IF(C33="","",IF(F33="","Preencha as linhas",IF(F33&gt;M33,"Linhas demais",IF(AND(G33&lt;&gt;"",G33&gt;$G$6),"Linha longa",IF(AND(H33&lt;&gt;"",$G$7&lt;&gt;"",H33&lt;$G$7),"Letra pequena",IF(OR(I33="Claro",I33="Movimentado"),"Pouco contraste",IF(J33="Não","Fora da área segura",IF(K33&lt;&gt;"Sim","Revisar",IF(L33="Não","Conferir a ordem","OK")))))))))</f>
        <v/>
      </c>
      <c r="O33" s="21" t="str">
        <f aca="false">IF(N33="","",IF(N33="OK","Manter",IF(N33="Preencha as linhas","Conte as linhas do slide mais cheio",IF(N33="Linhas demais","Divida em mais slides: até "&amp;M33&amp;" linhas por slide",IF(N33="Linha longa","Quebre a linha onde a frase respira",IF(N33="Letra pequena","Aumente a letra até a altura mínima, com menos linhas",IF(N33="Pouco contraste","Fundo escuro e liso, ou sombra e contorno na letra",IF(N33="Fora da área segura","Afaste o texto das bordas",IF(N33="Revisar","Leia tudo em voz alta uma vez","Confira a sequência com quem conduz")))))))))</f>
        <v/>
      </c>
      <c r="P33" s="5"/>
    </row>
    <row r="35" customFormat="false" ht="21.75" hidden="false" customHeight="true" outlineLevel="0" collapsed="false">
      <c r="B35" s="10" t="s">
        <v>159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9.5" hidden="false" customHeight="true" outlineLevel="0" collapsed="false">
      <c r="B36" s="26" t="s">
        <v>242</v>
      </c>
      <c r="C36" s="26"/>
      <c r="D36" s="26"/>
      <c r="E36" s="8" t="n">
        <f aca="false">COUNTA(C14:C33)</f>
        <v>0</v>
      </c>
    </row>
    <row r="37" customFormat="false" ht="19.5" hidden="false" customHeight="true" outlineLevel="0" collapsed="false">
      <c r="B37" s="26" t="s">
        <v>243</v>
      </c>
      <c r="C37" s="26"/>
      <c r="D37" s="26"/>
      <c r="E37" s="8" t="n">
        <f aca="false">COUNTIF(N14:N33,"OK")</f>
        <v>0</v>
      </c>
    </row>
    <row r="38" customFormat="false" ht="19.5" hidden="false" customHeight="true" outlineLevel="0" collapsed="false">
      <c r="B38" s="26" t="s">
        <v>244</v>
      </c>
      <c r="C38" s="26"/>
      <c r="D38" s="26"/>
      <c r="E38" s="8" t="n">
        <f aca="false">E36-E37</f>
        <v>0</v>
      </c>
    </row>
    <row r="39" customFormat="false" ht="15" hidden="false" customHeight="true" outlineLevel="0" collapsed="false">
      <c r="B39" s="26" t="s">
        <v>162</v>
      </c>
      <c r="C39" s="26"/>
      <c r="D39" s="26"/>
      <c r="E39" s="6" t="str">
        <f aca="false">IF(E36=0,"Liste as músicas e as apresentações",IF(E38&gt;0,"Há slides a corrigir: veja a coluna Situação","OK"))</f>
        <v>Liste as músicas e as apresentações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</sheetData>
  <mergeCells count="17">
    <mergeCell ref="B1:P1"/>
    <mergeCell ref="B2:P2"/>
    <mergeCell ref="B4:F4"/>
    <mergeCell ref="I4:P5"/>
    <mergeCell ref="B5:F5"/>
    <mergeCell ref="B6:F6"/>
    <mergeCell ref="I6:P6"/>
    <mergeCell ref="B7:F7"/>
    <mergeCell ref="I7:P7"/>
    <mergeCell ref="B9:P9"/>
    <mergeCell ref="B13:P13"/>
    <mergeCell ref="B35:P35"/>
    <mergeCell ref="B36:D36"/>
    <mergeCell ref="B37:D37"/>
    <mergeCell ref="B38:D38"/>
    <mergeCell ref="B39:D39"/>
    <mergeCell ref="E39:P39"/>
  </mergeCells>
  <conditionalFormatting sqref="N14:N33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AND(LEN(N14)&gt;0,N14&lt;&gt;"OK")</formula>
    </cfRule>
  </conditionalFormatting>
  <conditionalFormatting sqref="E39:P39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dataValidations count="7">
    <dataValidation allowBlank="true" error="Digite apenas o número, sem texto nem unidade." errorStyle="stop" errorTitle="Valor inválido" operator="between" showDropDown="false" showErrorMessage="true" showInputMessage="false" sqref="G4:G6" type="decimal">
      <formula1>-1000000000</formula1>
      <formula2>1000000000</formula2>
    </dataValidation>
    <dataValidation allowBlank="true" error="Escolha uma das opções da lista." errorStyle="stop" errorTitle="Valor inválido" operator="between" prompt="Música, Bíblia, Aviso ou Palestra." promptTitle="Opções" showDropDown="false" showErrorMessage="true" showInputMessage="true" sqref="D14:D33" type="list">
      <formula1>"Música,Bíblia,Aviso,Palestra"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H33" type="decimal">
      <formula1>-1000000000</formula1>
      <formula2>1000000000</formula2>
    </dataValidation>
    <dataValidation allowBlank="true" error="Escolha uma das opções da lista." errorStyle="stop" errorTitle="Valor inválido" operator="between" prompt="Escuro liso, Imagem com sombra, Claro ou Movimentado." promptTitle="Opções" showDropDown="false" showErrorMessage="true" showInputMessage="true" sqref="I14:I33" type="list">
      <formula1>"Escuro liso,Imagem com sombra,Claro,Movimentado"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J14:J33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K14:K33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L14:L33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58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245</v>
      </c>
      <c r="C1" s="1"/>
      <c r="D1" s="1"/>
      <c r="E1" s="1"/>
    </row>
    <row r="2" customFormat="false" ht="19.5" hidden="false" customHeight="true" outlineLevel="0" collapsed="false">
      <c r="B2" s="2" t="s">
        <v>246</v>
      </c>
      <c r="C2" s="2"/>
      <c r="D2" s="2"/>
      <c r="E2" s="2"/>
    </row>
    <row r="4" customFormat="false" ht="21.75" hidden="false" customHeight="true" outlineLevel="0" collapsed="false">
      <c r="B4" s="10" t="s">
        <v>128</v>
      </c>
      <c r="C4" s="10"/>
      <c r="D4" s="10"/>
      <c r="E4" s="10"/>
    </row>
    <row r="5" customFormat="false" ht="21.75" hidden="false" customHeight="true" outlineLevel="0" collapsed="false">
      <c r="B5" s="8" t="s">
        <v>48</v>
      </c>
      <c r="C5" s="8" t="s">
        <v>247</v>
      </c>
      <c r="D5" s="8" t="s">
        <v>248</v>
      </c>
      <c r="E5" s="8" t="s">
        <v>249</v>
      </c>
    </row>
    <row r="6" customFormat="false" ht="31.5" hidden="false" customHeight="true" outlineLevel="0" collapsed="false">
      <c r="B6" s="37" t="s">
        <v>250</v>
      </c>
      <c r="C6" s="38" t="s">
        <v>251</v>
      </c>
      <c r="D6" s="38" t="s">
        <v>252</v>
      </c>
      <c r="E6" s="7" t="s">
        <v>253</v>
      </c>
    </row>
    <row r="7" customFormat="false" ht="31.5" hidden="false" customHeight="true" outlineLevel="0" collapsed="false">
      <c r="B7" s="37" t="s">
        <v>254</v>
      </c>
      <c r="C7" s="38" t="s">
        <v>255</v>
      </c>
      <c r="D7" s="38" t="s">
        <v>256</v>
      </c>
      <c r="E7" s="7" t="s">
        <v>257</v>
      </c>
    </row>
    <row r="8" customFormat="false" ht="31.5" hidden="false" customHeight="true" outlineLevel="0" collapsed="false">
      <c r="B8" s="37" t="s">
        <v>258</v>
      </c>
      <c r="C8" s="38" t="s">
        <v>259</v>
      </c>
      <c r="D8" s="38" t="s">
        <v>260</v>
      </c>
      <c r="E8" s="7" t="s">
        <v>261</v>
      </c>
    </row>
    <row r="9" customFormat="false" ht="31.5" hidden="false" customHeight="true" outlineLevel="0" collapsed="false">
      <c r="B9" s="37" t="s">
        <v>262</v>
      </c>
      <c r="C9" s="38" t="s">
        <v>263</v>
      </c>
      <c r="D9" s="38" t="s">
        <v>264</v>
      </c>
      <c r="E9" s="7" t="s">
        <v>265</v>
      </c>
    </row>
    <row r="11" customFormat="false" ht="21.75" hidden="false" customHeight="true" outlineLevel="0" collapsed="false">
      <c r="B11" s="10" t="s">
        <v>266</v>
      </c>
      <c r="C11" s="10"/>
      <c r="D11" s="10"/>
      <c r="E11" s="10"/>
    </row>
    <row r="12" customFormat="false" ht="21.75" hidden="false" customHeight="true" outlineLevel="0" collapsed="false">
      <c r="B12" s="8" t="s">
        <v>175</v>
      </c>
      <c r="C12" s="8" t="s">
        <v>50</v>
      </c>
      <c r="D12" s="8" t="s">
        <v>267</v>
      </c>
      <c r="E12" s="8" t="s">
        <v>268</v>
      </c>
    </row>
    <row r="13" customFormat="false" ht="31.5" hidden="false" customHeight="true" outlineLevel="0" collapsed="false">
      <c r="B13" s="37" t="s">
        <v>269</v>
      </c>
      <c r="C13" s="38" t="s">
        <v>270</v>
      </c>
      <c r="D13" s="38" t="s">
        <v>271</v>
      </c>
      <c r="E13" s="7" t="s">
        <v>272</v>
      </c>
    </row>
    <row r="14" customFormat="false" ht="31.5" hidden="false" customHeight="true" outlineLevel="0" collapsed="false">
      <c r="B14" s="37" t="s">
        <v>273</v>
      </c>
      <c r="C14" s="38" t="s">
        <v>274</v>
      </c>
      <c r="D14" s="38" t="s">
        <v>275</v>
      </c>
      <c r="E14" s="7" t="s">
        <v>276</v>
      </c>
    </row>
    <row r="15" customFormat="false" ht="31.5" hidden="false" customHeight="true" outlineLevel="0" collapsed="false">
      <c r="B15" s="37" t="s">
        <v>277</v>
      </c>
      <c r="C15" s="38" t="s">
        <v>278</v>
      </c>
      <c r="D15" s="38" t="s">
        <v>279</v>
      </c>
      <c r="E15" s="7" t="s">
        <v>280</v>
      </c>
    </row>
    <row r="16" customFormat="false" ht="31.5" hidden="false" customHeight="true" outlineLevel="0" collapsed="false">
      <c r="B16" s="37" t="s">
        <v>281</v>
      </c>
      <c r="C16" s="38" t="s">
        <v>282</v>
      </c>
      <c r="D16" s="38" t="s">
        <v>283</v>
      </c>
      <c r="E16" s="7" t="s">
        <v>284</v>
      </c>
    </row>
    <row r="18" customFormat="false" ht="21.75" hidden="false" customHeight="true" outlineLevel="0" collapsed="false">
      <c r="B18" s="10" t="s">
        <v>285</v>
      </c>
      <c r="C18" s="10"/>
      <c r="D18" s="10"/>
      <c r="E18" s="10"/>
    </row>
    <row r="19" customFormat="false" ht="21.75" hidden="false" customHeight="true" outlineLevel="0" collapsed="false">
      <c r="B19" s="8" t="s">
        <v>286</v>
      </c>
      <c r="C19" s="8" t="s">
        <v>287</v>
      </c>
      <c r="D19" s="8" t="s">
        <v>288</v>
      </c>
      <c r="E19" s="8" t="s">
        <v>187</v>
      </c>
    </row>
    <row r="20" customFormat="false" ht="19.5" hidden="false" customHeight="true" outlineLevel="0" collapsed="false">
      <c r="B20" s="37" t="s">
        <v>289</v>
      </c>
      <c r="C20" s="38" t="s">
        <v>290</v>
      </c>
      <c r="D20" s="38" t="s">
        <v>291</v>
      </c>
      <c r="E20" s="7" t="s">
        <v>292</v>
      </c>
    </row>
    <row r="21" customFormat="false" ht="19.5" hidden="false" customHeight="true" outlineLevel="0" collapsed="false">
      <c r="B21" s="37" t="s">
        <v>293</v>
      </c>
      <c r="C21" s="38" t="s">
        <v>294</v>
      </c>
      <c r="D21" s="38" t="s">
        <v>295</v>
      </c>
      <c r="E21" s="7" t="s">
        <v>296</v>
      </c>
    </row>
    <row r="22" customFormat="false" ht="19.5" hidden="false" customHeight="true" outlineLevel="0" collapsed="false">
      <c r="B22" s="37" t="s">
        <v>297</v>
      </c>
      <c r="C22" s="38" t="s">
        <v>298</v>
      </c>
      <c r="D22" s="38" t="s">
        <v>299</v>
      </c>
      <c r="E22" s="7" t="s">
        <v>300</v>
      </c>
    </row>
    <row r="23" customFormat="false" ht="19.5" hidden="false" customHeight="true" outlineLevel="0" collapsed="false">
      <c r="B23" s="37" t="s">
        <v>301</v>
      </c>
      <c r="C23" s="38" t="s">
        <v>302</v>
      </c>
      <c r="D23" s="38" t="s">
        <v>303</v>
      </c>
      <c r="E23" s="7" t="s">
        <v>304</v>
      </c>
    </row>
    <row r="24" customFormat="false" ht="19.5" hidden="false" customHeight="true" outlineLevel="0" collapsed="false">
      <c r="B24" s="37" t="s">
        <v>305</v>
      </c>
      <c r="C24" s="38" t="s">
        <v>306</v>
      </c>
      <c r="D24" s="38" t="s">
        <v>307</v>
      </c>
      <c r="E24" s="7" t="s">
        <v>308</v>
      </c>
    </row>
    <row r="25" customFormat="false" ht="19.5" hidden="false" customHeight="true" outlineLevel="0" collapsed="false">
      <c r="B25" s="37" t="s">
        <v>309</v>
      </c>
      <c r="C25" s="38" t="s">
        <v>310</v>
      </c>
      <c r="D25" s="38" t="s">
        <v>311</v>
      </c>
      <c r="E25" s="7" t="s">
        <v>312</v>
      </c>
    </row>
    <row r="26" customFormat="false" ht="19.5" hidden="false" customHeight="true" outlineLevel="0" collapsed="false">
      <c r="B26" s="37" t="s">
        <v>313</v>
      </c>
      <c r="C26" s="38" t="s">
        <v>314</v>
      </c>
      <c r="D26" s="38" t="s">
        <v>315</v>
      </c>
      <c r="E26" s="7" t="s">
        <v>316</v>
      </c>
    </row>
    <row r="28" customFormat="false" ht="21.75" hidden="false" customHeight="true" outlineLevel="0" collapsed="false">
      <c r="B28" s="10" t="s">
        <v>317</v>
      </c>
      <c r="C28" s="10"/>
      <c r="D28" s="10"/>
      <c r="E28" s="10"/>
    </row>
    <row r="29" customFormat="false" ht="21.75" hidden="false" customHeight="true" outlineLevel="0" collapsed="false">
      <c r="B29" s="8" t="s">
        <v>318</v>
      </c>
      <c r="C29" s="8" t="s">
        <v>319</v>
      </c>
      <c r="D29" s="8" t="s">
        <v>320</v>
      </c>
      <c r="E29" s="8" t="s">
        <v>321</v>
      </c>
    </row>
    <row r="30" customFormat="false" ht="31.5" hidden="false" customHeight="true" outlineLevel="0" collapsed="false">
      <c r="B30" s="37" t="s">
        <v>322</v>
      </c>
      <c r="C30" s="38" t="s">
        <v>323</v>
      </c>
      <c r="D30" s="38" t="s">
        <v>324</v>
      </c>
      <c r="E30" s="7" t="s">
        <v>325</v>
      </c>
    </row>
    <row r="31" customFormat="false" ht="31.5" hidden="false" customHeight="true" outlineLevel="0" collapsed="false">
      <c r="B31" s="37" t="s">
        <v>326</v>
      </c>
      <c r="C31" s="38" t="s">
        <v>327</v>
      </c>
      <c r="D31" s="38" t="s">
        <v>328</v>
      </c>
      <c r="E31" s="7" t="s">
        <v>329</v>
      </c>
    </row>
    <row r="32" customFormat="false" ht="31.5" hidden="false" customHeight="true" outlineLevel="0" collapsed="false">
      <c r="B32" s="37" t="s">
        <v>330</v>
      </c>
      <c r="C32" s="38" t="s">
        <v>331</v>
      </c>
      <c r="D32" s="38" t="s">
        <v>332</v>
      </c>
      <c r="E32" s="7" t="s">
        <v>333</v>
      </c>
    </row>
    <row r="33" customFormat="false" ht="31.5" hidden="false" customHeight="true" outlineLevel="0" collapsed="false">
      <c r="B33" s="37" t="s">
        <v>334</v>
      </c>
      <c r="C33" s="38" t="s">
        <v>335</v>
      </c>
      <c r="D33" s="38" t="s">
        <v>336</v>
      </c>
      <c r="E33" s="7" t="s">
        <v>337</v>
      </c>
    </row>
    <row r="35" customFormat="false" ht="21.75" hidden="false" customHeight="true" outlineLevel="0" collapsed="false">
      <c r="B35" s="10" t="s">
        <v>338</v>
      </c>
      <c r="C35" s="10"/>
      <c r="D35" s="10"/>
      <c r="E35" s="10"/>
    </row>
    <row r="36" customFormat="false" ht="21.75" hidden="false" customHeight="true" outlineLevel="0" collapsed="false">
      <c r="B36" s="8" t="s">
        <v>174</v>
      </c>
      <c r="C36" s="8" t="s">
        <v>339</v>
      </c>
      <c r="D36" s="8" t="s">
        <v>340</v>
      </c>
      <c r="E36" s="8" t="s">
        <v>341</v>
      </c>
    </row>
    <row r="37" customFormat="false" ht="31.5" hidden="false" customHeight="true" outlineLevel="0" collapsed="false">
      <c r="B37" s="37" t="s">
        <v>198</v>
      </c>
      <c r="C37" s="38" t="s">
        <v>342</v>
      </c>
      <c r="D37" s="38" t="s">
        <v>343</v>
      </c>
      <c r="E37" s="7" t="s">
        <v>344</v>
      </c>
    </row>
    <row r="38" customFormat="false" ht="31.5" hidden="false" customHeight="true" outlineLevel="0" collapsed="false">
      <c r="B38" s="37" t="s">
        <v>345</v>
      </c>
      <c r="C38" s="38" t="s">
        <v>346</v>
      </c>
      <c r="D38" s="38" t="s">
        <v>347</v>
      </c>
      <c r="E38" s="7" t="s">
        <v>348</v>
      </c>
    </row>
    <row r="39" customFormat="false" ht="31.5" hidden="false" customHeight="true" outlineLevel="0" collapsed="false">
      <c r="B39" s="37" t="s">
        <v>349</v>
      </c>
      <c r="C39" s="38" t="s">
        <v>350</v>
      </c>
      <c r="D39" s="38" t="s">
        <v>351</v>
      </c>
      <c r="E39" s="7" t="s">
        <v>352</v>
      </c>
    </row>
    <row r="40" customFormat="false" ht="31.5" hidden="false" customHeight="true" outlineLevel="0" collapsed="false">
      <c r="B40" s="37" t="s">
        <v>353</v>
      </c>
      <c r="C40" s="38" t="s">
        <v>354</v>
      </c>
      <c r="D40" s="38" t="s">
        <v>355</v>
      </c>
      <c r="E40" s="7" t="s">
        <v>356</v>
      </c>
    </row>
    <row r="41" customFormat="false" ht="31.5" hidden="false" customHeight="true" outlineLevel="0" collapsed="false">
      <c r="B41" s="37" t="s">
        <v>357</v>
      </c>
      <c r="C41" s="38" t="s">
        <v>358</v>
      </c>
      <c r="D41" s="38" t="s">
        <v>359</v>
      </c>
      <c r="E41" s="7" t="s">
        <v>360</v>
      </c>
    </row>
    <row r="43" customFormat="false" ht="21.75" hidden="false" customHeight="true" outlineLevel="0" collapsed="false">
      <c r="B43" s="10" t="s">
        <v>361</v>
      </c>
      <c r="C43" s="10"/>
      <c r="D43" s="10"/>
      <c r="E43" s="10"/>
    </row>
    <row r="44" customFormat="false" ht="21.75" hidden="false" customHeight="true" outlineLevel="0" collapsed="false">
      <c r="B44" s="8" t="s">
        <v>65</v>
      </c>
      <c r="C44" s="8" t="s">
        <v>362</v>
      </c>
      <c r="D44" s="8" t="s">
        <v>363</v>
      </c>
      <c r="E44" s="8" t="s">
        <v>364</v>
      </c>
    </row>
    <row r="45" customFormat="false" ht="31.5" hidden="false" customHeight="true" outlineLevel="0" collapsed="false">
      <c r="B45" s="37" t="s">
        <v>365</v>
      </c>
      <c r="C45" s="38" t="s">
        <v>366</v>
      </c>
      <c r="D45" s="38" t="s">
        <v>367</v>
      </c>
      <c r="E45" s="7" t="s">
        <v>368</v>
      </c>
    </row>
    <row r="46" customFormat="false" ht="31.5" hidden="false" customHeight="true" outlineLevel="0" collapsed="false">
      <c r="B46" s="37" t="s">
        <v>369</v>
      </c>
      <c r="C46" s="38" t="s">
        <v>370</v>
      </c>
      <c r="D46" s="38" t="s">
        <v>265</v>
      </c>
      <c r="E46" s="7" t="s">
        <v>371</v>
      </c>
    </row>
    <row r="47" customFormat="false" ht="31.5" hidden="false" customHeight="true" outlineLevel="0" collapsed="false">
      <c r="B47" s="37" t="s">
        <v>372</v>
      </c>
      <c r="C47" s="38" t="s">
        <v>373</v>
      </c>
      <c r="D47" s="38" t="s">
        <v>374</v>
      </c>
      <c r="E47" s="7" t="s">
        <v>375</v>
      </c>
    </row>
    <row r="48" customFormat="false" ht="31.5" hidden="false" customHeight="true" outlineLevel="0" collapsed="false">
      <c r="B48" s="37" t="s">
        <v>376</v>
      </c>
      <c r="C48" s="38" t="s">
        <v>377</v>
      </c>
      <c r="D48" s="38" t="s">
        <v>378</v>
      </c>
      <c r="E48" s="7" t="s">
        <v>379</v>
      </c>
    </row>
    <row r="49" customFormat="false" ht="31.5" hidden="false" customHeight="true" outlineLevel="0" collapsed="false">
      <c r="B49" s="37" t="s">
        <v>380</v>
      </c>
      <c r="C49" s="38" t="s">
        <v>381</v>
      </c>
      <c r="D49" s="38" t="s">
        <v>382</v>
      </c>
      <c r="E49" s="7" t="s">
        <v>383</v>
      </c>
    </row>
    <row r="50" customFormat="false" ht="31.5" hidden="false" customHeight="true" outlineLevel="0" collapsed="false">
      <c r="B50" s="37" t="s">
        <v>384</v>
      </c>
      <c r="C50" s="38" t="s">
        <v>385</v>
      </c>
      <c r="D50" s="38" t="s">
        <v>265</v>
      </c>
      <c r="E50" s="7" t="s">
        <v>386</v>
      </c>
    </row>
    <row r="51" customFormat="false" ht="15" hidden="false" customHeight="true" outlineLevel="0" collapsed="false">
      <c r="B51" s="14" t="s">
        <v>387</v>
      </c>
      <c r="C51" s="14"/>
      <c r="D51" s="14"/>
      <c r="E51" s="14"/>
    </row>
  </sheetData>
  <mergeCells count="9">
    <mergeCell ref="B1:E1"/>
    <mergeCell ref="B2:E2"/>
    <mergeCell ref="B4:E4"/>
    <mergeCell ref="B11:E11"/>
    <mergeCell ref="B18:E18"/>
    <mergeCell ref="B28:E28"/>
    <mergeCell ref="B35:E35"/>
    <mergeCell ref="B43:E43"/>
    <mergeCell ref="B51:E5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388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389</v>
      </c>
      <c r="C2" s="2"/>
      <c r="D2" s="2"/>
      <c r="E2" s="2"/>
      <c r="F2" s="2"/>
    </row>
    <row r="4" customFormat="false" ht="21.75" hidden="false" customHeight="true" outlineLevel="0" collapsed="false">
      <c r="B4" s="29" t="s">
        <v>172</v>
      </c>
      <c r="C4" s="29" t="s">
        <v>390</v>
      </c>
      <c r="D4" s="29" t="s">
        <v>65</v>
      </c>
      <c r="E4" s="29" t="s">
        <v>68</v>
      </c>
      <c r="F4" s="29" t="s">
        <v>187</v>
      </c>
    </row>
    <row r="5" customFormat="false" ht="31.5" hidden="false" customHeight="true" outlineLevel="0" collapsed="false">
      <c r="B5" s="33" t="n">
        <v>1</v>
      </c>
      <c r="C5" s="6" t="s">
        <v>391</v>
      </c>
      <c r="D5" s="7" t="s">
        <v>392</v>
      </c>
      <c r="E5" s="12"/>
      <c r="F5" s="5"/>
    </row>
    <row r="6" customFormat="false" ht="31.5" hidden="false" customHeight="true" outlineLevel="0" collapsed="false">
      <c r="B6" s="33" t="n">
        <v>2</v>
      </c>
      <c r="C6" s="6" t="s">
        <v>391</v>
      </c>
      <c r="D6" s="7" t="s">
        <v>393</v>
      </c>
      <c r="E6" s="12"/>
      <c r="F6" s="5"/>
    </row>
    <row r="7" customFormat="false" ht="31.5" hidden="false" customHeight="true" outlineLevel="0" collapsed="false">
      <c r="B7" s="33" t="n">
        <v>3</v>
      </c>
      <c r="C7" s="6" t="s">
        <v>391</v>
      </c>
      <c r="D7" s="7" t="s">
        <v>394</v>
      </c>
      <c r="E7" s="12"/>
      <c r="F7" s="5"/>
    </row>
    <row r="8" customFormat="false" ht="31.5" hidden="false" customHeight="true" outlineLevel="0" collapsed="false">
      <c r="B8" s="33" t="n">
        <v>4</v>
      </c>
      <c r="C8" s="6" t="s">
        <v>391</v>
      </c>
      <c r="D8" s="7" t="s">
        <v>395</v>
      </c>
      <c r="E8" s="12"/>
      <c r="F8" s="5"/>
    </row>
    <row r="9" customFormat="false" ht="31.5" hidden="false" customHeight="true" outlineLevel="0" collapsed="false">
      <c r="B9" s="33" t="n">
        <v>5</v>
      </c>
      <c r="C9" s="6" t="s">
        <v>396</v>
      </c>
      <c r="D9" s="7" t="s">
        <v>397</v>
      </c>
      <c r="E9" s="12"/>
      <c r="F9" s="5"/>
    </row>
    <row r="10" customFormat="false" ht="31.5" hidden="false" customHeight="true" outlineLevel="0" collapsed="false">
      <c r="B10" s="33" t="n">
        <v>6</v>
      </c>
      <c r="C10" s="6" t="s">
        <v>396</v>
      </c>
      <c r="D10" s="7" t="s">
        <v>398</v>
      </c>
      <c r="E10" s="12"/>
      <c r="F10" s="5"/>
    </row>
    <row r="11" customFormat="false" ht="31.5" hidden="false" customHeight="true" outlineLevel="0" collapsed="false">
      <c r="B11" s="33" t="n">
        <v>7</v>
      </c>
      <c r="C11" s="6" t="s">
        <v>399</v>
      </c>
      <c r="D11" s="7" t="s">
        <v>400</v>
      </c>
      <c r="E11" s="12"/>
      <c r="F11" s="5"/>
    </row>
    <row r="12" customFormat="false" ht="31.5" hidden="false" customHeight="true" outlineLevel="0" collapsed="false">
      <c r="B12" s="33" t="n">
        <v>8</v>
      </c>
      <c r="C12" s="6" t="s">
        <v>396</v>
      </c>
      <c r="D12" s="7" t="s">
        <v>401</v>
      </c>
      <c r="E12" s="12"/>
      <c r="F12" s="5"/>
    </row>
    <row r="13" customFormat="false" ht="31.5" hidden="false" customHeight="true" outlineLevel="0" collapsed="false">
      <c r="B13" s="33" t="n">
        <v>9</v>
      </c>
      <c r="C13" s="6" t="s">
        <v>174</v>
      </c>
      <c r="D13" s="7" t="s">
        <v>402</v>
      </c>
      <c r="E13" s="12"/>
      <c r="F13" s="5"/>
    </row>
    <row r="14" customFormat="false" ht="19.5" hidden="false" customHeight="true" outlineLevel="0" collapsed="false">
      <c r="B14" s="33" t="n">
        <v>10</v>
      </c>
      <c r="C14" s="6" t="s">
        <v>403</v>
      </c>
      <c r="D14" s="7" t="s">
        <v>404</v>
      </c>
      <c r="E14" s="12"/>
      <c r="F14" s="5"/>
    </row>
    <row r="15" customFormat="false" ht="31.5" hidden="false" customHeight="true" outlineLevel="0" collapsed="false">
      <c r="B15" s="33" t="n">
        <v>11</v>
      </c>
      <c r="C15" s="6" t="s">
        <v>399</v>
      </c>
      <c r="D15" s="7" t="s">
        <v>405</v>
      </c>
      <c r="E15" s="12"/>
      <c r="F15" s="5"/>
    </row>
    <row r="16" customFormat="false" ht="31.5" hidden="false" customHeight="true" outlineLevel="0" collapsed="false">
      <c r="B16" s="33" t="n">
        <v>12</v>
      </c>
      <c r="C16" s="6" t="s">
        <v>406</v>
      </c>
      <c r="D16" s="7" t="s">
        <v>407</v>
      </c>
      <c r="E16" s="12"/>
      <c r="F16" s="5"/>
    </row>
    <row r="18" customFormat="false" ht="19.5" hidden="false" customHeight="true" outlineLevel="0" collapsed="false">
      <c r="B18" s="26" t="s">
        <v>408</v>
      </c>
      <c r="C18" s="26"/>
      <c r="D18" s="26"/>
      <c r="E18" s="8" t="n">
        <f aca="false">COUNTA(E5:E16)</f>
        <v>0</v>
      </c>
    </row>
    <row r="19" customFormat="false" ht="19.5" hidden="false" customHeight="true" outlineLevel="0" collapsed="false">
      <c r="B19" s="26" t="s">
        <v>409</v>
      </c>
      <c r="C19" s="26"/>
      <c r="D19" s="26"/>
      <c r="E19" s="39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6" t="s">
        <v>68</v>
      </c>
      <c r="C20" s="26"/>
      <c r="D20" s="26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6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410</v>
      </c>
      <c r="C2" s="2"/>
      <c r="D2" s="2"/>
      <c r="E2" s="2"/>
      <c r="F2" s="2"/>
    </row>
    <row r="4" customFormat="false" ht="19.5" hidden="false" customHeight="true" outlineLevel="0" collapsed="false">
      <c r="B4" s="4" t="s">
        <v>60</v>
      </c>
      <c r="C4" s="40" t="s">
        <v>411</v>
      </c>
      <c r="D4" s="40"/>
      <c r="E4" s="40"/>
      <c r="F4" s="40"/>
    </row>
    <row r="5" customFormat="false" ht="19.5" hidden="false" customHeight="true" outlineLevel="0" collapsed="false">
      <c r="B5" s="4" t="s">
        <v>61</v>
      </c>
      <c r="C5" s="40" t="s">
        <v>412</v>
      </c>
      <c r="D5" s="40"/>
      <c r="E5" s="40"/>
      <c r="F5" s="40"/>
    </row>
    <row r="6" customFormat="false" ht="19.5" hidden="false" customHeight="true" outlineLevel="0" collapsed="false">
      <c r="B6" s="4" t="s">
        <v>62</v>
      </c>
      <c r="C6" s="41" t="n">
        <v>46299</v>
      </c>
      <c r="D6" s="41"/>
      <c r="E6" s="41"/>
      <c r="F6" s="41"/>
    </row>
    <row r="7" customFormat="false" ht="19.5" hidden="false" customHeight="true" outlineLevel="0" collapsed="false">
      <c r="B7" s="4" t="s">
        <v>63</v>
      </c>
      <c r="C7" s="40" t="s">
        <v>413</v>
      </c>
      <c r="D7" s="40"/>
      <c r="E7" s="40"/>
      <c r="F7" s="40"/>
    </row>
    <row r="9" customFormat="false" ht="21.75" hidden="false" customHeight="true" outlineLevel="0" collapsed="false">
      <c r="B9" s="10" t="s">
        <v>64</v>
      </c>
      <c r="C9" s="10"/>
      <c r="D9" s="10"/>
      <c r="E9" s="10"/>
      <c r="F9" s="10"/>
    </row>
    <row r="10" customFormat="false" ht="18" hidden="false" customHeight="true" outlineLevel="0" collapsed="false">
      <c r="B10" s="11" t="s">
        <v>65</v>
      </c>
      <c r="C10" s="11" t="s">
        <v>66</v>
      </c>
      <c r="D10" s="11" t="s">
        <v>67</v>
      </c>
      <c r="E10" s="11" t="s">
        <v>68</v>
      </c>
      <c r="F10" s="11" t="s">
        <v>69</v>
      </c>
    </row>
    <row r="11" customFormat="false" ht="21.75" hidden="false" customHeight="true" outlineLevel="0" collapsed="false">
      <c r="B11" s="4" t="s">
        <v>70</v>
      </c>
      <c r="C11" s="42" t="n">
        <v>6</v>
      </c>
      <c r="D11" s="13" t="s">
        <v>71</v>
      </c>
      <c r="E11" s="14" t="s">
        <v>72</v>
      </c>
      <c r="F11" s="14"/>
    </row>
    <row r="12" customFormat="false" ht="21.75" hidden="false" customHeight="true" outlineLevel="0" collapsed="false">
      <c r="B12" s="4" t="s">
        <v>73</v>
      </c>
      <c r="C12" s="42" t="n">
        <v>8</v>
      </c>
      <c r="D12" s="13" t="s">
        <v>71</v>
      </c>
      <c r="E12" s="14" t="s">
        <v>74</v>
      </c>
      <c r="F12" s="14"/>
    </row>
    <row r="13" customFormat="false" ht="21.75" hidden="false" customHeight="true" outlineLevel="0" collapsed="false">
      <c r="B13" s="4" t="s">
        <v>75</v>
      </c>
      <c r="C13" s="42" t="n">
        <v>2</v>
      </c>
      <c r="D13" s="13" t="s">
        <v>71</v>
      </c>
      <c r="E13" s="14" t="s">
        <v>76</v>
      </c>
      <c r="F13" s="14"/>
    </row>
    <row r="14" customFormat="false" ht="21.75" hidden="false" customHeight="true" outlineLevel="0" collapsed="false">
      <c r="B14" s="4" t="s">
        <v>77</v>
      </c>
      <c r="C14" s="42" t="n">
        <v>15</v>
      </c>
      <c r="D14" s="13" t="s">
        <v>78</v>
      </c>
      <c r="E14" s="14" t="s">
        <v>79</v>
      </c>
      <c r="F14" s="14"/>
    </row>
    <row r="15" customFormat="false" ht="21.75" hidden="false" customHeight="true" outlineLevel="0" collapsed="false">
      <c r="B15" s="4" t="s">
        <v>80</v>
      </c>
      <c r="C15" s="42" t="n">
        <v>200</v>
      </c>
      <c r="D15" s="13" t="s">
        <v>81</v>
      </c>
      <c r="E15" s="14" t="s">
        <v>82</v>
      </c>
      <c r="F15" s="14"/>
    </row>
    <row r="16" customFormat="false" ht="21.75" hidden="false" customHeight="true" outlineLevel="0" collapsed="false">
      <c r="B16" s="4" t="s">
        <v>83</v>
      </c>
      <c r="C16" s="42" t="n">
        <v>150</v>
      </c>
      <c r="D16" s="13" t="s">
        <v>81</v>
      </c>
      <c r="E16" s="14"/>
      <c r="F16" s="14"/>
    </row>
    <row r="17" customFormat="false" ht="31.5" hidden="false" customHeight="true" outlineLevel="0" collapsed="false">
      <c r="B17" s="4" t="s">
        <v>84</v>
      </c>
      <c r="C17" s="43" t="n">
        <v>0.8</v>
      </c>
      <c r="D17" s="13" t="s">
        <v>85</v>
      </c>
      <c r="E17" s="14" t="s">
        <v>86</v>
      </c>
      <c r="F17" s="14"/>
    </row>
    <row r="18" customFormat="false" ht="21.75" hidden="false" customHeight="true" outlineLevel="0" collapsed="false">
      <c r="B18" s="10" t="s">
        <v>87</v>
      </c>
      <c r="C18" s="10"/>
      <c r="D18" s="10"/>
      <c r="E18" s="10"/>
      <c r="F18" s="10"/>
    </row>
    <row r="19" customFormat="false" ht="18" hidden="false" customHeight="true" outlineLevel="0" collapsed="false">
      <c r="B19" s="11" t="s">
        <v>65</v>
      </c>
      <c r="C19" s="11" t="s">
        <v>66</v>
      </c>
      <c r="D19" s="11" t="s">
        <v>67</v>
      </c>
      <c r="E19" s="11" t="s">
        <v>68</v>
      </c>
      <c r="F19" s="11" t="s">
        <v>69</v>
      </c>
    </row>
    <row r="20" customFormat="false" ht="21.75" hidden="false" customHeight="true" outlineLevel="0" collapsed="false">
      <c r="B20" s="4" t="s">
        <v>88</v>
      </c>
      <c r="C20" s="42" t="s">
        <v>414</v>
      </c>
      <c r="D20" s="13"/>
      <c r="E20" s="14" t="s">
        <v>89</v>
      </c>
      <c r="F20" s="14"/>
    </row>
    <row r="21" customFormat="false" ht="21.75" hidden="false" customHeight="true" outlineLevel="0" collapsed="false">
      <c r="B21" s="4" t="s">
        <v>90</v>
      </c>
      <c r="C21" s="44" t="n">
        <v>14</v>
      </c>
      <c r="D21" s="13" t="s">
        <v>91</v>
      </c>
      <c r="E21" s="14"/>
      <c r="F21" s="14"/>
    </row>
    <row r="22" customFormat="false" ht="21.75" hidden="false" customHeight="true" outlineLevel="0" collapsed="false">
      <c r="B22" s="4" t="s">
        <v>92</v>
      </c>
      <c r="C22" s="44" t="n">
        <v>5</v>
      </c>
      <c r="D22" s="13" t="s">
        <v>91</v>
      </c>
      <c r="E22" s="14"/>
      <c r="F22" s="14"/>
    </row>
    <row r="23" customFormat="false" ht="21.75" hidden="false" customHeight="true" outlineLevel="0" collapsed="false">
      <c r="B23" s="4" t="s">
        <v>93</v>
      </c>
      <c r="C23" s="42" t="s">
        <v>415</v>
      </c>
      <c r="D23" s="13"/>
      <c r="E23" s="14" t="s">
        <v>94</v>
      </c>
      <c r="F23" s="14"/>
    </row>
    <row r="24" customFormat="false" ht="21.75" hidden="false" customHeight="true" outlineLevel="0" collapsed="false">
      <c r="B24" s="4" t="s">
        <v>95</v>
      </c>
      <c r="C24" s="45" t="n">
        <v>4.2</v>
      </c>
      <c r="D24" s="13" t="s">
        <v>91</v>
      </c>
      <c r="E24" s="14"/>
      <c r="F24" s="14"/>
    </row>
    <row r="25" customFormat="false" ht="21.75" hidden="false" customHeight="true" outlineLevel="0" collapsed="false">
      <c r="B25" s="4" t="s">
        <v>96</v>
      </c>
      <c r="C25" s="18" t="n">
        <f aca="false">IF(C24="","",C24*IF(C23="16x10",0.625,IF(C23="4x3",0.75,0.5625)))</f>
        <v>2.3625</v>
      </c>
      <c r="D25" s="13" t="s">
        <v>91</v>
      </c>
      <c r="E25" s="14"/>
      <c r="F25" s="14"/>
    </row>
    <row r="26" customFormat="false" ht="21.75" hidden="false" customHeight="true" outlineLevel="0" collapsed="false">
      <c r="B26" s="4" t="s">
        <v>97</v>
      </c>
      <c r="C26" s="18" t="n">
        <f aca="false">IF(C25="","",C24*C25)</f>
        <v>9.9225</v>
      </c>
      <c r="D26" s="13" t="s">
        <v>98</v>
      </c>
      <c r="E26" s="14"/>
      <c r="F26" s="14"/>
    </row>
    <row r="27" customFormat="false" ht="21.75" hidden="false" customHeight="true" outlineLevel="0" collapsed="false">
      <c r="B27" s="4" t="s">
        <v>99</v>
      </c>
      <c r="C27" s="18" t="n">
        <f aca="false">IF(C21="","",C21/IF(C20="Só vídeo",$C$12,$C$11))</f>
        <v>2.33333333333333</v>
      </c>
      <c r="D27" s="13" t="s">
        <v>91</v>
      </c>
      <c r="E27" s="14"/>
      <c r="F27" s="14"/>
    </row>
    <row r="28" customFormat="false" ht="21.75" hidden="false" customHeight="true" outlineLevel="0" collapsed="false">
      <c r="B28" s="4" t="s">
        <v>100</v>
      </c>
      <c r="C28" s="18" t="n">
        <f aca="false">IF(C27="","",C27/IF(C23="16x10",0.625,IF(C23="4x3",0.75,0.5625)))</f>
        <v>4.14814814814815</v>
      </c>
      <c r="D28" s="13" t="s">
        <v>91</v>
      </c>
      <c r="E28" s="14" t="s">
        <v>101</v>
      </c>
      <c r="F28" s="14"/>
    </row>
    <row r="29" customFormat="false" ht="21.75" hidden="false" customHeight="true" outlineLevel="0" collapsed="false">
      <c r="B29" s="4" t="s">
        <v>102</v>
      </c>
      <c r="C29" s="19" t="n">
        <f aca="false">IF(OR(C21="",C25=""),"",C21/C25)</f>
        <v>5.92592592592593</v>
      </c>
      <c r="D29" s="13" t="s">
        <v>71</v>
      </c>
      <c r="E29" s="20" t="str">
        <f aca="false">IF(C29="","",IF(C29&lt;=IF(C20="Só vídeo",$C$12,$C$11),"OK","Imagem pequena"))</f>
        <v>OK</v>
      </c>
      <c r="F29" s="21" t="str">
        <f aca="false">IF(E29="","",IF(E29="OK","Manter","Aumente a imagem até a largura mínima, ou ponha telas de apoio para o fundo da sala"))</f>
        <v>Manter</v>
      </c>
    </row>
    <row r="30" customFormat="false" ht="21.75" hidden="false" customHeight="true" outlineLevel="0" collapsed="false">
      <c r="B30" s="4" t="s">
        <v>103</v>
      </c>
      <c r="C30" s="19" t="n">
        <f aca="false">IF(OR(C22="",C25=""),"",C22/C25)</f>
        <v>2.11640211640212</v>
      </c>
      <c r="D30" s="13" t="s">
        <v>71</v>
      </c>
      <c r="E30" s="20" t="str">
        <f aca="false">IF(C30="","",IF(C30&gt;=$C$13,"OK","Perto demais"))</f>
        <v>OK</v>
      </c>
      <c r="F30" s="21" t="str">
        <f aca="false">IF(E30="","",IF(E30="OK","Manter","Recue a primeira fila, ou reduza a imagem se ela passa do mínimo"))</f>
        <v>Manter</v>
      </c>
    </row>
    <row r="31" customFormat="false" ht="21.75" hidden="false" customHeight="true" outlineLevel="0" collapsed="false">
      <c r="B31" s="10" t="s">
        <v>104</v>
      </c>
      <c r="C31" s="10"/>
      <c r="D31" s="10"/>
      <c r="E31" s="10"/>
      <c r="F31" s="10"/>
    </row>
    <row r="32" customFormat="false" ht="18" hidden="false" customHeight="true" outlineLevel="0" collapsed="false">
      <c r="B32" s="11" t="s">
        <v>65</v>
      </c>
      <c r="C32" s="11" t="s">
        <v>66</v>
      </c>
      <c r="D32" s="11" t="s">
        <v>67</v>
      </c>
      <c r="E32" s="11" t="s">
        <v>68</v>
      </c>
      <c r="F32" s="11" t="s">
        <v>69</v>
      </c>
    </row>
    <row r="33" customFormat="false" ht="21.75" hidden="false" customHeight="true" outlineLevel="0" collapsed="false">
      <c r="B33" s="4" t="s">
        <v>105</v>
      </c>
      <c r="C33" s="46" t="n">
        <v>5000</v>
      </c>
      <c r="D33" s="13" t="s">
        <v>106</v>
      </c>
      <c r="E33" s="14" t="s">
        <v>107</v>
      </c>
      <c r="F33" s="14"/>
    </row>
    <row r="34" customFormat="false" ht="21.75" hidden="false" customHeight="true" outlineLevel="0" collapsed="false">
      <c r="B34" s="4" t="s">
        <v>108</v>
      </c>
      <c r="C34" s="45" t="n">
        <v>1.4</v>
      </c>
      <c r="D34" s="13"/>
      <c r="E34" s="14" t="s">
        <v>109</v>
      </c>
      <c r="F34" s="14"/>
    </row>
    <row r="35" customFormat="false" ht="21.75" hidden="false" customHeight="true" outlineLevel="0" collapsed="false">
      <c r="B35" s="4" t="s">
        <v>110</v>
      </c>
      <c r="C35" s="45" t="n">
        <v>2.2</v>
      </c>
      <c r="D35" s="13"/>
      <c r="E35" s="14" t="s">
        <v>111</v>
      </c>
      <c r="F35" s="14"/>
    </row>
    <row r="36" customFormat="false" ht="21.75" hidden="false" customHeight="true" outlineLevel="0" collapsed="false">
      <c r="B36" s="4" t="s">
        <v>112</v>
      </c>
      <c r="C36" s="45" t="n">
        <v>7.5</v>
      </c>
      <c r="D36" s="13" t="s">
        <v>91</v>
      </c>
      <c r="E36" s="14" t="s">
        <v>113</v>
      </c>
      <c r="F36" s="14"/>
    </row>
    <row r="37" customFormat="false" ht="21.75" hidden="false" customHeight="true" outlineLevel="0" collapsed="false">
      <c r="B37" s="4" t="s">
        <v>114</v>
      </c>
      <c r="C37" s="18" t="n">
        <f aca="false">IF(OR(C24="",C34=""),"",C24*C34)</f>
        <v>5.88</v>
      </c>
      <c r="D37" s="13" t="s">
        <v>91</v>
      </c>
      <c r="E37" s="14" t="s">
        <v>115</v>
      </c>
      <c r="F37" s="14"/>
    </row>
    <row r="38" customFormat="false" ht="21.75" hidden="false" customHeight="true" outlineLevel="0" collapsed="false">
      <c r="B38" s="4" t="s">
        <v>116</v>
      </c>
      <c r="C38" s="18" t="n">
        <f aca="false">IF(C37="","",C24*IF(C35="",C34,C35))</f>
        <v>9.24</v>
      </c>
      <c r="D38" s="13" t="s">
        <v>91</v>
      </c>
      <c r="E38" s="14" t="s">
        <v>117</v>
      </c>
      <c r="F38" s="14"/>
    </row>
    <row r="39" customFormat="false" ht="21.75" hidden="false" customHeight="true" outlineLevel="0" collapsed="false">
      <c r="B39" s="4" t="s">
        <v>118</v>
      </c>
      <c r="C39" s="18" t="n">
        <f aca="false">IF(OR(C36="",C34=""),"",C36/IF(C35="",C34,C35))</f>
        <v>3.40909090909091</v>
      </c>
      <c r="D39" s="13" t="s">
        <v>91</v>
      </c>
      <c r="E39" s="14" t="s">
        <v>119</v>
      </c>
      <c r="F39" s="14"/>
    </row>
    <row r="40" customFormat="false" ht="21.75" hidden="false" customHeight="true" outlineLevel="0" collapsed="false">
      <c r="B40" s="4" t="s">
        <v>116</v>
      </c>
      <c r="C40" s="18" t="n">
        <f aca="false">IF(C39="","",C36/C34)</f>
        <v>5.35714285714286</v>
      </c>
      <c r="D40" s="13" t="s">
        <v>91</v>
      </c>
      <c r="E40" s="14" t="s">
        <v>120</v>
      </c>
      <c r="F40" s="14"/>
    </row>
    <row r="41" customFormat="false" ht="21.75" hidden="false" customHeight="true" outlineLevel="0" collapsed="false">
      <c r="B41" s="4" t="s">
        <v>121</v>
      </c>
      <c r="C41" s="18" t="n">
        <f aca="false">IF(OR(C36="",C37=""),"",C36)</f>
        <v>7.5</v>
      </c>
      <c r="D41" s="13"/>
      <c r="E41" s="20" t="str">
        <f aca="false">IF(C41="","",IF(C36&lt;C37-0.005,"Perto demais",IF(C36&gt;C38+0.005,"Longe demais","OK")))</f>
        <v>OK</v>
      </c>
      <c r="F41" s="21" t="str">
        <f aca="false">IF(E41="","",IF(E41="OK","Dentro da faixa do zoom. Ajuste fino no zoom e no foco",IF(E41="Perto demais","A imagem não chega à largura: afaste o projetor ou use lente de throw ratio menor","A imagem passa da largura: aproxime o projetor ou use lente de throw ratio maior")))</f>
        <v>Dentro da faixa do zoom. Ajuste fino no zoom e no foco</v>
      </c>
    </row>
    <row r="42" customFormat="false" ht="21.75" hidden="false" customHeight="true" outlineLevel="0" collapsed="false">
      <c r="B42" s="10" t="s">
        <v>122</v>
      </c>
      <c r="C42" s="10"/>
      <c r="D42" s="10"/>
      <c r="E42" s="10"/>
      <c r="F42" s="10"/>
    </row>
    <row r="43" customFormat="false" ht="18" hidden="false" customHeight="true" outlineLevel="0" collapsed="false">
      <c r="B43" s="11" t="s">
        <v>65</v>
      </c>
      <c r="C43" s="11" t="s">
        <v>66</v>
      </c>
      <c r="D43" s="11" t="s">
        <v>67</v>
      </c>
      <c r="E43" s="11" t="s">
        <v>68</v>
      </c>
      <c r="F43" s="11" t="s">
        <v>69</v>
      </c>
    </row>
    <row r="44" customFormat="false" ht="21.75" hidden="false" customHeight="true" outlineLevel="0" collapsed="false">
      <c r="B44" s="4" t="s">
        <v>123</v>
      </c>
      <c r="C44" s="47" t="n">
        <v>25</v>
      </c>
      <c r="D44" s="13" t="s">
        <v>124</v>
      </c>
      <c r="E44" s="14" t="s">
        <v>125</v>
      </c>
      <c r="F44" s="14"/>
    </row>
    <row r="45" customFormat="false" ht="21.75" hidden="false" customHeight="true" outlineLevel="0" collapsed="false">
      <c r="B45" s="4" t="s">
        <v>126</v>
      </c>
      <c r="C45" s="24" t="n">
        <f aca="false">IF(OR(C33="",C26=""),"",C33*$C$17/C26)</f>
        <v>403.124212648022</v>
      </c>
      <c r="D45" s="13" t="s">
        <v>124</v>
      </c>
      <c r="E45" s="14" t="s">
        <v>127</v>
      </c>
      <c r="F45" s="14"/>
    </row>
    <row r="46" customFormat="false" ht="21.75" hidden="false" customHeight="true" outlineLevel="0" collapsed="false">
      <c r="B46" s="4" t="s">
        <v>128</v>
      </c>
      <c r="C46" s="19" t="n">
        <f aca="false">IF(OR(C45="",C44="",C44&lt;=0),"",(C45+C44)/C44)</f>
        <v>17.1249685059209</v>
      </c>
      <c r="D46" s="13" t="s">
        <v>78</v>
      </c>
      <c r="E46" s="20" t="str">
        <f aca="false">IF(C46="","",IF(C46&gt;=$C$14,"OK","Contraste baixo"))</f>
        <v>OK</v>
      </c>
      <c r="F46" s="21" t="str">
        <f aca="false">IF(E46="","",IF(C46&lt;7,"Imagem lavada. Tire luz da tela, reduza a imagem ou use mais lúmens",IF(E46="OK",IF(C46&gt;=50,"Bom também para vídeo com cenas escuras","Bom para letras e texto"),"No limite: só letra grande e em negrito. Tire luz da tela ou use mais lúmens")))</f>
        <v>Bom para letras e texto</v>
      </c>
    </row>
    <row r="47" customFormat="false" ht="21.75" hidden="false" customHeight="true" outlineLevel="0" collapsed="false">
      <c r="B47" s="4" t="s">
        <v>129</v>
      </c>
      <c r="C47" s="25" t="n">
        <f aca="false">IF(OR(C44="",C26=""),"",($C$14-1)*C44*C26/$C$17)</f>
        <v>4341.09375</v>
      </c>
      <c r="D47" s="13" t="s">
        <v>106</v>
      </c>
      <c r="E47" s="14" t="s">
        <v>130</v>
      </c>
      <c r="F47" s="14"/>
    </row>
    <row r="48" customFormat="false" ht="21.75" hidden="false" customHeight="true" outlineLevel="0" collapsed="false">
      <c r="B48" s="4" t="s">
        <v>131</v>
      </c>
      <c r="C48" s="24" t="n">
        <f aca="false">IF(C45="","",C45/($C$14-1))</f>
        <v>28.7945866177159</v>
      </c>
      <c r="D48" s="13" t="s">
        <v>124</v>
      </c>
      <c r="E48" s="14" t="s">
        <v>132</v>
      </c>
      <c r="F48" s="14"/>
    </row>
    <row r="49" customFormat="false" ht="21.75" hidden="false" customHeight="true" outlineLevel="0" collapsed="false">
      <c r="B49" s="10" t="s">
        <v>133</v>
      </c>
      <c r="C49" s="10"/>
      <c r="D49" s="10"/>
      <c r="E49" s="10"/>
      <c r="F49" s="10"/>
    </row>
    <row r="50" customFormat="false" ht="18" hidden="false" customHeight="true" outlineLevel="0" collapsed="false">
      <c r="B50" s="11" t="s">
        <v>65</v>
      </c>
      <c r="C50" s="11" t="s">
        <v>66</v>
      </c>
      <c r="D50" s="11" t="s">
        <v>67</v>
      </c>
      <c r="E50" s="11" t="s">
        <v>68</v>
      </c>
      <c r="F50" s="11" t="s">
        <v>69</v>
      </c>
    </row>
    <row r="51" customFormat="false" ht="21.75" hidden="false" customHeight="true" outlineLevel="0" collapsed="false">
      <c r="B51" s="4" t="s">
        <v>134</v>
      </c>
      <c r="C51" s="47" t="n">
        <v>1080</v>
      </c>
      <c r="D51" s="13" t="s">
        <v>135</v>
      </c>
      <c r="E51" s="14" t="s">
        <v>136</v>
      </c>
      <c r="F51" s="14"/>
    </row>
    <row r="52" customFormat="false" ht="21.75" hidden="false" customHeight="true" outlineLevel="0" collapsed="false">
      <c r="B52" s="4" t="s">
        <v>137</v>
      </c>
      <c r="C52" s="19" t="n">
        <f aca="false">IF(C21="","",C21/$C$15*100)</f>
        <v>7</v>
      </c>
      <c r="D52" s="13" t="s">
        <v>138</v>
      </c>
      <c r="E52" s="14"/>
      <c r="F52" s="14"/>
    </row>
    <row r="53" customFormat="false" ht="21.75" hidden="false" customHeight="true" outlineLevel="0" collapsed="false">
      <c r="B53" s="4" t="s">
        <v>139</v>
      </c>
      <c r="C53" s="19" t="n">
        <f aca="false">IF(C21="","",C21/$C$16*100)</f>
        <v>9.33333333333333</v>
      </c>
      <c r="D53" s="13" t="s">
        <v>138</v>
      </c>
      <c r="E53" s="14"/>
      <c r="F53" s="14"/>
    </row>
    <row r="54" customFormat="false" ht="31.5" hidden="false" customHeight="true" outlineLevel="0" collapsed="false">
      <c r="B54" s="4" t="s">
        <v>140</v>
      </c>
      <c r="C54" s="24" t="n">
        <f aca="false">IF(OR(C52="",C25="",C51=""),"",ROUND(C52/100/C25*C51,0))</f>
        <v>32</v>
      </c>
      <c r="D54" s="13" t="s">
        <v>135</v>
      </c>
      <c r="E54" s="14" t="s">
        <v>141</v>
      </c>
      <c r="F54" s="14"/>
    </row>
    <row r="55" customFormat="false" ht="21.75" hidden="false" customHeight="true" outlineLevel="0" collapsed="false">
      <c r="B55" s="4" t="s">
        <v>142</v>
      </c>
      <c r="C55" s="44" t="n">
        <v>13</v>
      </c>
      <c r="D55" s="13" t="s">
        <v>138</v>
      </c>
      <c r="E55" s="20" t="str">
        <f aca="false">IF(OR(C55="",C52=""),"",IF(C55&gt;=C53,"OK",IF(C55&gt;=C52,"No limite","Letra pequena")))</f>
        <v>OK</v>
      </c>
      <c r="F55" s="21" t="str">
        <f aca="false">IF(E55="","",IF(E55="OK","Manter",IF(E55="No limite","Lê-se com esforço: menos linhas e letra maior","Reduza as linhas por slide e aumente a letra")))</f>
        <v>Manter</v>
      </c>
    </row>
    <row r="56" customFormat="false" ht="21.75" hidden="false" customHeight="true" outlineLevel="0" collapsed="false">
      <c r="B56" s="10" t="s">
        <v>143</v>
      </c>
      <c r="C56" s="10"/>
      <c r="D56" s="10"/>
      <c r="E56" s="10"/>
      <c r="F56" s="10"/>
    </row>
    <row r="57" customFormat="false" ht="18" hidden="false" customHeight="true" outlineLevel="0" collapsed="false">
      <c r="B57" s="11" t="s">
        <v>65</v>
      </c>
      <c r="C57" s="11" t="s">
        <v>66</v>
      </c>
      <c r="D57" s="11" t="s">
        <v>67</v>
      </c>
      <c r="E57" s="11" t="s">
        <v>68</v>
      </c>
      <c r="F57" s="11" t="s">
        <v>69</v>
      </c>
    </row>
    <row r="58" customFormat="false" ht="21.75" hidden="false" customHeight="true" outlineLevel="0" collapsed="false">
      <c r="B58" s="4" t="s">
        <v>144</v>
      </c>
      <c r="C58" s="44" t="n">
        <v>3.9</v>
      </c>
      <c r="D58" s="13" t="s">
        <v>145</v>
      </c>
      <c r="E58" s="14"/>
      <c r="F58" s="14"/>
    </row>
    <row r="59" customFormat="false" ht="21.75" hidden="false" customHeight="true" outlineLevel="0" collapsed="false">
      <c r="B59" s="4" t="s">
        <v>146</v>
      </c>
      <c r="C59" s="45" t="n">
        <v>4</v>
      </c>
      <c r="D59" s="13" t="s">
        <v>91</v>
      </c>
      <c r="E59" s="14"/>
      <c r="F59" s="14"/>
    </row>
    <row r="60" customFormat="false" ht="21.75" hidden="false" customHeight="true" outlineLevel="0" collapsed="false">
      <c r="B60" s="4" t="s">
        <v>147</v>
      </c>
      <c r="C60" s="45" t="n">
        <v>2.5</v>
      </c>
      <c r="D60" s="13" t="s">
        <v>91</v>
      </c>
      <c r="E60" s="14"/>
      <c r="F60" s="14"/>
    </row>
    <row r="61" customFormat="false" ht="21.75" hidden="false" customHeight="true" outlineLevel="0" collapsed="false">
      <c r="B61" s="4" t="s">
        <v>148</v>
      </c>
      <c r="C61" s="8" t="str">
        <f aca="false">IF(OR(C58="",C59="",C60=""),"",ROUND(C59*1000/C58,0)&amp;" × "&amp;ROUND(C60*1000/C58,0))</f>
        <v>1026 × 641</v>
      </c>
      <c r="D61" s="13" t="s">
        <v>149</v>
      </c>
      <c r="E61" s="14" t="s">
        <v>150</v>
      </c>
      <c r="F61" s="14"/>
    </row>
    <row r="62" customFormat="false" ht="21.75" hidden="false" customHeight="true" outlineLevel="0" collapsed="false">
      <c r="B62" s="4" t="s">
        <v>151</v>
      </c>
      <c r="C62" s="19" t="n">
        <f aca="false">IF(C58="","",C58*1)</f>
        <v>3.9</v>
      </c>
      <c r="D62" s="13" t="s">
        <v>91</v>
      </c>
      <c r="E62" s="20" t="str">
        <f aca="false">IF(OR(C62="",C22=""),"",IF(C22&gt;=C62,"OK","Perto demais"))</f>
        <v>OK</v>
      </c>
      <c r="F62" s="21" t="str">
        <f aca="false">IF(E62="","",IF(E62="OK",IF(C22&gt;=2*C62,"Imagem lisa desde a primeira fila","Aceitável. De perto, a grade dos pontos ainda aparece um pouco"),"A primeira fila vê os pontos: recue a fila ou use pitch menor"))</f>
        <v>Aceitável. De perto, a grade dos pontos ainda aparece um pouco</v>
      </c>
    </row>
    <row r="63" customFormat="false" ht="21.75" hidden="false" customHeight="true" outlineLevel="0" collapsed="false">
      <c r="B63" s="4" t="s">
        <v>152</v>
      </c>
      <c r="C63" s="19" t="n">
        <f aca="false">IF(OR(C60="",C21=""),"",C21/C60)</f>
        <v>5.6</v>
      </c>
      <c r="D63" s="13" t="s">
        <v>71</v>
      </c>
      <c r="E63" s="20" t="str">
        <f aca="false">IF(C63="","",IF(C63&lt;=IF(C20="Só vídeo",$C$12,$C$11),"OK","Imagem pequena"))</f>
        <v>OK</v>
      </c>
      <c r="F63" s="21" t="str">
        <f aca="false">IF(E63="","",IF(E63="OK","Manter","Painel baixo para a distância: aumente a altura ou ponha telas de apoio"))</f>
        <v>Manter</v>
      </c>
    </row>
    <row r="64" customFormat="false" ht="21.75" hidden="false" customHeight="true" outlineLevel="0" collapsed="false">
      <c r="B64" s="4" t="s">
        <v>153</v>
      </c>
      <c r="C64" s="47"/>
      <c r="D64" s="13" t="s">
        <v>154</v>
      </c>
      <c r="E64" s="14" t="s">
        <v>155</v>
      </c>
      <c r="F64" s="14"/>
    </row>
    <row r="65" customFormat="false" ht="21.75" hidden="false" customHeight="true" outlineLevel="0" collapsed="false">
      <c r="B65" s="4" t="s">
        <v>156</v>
      </c>
      <c r="C65" s="18" t="str">
        <f aca="false">IF(C64="","",C64*0.0254*IF(C23="16x10",0.848,IF(C23="4x3",0.8,0.8716)))</f>
        <v/>
      </c>
      <c r="D65" s="13" t="s">
        <v>91</v>
      </c>
      <c r="E65" s="14"/>
      <c r="F65" s="14"/>
    </row>
    <row r="66" customFormat="false" ht="21.75" hidden="false" customHeight="true" outlineLevel="0" collapsed="false">
      <c r="B66" s="4" t="s">
        <v>157</v>
      </c>
      <c r="C66" s="18" t="str">
        <f aca="false">IF(C64="","",C64*0.0254*IF(C23="16x10",0.53,IF(C23="4x3",0.6,0.4903)))</f>
        <v/>
      </c>
      <c r="D66" s="13" t="s">
        <v>91</v>
      </c>
      <c r="E66" s="14"/>
      <c r="F66" s="14"/>
    </row>
    <row r="67" customFormat="false" ht="21.75" hidden="false" customHeight="true" outlineLevel="0" collapsed="false">
      <c r="B67" s="4" t="s">
        <v>158</v>
      </c>
      <c r="C67" s="19" t="str">
        <f aca="false">IF(OR(C66="",C21=""),"",C21/C66)</f>
        <v/>
      </c>
      <c r="D67" s="13" t="s">
        <v>71</v>
      </c>
      <c r="E67" s="20" t="str">
        <f aca="false">IF(C67="","",IF(C67&lt;=IF(C20="Só vídeo",$C$12,$C$11),"OK","Imagem pequena"))</f>
        <v/>
      </c>
      <c r="F67" s="21" t="str">
        <f aca="false">IF(E67="","",IF(E67="OK","Manter","TV pequena para esta distância: use TV maior, projetor ou TVs de apoio"))</f>
        <v/>
      </c>
    </row>
    <row r="69" customFormat="false" ht="21.75" hidden="false" customHeight="true" outlineLevel="0" collapsed="false">
      <c r="B69" s="10" t="s">
        <v>159</v>
      </c>
      <c r="C69" s="10"/>
      <c r="D69" s="10"/>
      <c r="E69" s="10"/>
      <c r="F69" s="10"/>
    </row>
    <row r="70" customFormat="false" ht="19.5" hidden="false" customHeight="true" outlineLevel="0" collapsed="false">
      <c r="B70" s="26" t="s">
        <v>160</v>
      </c>
      <c r="C70" s="8" t="n">
        <f aca="false">IF(E29&lt;&gt;"",1,0)+IF(E30&lt;&gt;"",1,0)+IF(E41&lt;&gt;"",1,0)+IF(E46&lt;&gt;"",1,0)+IF(E55&lt;&gt;"",1,0)+IF(E62&lt;&gt;"",1,0)+IF(E63&lt;&gt;"",1,0)+IF(E67&lt;&gt;"",1,0)</f>
        <v>7</v>
      </c>
    </row>
    <row r="71" customFormat="false" ht="19.5" hidden="false" customHeight="true" outlineLevel="0" collapsed="false">
      <c r="B71" s="26" t="s">
        <v>161</v>
      </c>
      <c r="C71" s="8" t="n">
        <f aca="false">IF(AND(E29&lt;&gt;"",E29&lt;&gt;"OK"),1,0)+IF(AND(E30&lt;&gt;"",E30&lt;&gt;"OK"),1,0)+IF(AND(E41&lt;&gt;"",E41&lt;&gt;"OK"),1,0)+IF(AND(E46&lt;&gt;"",E46&lt;&gt;"OK"),1,0)+IF(AND(E55&lt;&gt;"",E55&lt;&gt;"OK"),1,0)+IF(AND(E62&lt;&gt;"",E62&lt;&gt;"OK"),1,0)+IF(AND(E63&lt;&gt;"",E63&lt;&gt;"OK"),1,0)+IF(AND(E67&lt;&gt;"",E67&lt;&gt;"OK"),1,0)</f>
        <v>0</v>
      </c>
    </row>
    <row r="72" customFormat="false" ht="21.75" hidden="false" customHeight="true" outlineLevel="0" collapsed="false">
      <c r="B72" s="26" t="s">
        <v>162</v>
      </c>
      <c r="C72" s="27" t="str">
        <f aca="false">IF(C21="","Informe a distância do último espectador",IF(C70=0,"Preencha a imagem, o projetor, o painel ou a TV",IF(C71&gt;0,"Há pontos a corrigir: veja a coluna Situação","OK")))</f>
        <v>OK</v>
      </c>
      <c r="D72" s="27"/>
      <c r="E72" s="27"/>
      <c r="F72" s="27"/>
    </row>
    <row r="73" customFormat="false" ht="15" hidden="false" customHeight="true" outlineLevel="0" collapsed="false">
      <c r="B73" s="14" t="s">
        <v>163</v>
      </c>
      <c r="C73" s="14"/>
      <c r="D73" s="14"/>
      <c r="E73" s="14"/>
      <c r="F73" s="14"/>
    </row>
    <row r="75" customFormat="false" ht="21.75" hidden="false" customHeight="true" outlineLevel="0" collapsed="false">
      <c r="B75" s="10" t="s">
        <v>416</v>
      </c>
      <c r="C75" s="10"/>
      <c r="D75" s="10"/>
      <c r="E75" s="10"/>
      <c r="F75" s="10"/>
    </row>
    <row r="76" customFormat="false" ht="15" hidden="false" customHeight="true" outlineLevel="0" collapsed="false">
      <c r="B76" s="8" t="s">
        <v>68</v>
      </c>
      <c r="C76" s="20" t="s">
        <v>396</v>
      </c>
      <c r="D76" s="20"/>
      <c r="E76" s="8" t="s">
        <v>417</v>
      </c>
      <c r="F76" s="8" t="s">
        <v>418</v>
      </c>
    </row>
    <row r="77" customFormat="false" ht="31.5" hidden="false" customHeight="true" outlineLevel="0" collapsed="false">
      <c r="B77" s="4" t="s">
        <v>419</v>
      </c>
      <c r="C77" s="7" t="s">
        <v>420</v>
      </c>
      <c r="D77" s="7"/>
      <c r="E77" s="38" t="s">
        <v>421</v>
      </c>
      <c r="F77" s="7" t="s">
        <v>422</v>
      </c>
    </row>
    <row r="78" customFormat="false" ht="31.5" hidden="false" customHeight="true" outlineLevel="0" collapsed="false">
      <c r="B78" s="4" t="s">
        <v>423</v>
      </c>
      <c r="C78" s="7" t="s">
        <v>424</v>
      </c>
      <c r="D78" s="7"/>
      <c r="E78" s="38" t="s">
        <v>421</v>
      </c>
      <c r="F78" s="7" t="s">
        <v>425</v>
      </c>
    </row>
    <row r="79" customFormat="false" ht="31.5" hidden="false" customHeight="true" outlineLevel="0" collapsed="false">
      <c r="B79" s="4" t="s">
        <v>426</v>
      </c>
      <c r="C79" s="7" t="s">
        <v>424</v>
      </c>
      <c r="D79" s="7"/>
      <c r="E79" s="38" t="s">
        <v>427</v>
      </c>
      <c r="F79" s="7" t="s">
        <v>428</v>
      </c>
    </row>
    <row r="80" customFormat="false" ht="31.5" hidden="false" customHeight="true" outlineLevel="0" collapsed="false">
      <c r="B80" s="4" t="s">
        <v>429</v>
      </c>
      <c r="C80" s="7" t="s">
        <v>430</v>
      </c>
      <c r="D80" s="7"/>
      <c r="E80" s="38" t="s">
        <v>265</v>
      </c>
      <c r="F80" s="7" t="s">
        <v>431</v>
      </c>
    </row>
  </sheetData>
  <mergeCells count="60">
    <mergeCell ref="B1:F1"/>
    <mergeCell ref="B2:F2"/>
    <mergeCell ref="C4:F4"/>
    <mergeCell ref="C5:F5"/>
    <mergeCell ref="C6:F6"/>
    <mergeCell ref="C7:F7"/>
    <mergeCell ref="B9:F9"/>
    <mergeCell ref="E11:F11"/>
    <mergeCell ref="E12:F12"/>
    <mergeCell ref="E13:F13"/>
    <mergeCell ref="E14:F14"/>
    <mergeCell ref="E15:F15"/>
    <mergeCell ref="E16:F16"/>
    <mergeCell ref="E17:F17"/>
    <mergeCell ref="B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B31:F31"/>
    <mergeCell ref="E33:F33"/>
    <mergeCell ref="E34:F34"/>
    <mergeCell ref="E35:F35"/>
    <mergeCell ref="E36:F36"/>
    <mergeCell ref="E37:F37"/>
    <mergeCell ref="E38:F38"/>
    <mergeCell ref="E39:F39"/>
    <mergeCell ref="E40:F40"/>
    <mergeCell ref="B42:F42"/>
    <mergeCell ref="E44:F44"/>
    <mergeCell ref="E45:F45"/>
    <mergeCell ref="E47:F47"/>
    <mergeCell ref="E48:F48"/>
    <mergeCell ref="B49:F49"/>
    <mergeCell ref="E51:F51"/>
    <mergeCell ref="E52:F52"/>
    <mergeCell ref="E53:F53"/>
    <mergeCell ref="E54:F54"/>
    <mergeCell ref="B56:F56"/>
    <mergeCell ref="E58:F58"/>
    <mergeCell ref="E59:F59"/>
    <mergeCell ref="E60:F60"/>
    <mergeCell ref="E61:F61"/>
    <mergeCell ref="E64:F64"/>
    <mergeCell ref="E65:F65"/>
    <mergeCell ref="E66:F66"/>
    <mergeCell ref="B69:F69"/>
    <mergeCell ref="C72:F72"/>
    <mergeCell ref="B73:F73"/>
    <mergeCell ref="B75:F75"/>
    <mergeCell ref="C76:D76"/>
    <mergeCell ref="C77:D77"/>
    <mergeCell ref="C78:D78"/>
    <mergeCell ref="C79:D79"/>
    <mergeCell ref="C80:D80"/>
  </mergeCells>
  <conditionalFormatting sqref="E29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AND(LEN($E$29)&gt;0,$E$29&lt;&gt;"OK")</formula>
    </cfRule>
  </conditionalFormatting>
  <conditionalFormatting sqref="E30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AND(LEN($E$30)&gt;0,$E$30&lt;&gt;"OK")</formula>
    </cfRule>
  </conditionalFormatting>
  <conditionalFormatting sqref="E41">
    <cfRule type="cellIs" priority="6" operator="equal" aboveAverage="0" equalAverage="0" bottom="0" percent="0" rank="0" text="" dxfId="0">
      <formula>"OK"</formula>
    </cfRule>
    <cfRule type="expression" priority="7" aboveAverage="0" equalAverage="0" bottom="0" percent="0" rank="0" text="" dxfId="1">
      <formula>AND(LEN($E$41)&gt;0,$E$41&lt;&gt;"OK")</formula>
    </cfRule>
  </conditionalFormatting>
  <conditionalFormatting sqref="E46">
    <cfRule type="cellIs" priority="8" operator="equal" aboveAverage="0" equalAverage="0" bottom="0" percent="0" rank="0" text="" dxfId="0">
      <formula>"OK"</formula>
    </cfRule>
    <cfRule type="expression" priority="9" aboveAverage="0" equalAverage="0" bottom="0" percent="0" rank="0" text="" dxfId="1">
      <formula>AND(LEN($E$46)&gt;0,$E$46&lt;&gt;"OK")</formula>
    </cfRule>
  </conditionalFormatting>
  <conditionalFormatting sqref="E55">
    <cfRule type="cellIs" priority="10" operator="equal" aboveAverage="0" equalAverage="0" bottom="0" percent="0" rank="0" text="" dxfId="0">
      <formula>"OK"</formula>
    </cfRule>
    <cfRule type="expression" priority="11" aboveAverage="0" equalAverage="0" bottom="0" percent="0" rank="0" text="" dxfId="1">
      <formula>AND(LEN($E$55)&gt;0,$E$55&lt;&gt;"OK")</formula>
    </cfRule>
  </conditionalFormatting>
  <conditionalFormatting sqref="E62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AND(LEN($E$62)&gt;0,$E$62&lt;&gt;"OK")</formula>
    </cfRule>
  </conditionalFormatting>
  <conditionalFormatting sqref="E63">
    <cfRule type="cellIs" priority="14" operator="equal" aboveAverage="0" equalAverage="0" bottom="0" percent="0" rank="0" text="" dxfId="0">
      <formula>"OK"</formula>
    </cfRule>
    <cfRule type="expression" priority="15" aboveAverage="0" equalAverage="0" bottom="0" percent="0" rank="0" text="" dxfId="1">
      <formula>AND(LEN($E$63)&gt;0,$E$63&lt;&gt;"OK")</formula>
    </cfRule>
  </conditionalFormatting>
  <conditionalFormatting sqref="E67">
    <cfRule type="cellIs" priority="16" operator="equal" aboveAverage="0" equalAverage="0" bottom="0" percent="0" rank="0" text="" dxfId="0">
      <formula>"OK"</formula>
    </cfRule>
    <cfRule type="expression" priority="17" aboveAverage="0" equalAverage="0" bottom="0" percent="0" rank="0" text="" dxfId="1">
      <formula>AND(LEN($E$67)&gt;0,$E$67&lt;&gt;"OK")</formula>
    </cfRule>
  </conditionalFormatting>
  <conditionalFormatting sqref="C72:F72">
    <cfRule type="cellIs" priority="18" operator="equal" aboveAverage="0" equalAverage="0" bottom="0" percent="0" rank="0" text="" dxfId="0">
      <formula>"OK"</formula>
    </cfRule>
    <cfRule type="cellIs" priority="19" operator="notEqual" aboveAverage="0" equalAverage="0" bottom="0" percent="0" rank="0" text="" dxfId="1">
      <formula>"OK"</formula>
    </cfRule>
  </conditionalFormatting>
  <dataValidations count="24">
    <dataValidation allowBlank="true" error="Digite uma data no formato dia/mês/ano." errorStyle="stop" errorTitle="Data inválida" operator="greaterThanOrEqual" showDropDown="false" showErrorMessage="true" showInputMessage="false" sqref="C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1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2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7" type="decimal">
      <formula1>-1000000000</formula1>
      <formula2>1000000000</formula2>
    </dataValidation>
    <dataValidation allowBlank="true" error="Escolha uma das opções da lista." errorStyle="stop" errorTitle="Valor inválido" operator="between" prompt="Texto ou Só vídeo." promptTitle="Opções" showDropDown="false" showErrorMessage="true" showInputMessage="true" sqref="C20" type="list">
      <formula1>"Texto,Só vídeo"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2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22" type="decimal">
      <formula1>-1000000000</formula1>
      <formula2>1000000000</formula2>
    </dataValidation>
    <dataValidation allowBlank="true" error="Escolha uma das opções da lista." errorStyle="stop" errorTitle="Valor inválido" operator="between" prompt="16x9, 16x10 ou 4x3." promptTitle="Opções" showDropDown="false" showErrorMessage="true" showInputMessage="true" sqref="C23" type="list">
      <formula1>"16x9,16x10,4x3"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C2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3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4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5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6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6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2026-10-01T12:59:37Z</dcterms:created>
  <dc:creator>Estudos: Técnico em áudio e vídeo</dc:creator>
  <dc:description/>
  <dc:language>pt-BR</dc:language>
  <cp:lastModifiedBy/>
  <dcterms:modified xsi:type="dcterms:W3CDTF">2026-10-01T12:59:37Z</dcterms:modified>
  <cp:revision>0</cp:revision>
  <dc:subject/>
  <dc:title>Projeção, telão e mídia — modelo de apoio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