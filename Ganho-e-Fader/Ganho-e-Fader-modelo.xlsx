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Ganho por canal" sheetId="2" state="visible" r:id="rId4"/>
    <sheet name="Cadeia de ganho" sheetId="3" state="visible" r:id="rId5"/>
    <sheet name="Referência" sheetId="4" state="visible" r:id="rId6"/>
    <sheet name="Checklist" sheetId="5" state="visible" r:id="rId7"/>
    <sheet name="Exemplo - Ganho" sheetId="6" state="visible" r:id="rId8"/>
    <sheet name="Exemplo - Cadeia" sheetId="7" state="visible" r:id="rId9"/>
  </sheets>
  <definedNames>
    <definedName function="false" hidden="false" localSheetId="2" name="_xlnm.Print_Area" vbProcedure="false">'Cadeia de ganho'!$B$1:$K$25</definedName>
    <definedName function="false" hidden="false" localSheetId="4" name="_xlnm.Print_Area" vbProcedure="false">Checklist!$B$1:$F$20</definedName>
    <definedName function="false" hidden="false" localSheetId="6" name="_xlnm.Print_Area" vbProcedure="false">'Exemplo - Cadeia'!$B$1:$K$32</definedName>
    <definedName function="false" hidden="false" localSheetId="5" name="_xlnm.Print_Area" vbProcedure="false">'Exemplo - Ganho'!$B$1:$P$55</definedName>
    <definedName function="false" hidden="false" localSheetId="1" name="_xlnm.Print_Area" vbProcedure="false">'Ganho por canal'!$B$1:$P$46</definedName>
    <definedName function="false" hidden="false" localSheetId="0" name="_xlnm.Print_Area" vbProcedure="false">Instruções!$B$1:$C$38</definedName>
    <definedName function="false" hidden="false" localSheetId="3" name="_xlnm.Print_Area" vbProcedure="false">Referência!$B$1:$E$33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11" authorId="0">
      <text>
        <r>
          <rPr>
            <sz val="10"/>
            <rFont val="Arial"/>
            <family val="2"/>
          </rPr>
          <t xml:space="preserve">Valor do botão de ganho, em dB.
Se a mesa não mostra o número, anote a posição do botão na coluna Observação.</t>
        </r>
      </text>
    </comment>
    <comment ref="G11" authorId="0">
      <text>
        <r>
          <rPr>
            <sz val="10"/>
            <rFont val="Arial"/>
            <family val="2"/>
          </rPr>
          <t xml:space="preserve">Onde o medidor passa a maior parte do tempo, com a fonte no volume real.
Digite só o número: −18, por exemplo.</t>
        </r>
      </text>
    </comment>
    <comment ref="H11" authorId="0">
      <text>
        <r>
          <rPr>
            <sz val="10"/>
            <rFont val="Arial"/>
            <family val="2"/>
          </rPr>
          <t xml:space="preserve">O ponto mais alto que o medidor alcançou no trecho mais forte.</t>
        </r>
      </text>
    </comment>
    <comment ref="I11" authorId="0">
      <text>
        <r>
          <rPr>
            <sz val="10"/>
            <rFont val="Arial"/>
            <family val="2"/>
          </rPr>
          <t xml:space="preserve">A luz de clip (peak, OL) do canal acendeu durante a leitura?</t>
        </r>
      </text>
    </comment>
    <comment ref="L11" authorId="0">
      <text>
        <r>
          <rPr>
            <sz val="10"/>
            <rFont val="Arial"/>
            <family val="2"/>
          </rPr>
          <t xml:space="preserve">Quantos dB subir (positivo) ou baixar (negativo) para chegar ao alvo.
Vale o menor entre o que falta para a média e o que falta para o teto dos picos.</t>
        </r>
      </text>
    </comment>
    <comment ref="M11" authorId="0">
      <text>
        <r>
          <rPr>
            <sz val="10"/>
            <rFont val="Arial"/>
            <family val="2"/>
          </rPr>
          <t xml:space="preserve">Ganho anotado mais o ajuste.
Em caso de clip fica em branco: o pico real é desconhecido. Baixe uns 6 dB e meça de novo.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10" authorId="0">
      <text>
        <r>
          <rPr>
            <sz val="10"/>
            <rFont val="Arial"/>
            <family val="2"/>
          </rPr>
          <t xml:space="preserve">Valor marcado no controle, em dB. No fader, 0 é o ganho unitário.
No amplificador ou na caixa ativa, pode ser um texto: máximo, meio, 12 h.</t>
        </r>
      </text>
    </comment>
    <comment ref="H10" authorId="0">
      <text>
        <r>
          <rPr>
            <sz val="10"/>
            <rFont val="Arial"/>
            <family val="2"/>
          </rPr>
          <t xml:space="preserve">Acendeu a luz de clip (peak, OL) da etapa, ou a luz de limite (limit) da caixa ou do amplificador?</t>
        </r>
      </text>
    </comment>
    <comment ref="I10" authorId="0">
      <text>
        <r>
          <rPr>
            <sz val="10"/>
            <rFont val="Arial"/>
            <family val="2"/>
          </rPr>
          <t xml:space="preserve">Fader baixo: abaixo de −10 dB. Fader alto: acima de +5 dB. No master, o aviso de nível baixo só aparece quando faltam mais de 10 dB.</t>
        </r>
      </text>
    </comment>
  </commentList>
</comments>
</file>

<file path=xl/sharedStrings.xml><?xml version="1.0" encoding="utf-8"?>
<sst xmlns="http://schemas.openxmlformats.org/spreadsheetml/2006/main" count="511" uniqueCount="296">
  <si>
    <t xml:space="preserve">Ganho e fader — como usar esta planilha</t>
  </si>
  <si>
    <t xml:space="preserve">Registro do ganho de cada canal e conferência da cadeia de ganho, para usar na passagem de som.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</si>
  <si>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</si>
  <si>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</si>
  <si>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</si>
  <si>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</si>
  <si>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</si>
  <si>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</si>
  <si>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</si>
  <si>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</si>
  <si>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Entrada, pad e luz de clip aceitam só as opções da lista.</t>
  </si>
  <si>
    <t xml:space="preserve">Números</t>
  </si>
  <si>
    <t xml:space="preserve">Digite as leituras só com o número, com o sinal de menos quando houver: -18, e não “-18 dBFS”.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</si>
  <si>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</si>
  <si>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</si>
  <si>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</si>
  <si>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</si>
  <si>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Ganho por canal: preencha o cabeçalho e confira os quatro valores de referência do seu medidor.</t>
  </si>
  <si>
    <t xml:space="preserve">2</t>
  </si>
  <si>
    <t xml:space="preserve">Aba Ganho por canal: liste a fonte e o tipo de entrada de cada canal.</t>
  </si>
  <si>
    <t xml:space="preserve">3</t>
  </si>
  <si>
    <t xml:space="preserve">Na mesa: aperte o PFL do canal, peça o volume real e leve o ganho até a faixa de trabalho.</t>
  </si>
  <si>
    <t xml:space="preserve">4</t>
  </si>
  <si>
    <t xml:space="preserve">Aba Ganho por canal: anote o ganho, o pad, a média, o pico e se a luz de clip acendeu.</t>
  </si>
  <si>
    <t xml:space="preserve">5</t>
  </si>
  <si>
    <t xml:space="preserve">Veja a situação e o que fazer. Corrija na mesa, meça de novo e troque os números pela nova leitura.</t>
  </si>
  <si>
    <t xml:space="preserve">6</t>
  </si>
  <si>
    <t xml:space="preserve">Aba Cadeia de ganho: com a mistura pronta, anote as posições e as leituras, do pré até a caixa.</t>
  </si>
  <si>
    <t xml:space="preserve">7</t>
  </si>
  <si>
    <t xml:space="preserve">Aba Checklist: confira os doze itens antes de montar os retornos.</t>
  </si>
  <si>
    <t xml:space="preserve">Abas da planilha</t>
  </si>
  <si>
    <t xml:space="preserve">Ganho por canal</t>
  </si>
  <si>
    <t xml:space="preserve">Registro de até 24 canais, com situação calculada: OK, Baixo, Alto ou Clip.</t>
  </si>
  <si>
    <t xml:space="preserve">Cadeia de ganho</t>
  </si>
  <si>
    <t xml:space="preserve">Seis etapas, do pré ao amplificador ou à caixa ativa, com a situação de cada uma e a soma dos faders.</t>
  </si>
  <si>
    <t xml:space="preserve">Referência</t>
  </si>
  <si>
    <t xml:space="preserve">Faixas de leitura por tipo de medidor, ganho de partida por fonte e posição dos controles.</t>
  </si>
  <si>
    <t xml:space="preserve">Checklist</t>
  </si>
  <si>
    <t xml:space="preserve">Os doze itens do treinamento, com percentual atendido.</t>
  </si>
  <si>
    <t xml:space="preserve">Exemplo - Ganho</t>
  </si>
  <si>
    <t xml:space="preserve">A passagem de som de um culto com doze canais, em mesa digital (exemplo 1 do treinamento).</t>
  </si>
  <si>
    <t xml:space="preserve">Exemplo - Cadeia</t>
  </si>
  <si>
    <t xml:space="preserve">A cadeia de uma formatura com chiado nas caixas, em mesa analógica (exemplo 2 do treinamento).</t>
  </si>
  <si>
    <t xml:space="preserve">Regras e premissas do modelo</t>
  </si>
  <si>
    <t xml:space="preserve">Valores de referência</t>
  </si>
  <si>
    <t xml:space="preserve">O modelo parte de média em −18 dBFS, picos até −6 dBFS e clip em 0 dBFS, comuns em mesas digitais. São ponto de partida: confira o manual da sua mesa e troque os valores no alto da aba.</t>
  </si>
  <si>
    <t xml:space="preserve">Medidor com escala VU</t>
  </si>
  <si>
    <t xml:space="preserve">Em mesa analógica, use alvo 0, teto +6 e, como limite, o valor do último LED da escala. O LED de pico do canal entra na coluna Luz de clip.</t>
  </si>
  <si>
    <t xml:space="preserve">Ajuste sugerido</t>
  </si>
  <si>
    <t xml:space="preserve">É o menor entre o que falta para a média chegar ao alvo e o que falta para o pico chegar ao teto. Em fonte percussiva, o pico costuma mandar.</t>
  </si>
  <si>
    <t xml:space="preserve">Situação</t>
  </si>
  <si>
    <t xml:space="preserve">OK quando o ajuste fica dentro da tolerância. Baixo ou Alto quando passa dela. Clip quando o pico chega ao limite ou a luz de clip acende.</t>
  </si>
  <si>
    <t xml:space="preserve">Em caso de clip</t>
  </si>
  <si>
    <t xml:space="preserve">O pico real é desconhecido, porque o medidor não passa do limite. O ajuste fica em branco: baixe uns 6 dB e meça de novo.</t>
  </si>
  <si>
    <t xml:space="preserve">Fader abaixo de −10 dB ou acima de +5 dB recebe aviso. São cortes de regra prática, para chamar a atenção, e não norma.</t>
  </si>
  <si>
    <t xml:space="preserve">Exemplos</t>
  </si>
  <si>
    <t xml:space="preserve">Os dados das abas de exemplo são ilustrativos, criados para este material.</t>
  </si>
  <si>
    <t xml:space="preserve">Ganho por canal — registro da passagem de som</t>
  </si>
  <si>
    <t xml:space="preserve">Preencha as células em amarelo-claro com o que você leu no PFL. As células cinza são calculadas.</t>
  </si>
  <si>
    <t xml:space="preserve">Evento</t>
  </si>
  <si>
    <t xml:space="preserve">Alvo da média</t>
  </si>
  <si>
    <t xml:space="preserve">Mesa digital: −18 dBFS. Medidor com escala VU: 0.</t>
  </si>
  <si>
    <t xml:space="preserve">Local</t>
  </si>
  <si>
    <t xml:space="preserve">Teto dos picos</t>
  </si>
  <si>
    <t xml:space="preserve">Mesa digital: −6 dBFS. Medidor com escala VU: +6.</t>
  </si>
  <si>
    <t xml:space="preserve">Data</t>
  </si>
  <si>
    <t xml:space="preserve">Limite (clip)</t>
  </si>
  <si>
    <t xml:space="preserve">Mesa digital: 0 dBFS. Escala VU: o último LED da escala.</t>
  </si>
  <si>
    <t xml:space="preserve">Operador</t>
  </si>
  <si>
    <t xml:space="preserve">Tolerância (dB)</t>
  </si>
  <si>
    <t xml:space="preserve">Diferença que ainda conta como OK.</t>
  </si>
  <si>
    <t xml:space="preserve">Mesa e medidor</t>
  </si>
  <si>
    <t xml:space="preserve">Leia cada canal no PFL, um por vez, com a fonte no volume real do evento.</t>
  </si>
  <si>
    <t xml:space="preserve">Registro de ganho por canal</t>
  </si>
  <si>
    <t xml:space="preserve">Canal</t>
  </si>
  <si>
    <t xml:space="preserve">Fonte</t>
  </si>
  <si>
    <t xml:space="preserve">Entrada</t>
  </si>
  <si>
    <t xml:space="preserve">Pad</t>
  </si>
  <si>
    <t xml:space="preserve">Ganho</t>
  </si>
  <si>
    <t xml:space="preserve">Média</t>
  </si>
  <si>
    <t xml:space="preserve">Pico</t>
  </si>
  <si>
    <t xml:space="preserve">Luz de clip</t>
  </si>
  <si>
    <t xml:space="preserve">Crista</t>
  </si>
  <si>
    <t xml:space="preserve">Folga</t>
  </si>
  <si>
    <t xml:space="preserve">Ajuste</t>
  </si>
  <si>
    <t xml:space="preserve">Ganho sugerido</t>
  </si>
  <si>
    <t xml:space="preserve">O que fazer</t>
  </si>
  <si>
    <t xml:space="preserve">Observação</t>
  </si>
  <si>
    <t xml:space="preserve">nº</t>
  </si>
  <si>
    <t xml:space="preserve">o que está ligado no canal</t>
  </si>
  <si>
    <t xml:space="preserve">tipo</t>
  </si>
  <si>
    <t xml:space="preserve">Sim / Não</t>
  </si>
  <si>
    <t xml:space="preserve">dB, no botão</t>
  </si>
  <si>
    <t xml:space="preserve">lida no PFL</t>
  </si>
  <si>
    <t xml:space="preserve">lido no PFL</t>
  </si>
  <si>
    <t xml:space="preserve">pico − média</t>
  </si>
  <si>
    <t xml:space="preserve">limite − pico</t>
  </si>
  <si>
    <t xml:space="preserve">dB</t>
  </si>
  <si>
    <t xml:space="preserve">Ex.</t>
  </si>
  <si>
    <t xml:space="preserve">Voz da cantora (mic de mão)</t>
  </si>
  <si>
    <t xml:space="preserve">Microfone</t>
  </si>
  <si>
    <t xml:space="preserve">Não</t>
  </si>
  <si>
    <t xml:space="preserve">Baixo</t>
  </si>
  <si>
    <t xml:space="preserve">Suba o ganho cerca de 6 dB</t>
  </si>
  <si>
    <t xml:space="preserve">Resumo automático</t>
  </si>
  <si>
    <t xml:space="preserve">Canais registrados</t>
  </si>
  <si>
    <t xml:space="preserve">Canais com leitura</t>
  </si>
  <si>
    <t xml:space="preserve">Na faixa (OK)</t>
  </si>
  <si>
    <t xml:space="preserve">Ganho baixo</t>
  </si>
  <si>
    <t xml:space="preserve">Ganho alto</t>
  </si>
  <si>
    <t xml:space="preserve">Em clip</t>
  </si>
  <si>
    <t xml:space="preserve">Aviso</t>
  </si>
  <si>
    <t xml:space="preserve">Cadeia de ganho — do pré à caixa</t>
  </si>
  <si>
    <t xml:space="preserve">Com um sinal de teste no volume real, anote a posição de cada controle e o que os medidores mostram.</t>
  </si>
  <si>
    <t xml:space="preserve">Sistema ou evento</t>
  </si>
  <si>
    <t xml:space="preserve">Sinal de teste</t>
  </si>
  <si>
    <t xml:space="preserve">Cadeia de ganho, da entrada para a saída</t>
  </si>
  <si>
    <t xml:space="preserve">#</t>
  </si>
  <si>
    <t xml:space="preserve">Etapa</t>
  </si>
  <si>
    <t xml:space="preserve">Controle</t>
  </si>
  <si>
    <t xml:space="preserve">Posição</t>
  </si>
  <si>
    <t xml:space="preserve">Luz de clip ou de limite</t>
  </si>
  <si>
    <t xml:space="preserve">no medidor</t>
  </si>
  <si>
    <t xml:space="preserve">Pré do canal</t>
  </si>
  <si>
    <t xml:space="preserve">Ganho (leitura no PFL)</t>
  </si>
  <si>
    <t xml:space="preserve">Fader do canal</t>
  </si>
  <si>
    <t xml:space="preserve">–</t>
  </si>
  <si>
    <t xml:space="preserve">Grupo (se houver)</t>
  </si>
  <si>
    <t xml:space="preserve">Fader do grupo</t>
  </si>
  <si>
    <t xml:space="preserve">Master</t>
  </si>
  <si>
    <t xml:space="preserve">Fader master (medidor principal)</t>
  </si>
  <si>
    <t xml:space="preserve">Processador (se houver)</t>
  </si>
  <si>
    <t xml:space="preserve">Ganho de entrada e de saída</t>
  </si>
  <si>
    <t xml:space="preserve">Amplificador ou caixa ativa</t>
  </si>
  <si>
    <t xml:space="preserve">Controle de nível</t>
  </si>
  <si>
    <t xml:space="preserve">Leitura da cadeia</t>
  </si>
  <si>
    <t xml:space="preserve">Soma dos faders: canal + grupo + master (dB)</t>
  </si>
  <si>
    <t xml:space="preserve">Leitura da soma</t>
  </si>
  <si>
    <t xml:space="preserve">Etapas em clip</t>
  </si>
  <si>
    <t xml:space="preserve">Etapas fora da faixa</t>
  </si>
  <si>
    <t xml:space="preserve">Os cortes de −10 e +5 dB para um fader, e de −20 e +10 dB para a soma, são regra prática deste material, e não norma.</t>
  </si>
  <si>
    <t xml:space="preserve">Referência — faixas típicas</t>
  </si>
  <si>
    <t xml:space="preserve">Valores de referência, para servir de ponto de partida. Confira o manual do seu equipamento.</t>
  </si>
  <si>
    <t xml:space="preserve">Faixas de leitura por tipo de medidor</t>
  </si>
  <si>
    <t xml:space="preserve">Medidor</t>
  </si>
  <si>
    <t xml:space="preserve">Picos mais fortes</t>
  </si>
  <si>
    <t xml:space="preserve">Sinal de que passou</t>
  </si>
  <si>
    <t xml:space="preserve">Digital (dBFS)</t>
  </si>
  <si>
    <t xml:space="preserve">perto de −18 dBFS</t>
  </si>
  <si>
    <t xml:space="preserve">até perto de −6 dBFS</t>
  </si>
  <si>
    <t xml:space="preserve">Luz de clip ou leitura em 0 dBFS. Em algumas mesas o nível nominal é −20 dBFS.</t>
  </si>
  <si>
    <t xml:space="preserve">Analógico (escala VU)</t>
  </si>
  <si>
    <t xml:space="preserve">em torno de 0</t>
  </si>
  <si>
    <t xml:space="preserve">até perto de +6</t>
  </si>
  <si>
    <t xml:space="preserve">LED de pico (peak, clip, OL) aceso. Ele costuma acender alguns dB antes do clip.</t>
  </si>
  <si>
    <t xml:space="preserve">Só dois LEDs por canal</t>
  </si>
  <si>
    <t xml:space="preserve">LED de sinal aceso</t>
  </si>
  <si>
    <t xml:space="preserve">LED de pico apagado</t>
  </si>
  <si>
    <t xml:space="preserve">LED de pico aceso no trecho mais forte.</t>
  </si>
  <si>
    <t xml:space="preserve">Ganho de partida por fonte</t>
  </si>
  <si>
    <t xml:space="preserve">Nível típico na entrada</t>
  </si>
  <si>
    <t xml:space="preserve">Ganho para começar</t>
  </si>
  <si>
    <t xml:space="preserve">Fala em microfone dinâmico</t>
  </si>
  <si>
    <t xml:space="preserve">−55 a −40 dBu</t>
  </si>
  <si>
    <t xml:space="preserve">45 a 60 dB</t>
  </si>
  <si>
    <t xml:space="preserve">É a fonte que mais pede ganho. Microfone perto da boca reduz o ganho necessário.</t>
  </si>
  <si>
    <t xml:space="preserve">Canto perto do microfone dinâmico</t>
  </si>
  <si>
    <t xml:space="preserve">−40 a −25 dBu</t>
  </si>
  <si>
    <t xml:space="preserve">30 a 45 dB</t>
  </si>
  <si>
    <t xml:space="preserve">Ajuste com o trecho mais forte da música.</t>
  </si>
  <si>
    <t xml:space="preserve">Microfone condensador, mesma fonte</t>
  </si>
  <si>
    <t xml:space="preserve">10 a 20 dB acima do dinâmico</t>
  </si>
  <si>
    <t xml:space="preserve">10 a 20 dB a menos</t>
  </si>
  <si>
    <t xml:space="preserve">Depende muito da distância: um coral captado de longe volta a pedir ganho alto.</t>
  </si>
  <si>
    <t xml:space="preserve">Bumbo, caixa, amplificador de guitarra</t>
  </si>
  <si>
    <t xml:space="preserve">−20 a 0 dBu</t>
  </si>
  <si>
    <t xml:space="preserve">5 a 25 dB</t>
  </si>
  <si>
    <t xml:space="preserve">Se passar da faixa com o ganho no mínimo, ligue o pad.</t>
  </si>
  <si>
    <t xml:space="preserve">Violão ou baixo por direct box</t>
  </si>
  <si>
    <t xml:space="preserve">−40 a −20 dBu</t>
  </si>
  <si>
    <t xml:space="preserve">20 a 40 dB</t>
  </si>
  <si>
    <t xml:space="preserve">A direct box entrega nível de microfone. Captação ativa chega mais forte.</t>
  </si>
  <si>
    <t xml:space="preserve">Teclado, computador, tocador (linha)</t>
  </si>
  <si>
    <t xml:space="preserve">−10 a +4 dBu</t>
  </si>
  <si>
    <t xml:space="preserve">0 a 15 dB</t>
  </si>
  <si>
    <t xml:space="preserve">Use a entrada de linha. Na entrada de microfone, use direct box ou pad.</t>
  </si>
  <si>
    <t xml:space="preserve">Média e pico por tipo de fonte</t>
  </si>
  <si>
    <t xml:space="preserve">Tipo de fonte</t>
  </si>
  <si>
    <t xml:space="preserve">Pico acima da média</t>
  </si>
  <si>
    <t xml:space="preserve">O que guia o ajuste</t>
  </si>
  <si>
    <t xml:space="preserve">Sustentada</t>
  </si>
  <si>
    <t xml:space="preserve">poucos dB</t>
  </si>
  <si>
    <t xml:space="preserve">a média</t>
  </si>
  <si>
    <t xml:space="preserve">Teclado com som de cordas ou de órgão, baixo, trilha de vídeo já finalizada.</t>
  </si>
  <si>
    <t xml:space="preserve">Voz</t>
  </si>
  <si>
    <t xml:space="preserve">10 a 15 dB</t>
  </si>
  <si>
    <t xml:space="preserve">a média e o pico</t>
  </si>
  <si>
    <t xml:space="preserve">Fala e canto. Peça o trecho mais forte.</t>
  </si>
  <si>
    <t xml:space="preserve">Percussiva</t>
  </si>
  <si>
    <t xml:space="preserve">20 dB ou mais</t>
  </si>
  <si>
    <t xml:space="preserve">o pico</t>
  </si>
  <si>
    <t xml:space="preserve">Bumbo, caixa, tons, percussão, violão tocado com força.</t>
  </si>
  <si>
    <t xml:space="preserve">Posição dos controles na cadeia</t>
  </si>
  <si>
    <t xml:space="preserve">Onde deixar</t>
  </si>
  <si>
    <t xml:space="preserve">Faixa prática</t>
  </si>
  <si>
    <t xml:space="preserve">O que conferir</t>
  </si>
  <si>
    <t xml:space="preserve">Pré do canal (ganho)</t>
  </si>
  <si>
    <t xml:space="preserve">pelo medidor, no PFL</t>
  </si>
  <si>
    <t xml:space="preserve">Média perto do nominal, picos abaixo do teto, luz de clip apagada.</t>
  </si>
  <si>
    <t xml:space="preserve">desligado</t>
  </si>
  <si>
    <t xml:space="preserve">em geral −20 dB</t>
  </si>
  <si>
    <t xml:space="preserve">Ligue só se o canal passar da faixa com o ganho no mínimo.</t>
  </si>
  <si>
    <t xml:space="preserve">perto de 0 dB</t>
  </si>
  <si>
    <t xml:space="preserve">−10 a +5 dB</t>
  </si>
  <si>
    <t xml:space="preserve">Fader no topo ou lá embaixo indica ganho errado.</t>
  </si>
  <si>
    <t xml:space="preserve">Grupo</t>
  </si>
  <si>
    <t xml:space="preserve">0 dB</t>
  </si>
  <si>
    <t xml:space="preserve">Se o medidor do grupo passar do teto, baixe os faders dos canais.</t>
  </si>
  <si>
    <t xml:space="preserve">Medidor principal perto do nominal nos trechos fortes, sem chegar ao vermelho.</t>
  </si>
  <si>
    <t xml:space="preserve">no volume da sala</t>
  </si>
  <si>
    <t xml:space="preserve">Ajuste com a mesa no nível nominal. Luz de limite nunca acesa direto.</t>
  </si>
  <si>
    <t xml:space="preserve">Faixas típicas, que variam com o microfone, a distância, a fonte e o modelo da mesa. As faixas dos faders são regra prática deste material.</t>
  </si>
  <si>
    <t xml:space="preserve">Checklist do ajuste de ganho</t>
  </si>
  <si>
    <t xml:space="preserve">Confira na passagem de som, antes de montar os retornos. Escolha a situação de cada item na lista suspensa.</t>
  </si>
  <si>
    <t xml:space="preserve">Item</t>
  </si>
  <si>
    <t xml:space="preserve">Preparação</t>
  </si>
  <si>
    <t xml:space="preserve">A mesa foi zerada: faders e master embaixo, ganhos no mínimo, nenhum PFL apertado.</t>
  </si>
  <si>
    <t xml:space="preserve">Cada fonte está na entrada certa: microfone, linha ou direct box.</t>
  </si>
  <si>
    <t xml:space="preserve">O pad está ligado só nos canais que precisam dele.</t>
  </si>
  <si>
    <t xml:space="preserve">O ganho de cada canal foi ajustado pelo medidor, com o PFL, um canal por vez.</t>
  </si>
  <si>
    <t xml:space="preserve">A leitura foi feita com a fonte no volume real do evento, no trecho mais forte.</t>
  </si>
  <si>
    <t xml:space="preserve">A média de cada canal está perto do nível nominal (−18 dBFS ou 0 VU).</t>
  </si>
  <si>
    <t xml:space="preserve">Os picos ficam abaixo do teto (perto de −6 dBFS), e a luz de clip não acende.</t>
  </si>
  <si>
    <t xml:space="preserve">O ganho, o pad e as leituras de cada canal estão anotados.</t>
  </si>
  <si>
    <t xml:space="preserve">Cadeia</t>
  </si>
  <si>
    <t xml:space="preserve">Os faders dos canais principais trabalham perto de 0 dB.</t>
  </si>
  <si>
    <t xml:space="preserve">O master e os grupos estão perto de 0 dB, e o medidor principal não chega ao vermelho.</t>
  </si>
  <si>
    <t xml:space="preserve">O nível do amplificador ou da caixa ativa foi ajustado com a mesa no nível nominal, e a luz de limite não fica acesa.</t>
  </si>
  <si>
    <t xml:space="preserve">Operação</t>
  </si>
  <si>
    <t xml:space="preserve">Os retornos foram montados depois do ganho, e o ganho não muda durante o evento.</t>
  </si>
  <si>
    <t xml:space="preserve">Itens respondidos</t>
  </si>
  <si>
    <t xml:space="preserve">Percentual atendido (Parcial vale metade)</t>
  </si>
  <si>
    <t xml:space="preserve">Exemplo preenchido, para consulta. Use a aba Ganho por canal para o seu evento.</t>
  </si>
  <si>
    <t xml:space="preserve">Culto de domingo, 19 h</t>
  </si>
  <si>
    <t xml:space="preserve">Igreja de 200 lugares</t>
  </si>
  <si>
    <t xml:space="preserve">Operador de som da escala</t>
  </si>
  <si>
    <t xml:space="preserve">Mesa digital de 16 canais, medidor em dBFS</t>
  </si>
  <si>
    <t xml:space="preserve">Leituras em dBFS, feitas no PFL com cada fonte no trecho mais forte. As colunas de J a O são calculadas.</t>
  </si>
  <si>
    <t xml:space="preserve">Voz do pastor (mic de mão)</t>
  </si>
  <si>
    <t xml:space="preserve">Voz de apoio 1</t>
  </si>
  <si>
    <t xml:space="preserve">Voz de apoio 2</t>
  </si>
  <si>
    <t xml:space="preserve">Violão</t>
  </si>
  <si>
    <t xml:space="preserve">DI</t>
  </si>
  <si>
    <t xml:space="preserve">Teclado E</t>
  </si>
  <si>
    <t xml:space="preserve">Linha</t>
  </si>
  <si>
    <t xml:space="preserve">Sim</t>
  </si>
  <si>
    <t xml:space="preserve">Teclado D</t>
  </si>
  <si>
    <t xml:space="preserve">Bumbo</t>
  </si>
  <si>
    <t xml:space="preserve">Caixa da bateria</t>
  </si>
  <si>
    <t xml:space="preserve">Computador (som dos vídeos)</t>
  </si>
  <si>
    <t xml:space="preserve">Microfone do púlpito</t>
  </si>
  <si>
    <t xml:space="preserve">O que foi ajustado</t>
  </si>
  <si>
    <t xml:space="preserve">O que foi feito</t>
  </si>
  <si>
    <t xml:space="preserve">Leitura depois (dBFS)</t>
  </si>
  <si>
    <t xml:space="preserve">Ganho de 20 para 33 dB. O fader voltou do topo para perto de 0 dB.</t>
  </si>
  <si>
    <t xml:space="preserve">média −18, pico −6</t>
  </si>
  <si>
    <t xml:space="preserve">Ganho de 46 para 38 dB.</t>
  </si>
  <si>
    <t xml:space="preserve">média −18, pico −9</t>
  </si>
  <si>
    <t xml:space="preserve">7 e 8</t>
  </si>
  <si>
    <t xml:space="preserve">O ganho já estava no mínimo: pad ligado e volume do teclado em três quartos.</t>
  </si>
  <si>
    <t xml:space="preserve">média −19, pico −9</t>
  </si>
  <si>
    <t xml:space="preserve">10</t>
  </si>
  <si>
    <t xml:space="preserve">Ganho de 22 para 18 dB. Em fonte percussiva, quem manda é o pico.</t>
  </si>
  <si>
    <t xml:space="preserve">média −30, pico −6</t>
  </si>
  <si>
    <t xml:space="preserve">12</t>
  </si>
  <si>
    <t xml:space="preserve">Ganho de 30 para 38 dB.</t>
  </si>
  <si>
    <t xml:space="preserve">média −19, pico −6</t>
  </si>
  <si>
    <t xml:space="preserve">Todos</t>
  </si>
  <si>
    <t xml:space="preserve">Retornos montados só depois da correção dos ganhos.</t>
  </si>
  <si>
    <t xml:space="preserve">Exemplo preenchido, para consulta. Use a aba Cadeia de ganho para o seu sistema.</t>
  </si>
  <si>
    <t xml:space="preserve">Formatura no auditório da escola</t>
  </si>
  <si>
    <t xml:space="preserve">Orador falando forte, a um palmo do microfone</t>
  </si>
  <si>
    <t xml:space="preserve">Operador de som do evento</t>
  </si>
  <si>
    <t xml:space="preserve">máximo</t>
  </si>
  <si>
    <t xml:space="preserve">Antes</t>
  </si>
  <si>
    <t xml:space="preserve">Depois</t>
  </si>
  <si>
    <t xml:space="preserve">Ganho em 15 dB. PFL: média −20, pico −8.</t>
  </si>
  <si>
    <t xml:space="preserve">Ganho em 29 dB. PFL: média −6, pico +6.</t>
  </si>
  <si>
    <t xml:space="preserve">Fader em −5 dB. Medidor: média −25, pico −13.</t>
  </si>
  <si>
    <t xml:space="preserve">Fader em 0 dB. Medidor: média −6, pico +6.</t>
  </si>
  <si>
    <t xml:space="preserve">Caixas ativas</t>
  </si>
  <si>
    <t xml:space="preserve">Controle de nível no máximo.</t>
  </si>
  <si>
    <t xml:space="preserve">Fechadas até o volume da sala voltar ao que era.</t>
  </si>
  <si>
    <t xml:space="preserve">Resultado</t>
  </si>
  <si>
    <t xml:space="preserve">Chiado contínuo nos silêncios.</t>
  </si>
  <si>
    <t xml:space="preserve">Mesmo volume na sala; o chiado deixou de ser ouvido da plateia.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</si>
</sst>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+0;\-0;0"/>
    <numFmt numFmtId="166" formatCode="dd/mm/yyyy"/>
    <numFmt numFmtId="167" formatCode="General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993366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33</v>
      </c>
      <c r="C35" s="7" t="s">
        <v>54</v>
      </c>
    </row>
    <row r="36" customFormat="false" ht="19.5" hidden="false" customHeight="true" outlineLevel="0" collapsed="false">
      <c r="B36" s="4" t="s">
        <v>55</v>
      </c>
      <c r="C36" s="7" t="s">
        <v>56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P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12" min="6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44"/>
    <col collapsed="false" customWidth="true" hidden="false" outlineLevel="0" max="16" min="16" style="0" width="30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B4" s="4" t="s">
        <v>59</v>
      </c>
      <c r="C4" s="4"/>
      <c r="D4" s="5"/>
      <c r="E4" s="5"/>
      <c r="F4" s="5"/>
      <c r="G4" s="5"/>
      <c r="H4" s="5"/>
      <c r="I4" s="4" t="s">
        <v>60</v>
      </c>
      <c r="J4" s="4"/>
      <c r="K4" s="4"/>
      <c r="L4" s="9" t="n">
        <v>-18</v>
      </c>
      <c r="M4" s="10" t="s">
        <v>61</v>
      </c>
      <c r="N4" s="10"/>
      <c r="O4" s="10"/>
      <c r="P4" s="10"/>
    </row>
    <row r="5" customFormat="false" ht="21.75" hidden="false" customHeight="true" outlineLevel="0" collapsed="false">
      <c r="B5" s="4" t="s">
        <v>62</v>
      </c>
      <c r="C5" s="4"/>
      <c r="D5" s="5"/>
      <c r="E5" s="5"/>
      <c r="F5" s="5"/>
      <c r="G5" s="5"/>
      <c r="H5" s="5"/>
      <c r="I5" s="4" t="s">
        <v>63</v>
      </c>
      <c r="J5" s="4"/>
      <c r="K5" s="4"/>
      <c r="L5" s="9" t="n">
        <v>-6</v>
      </c>
      <c r="M5" s="10" t="s">
        <v>64</v>
      </c>
      <c r="N5" s="10"/>
      <c r="O5" s="10"/>
      <c r="P5" s="10"/>
    </row>
    <row r="6" customFormat="false" ht="21.75" hidden="false" customHeight="true" outlineLevel="0" collapsed="false">
      <c r="B6" s="4" t="s">
        <v>65</v>
      </c>
      <c r="C6" s="4"/>
      <c r="D6" s="11"/>
      <c r="E6" s="11"/>
      <c r="F6" s="11"/>
      <c r="G6" s="11"/>
      <c r="H6" s="11"/>
      <c r="I6" s="4" t="s">
        <v>66</v>
      </c>
      <c r="J6" s="4"/>
      <c r="K6" s="4"/>
      <c r="L6" s="9" t="n">
        <v>0</v>
      </c>
      <c r="M6" s="10" t="s">
        <v>67</v>
      </c>
      <c r="N6" s="10"/>
      <c r="O6" s="10"/>
      <c r="P6" s="10"/>
    </row>
    <row r="7" customFormat="false" ht="21.75" hidden="false" customHeight="true" outlineLevel="0" collapsed="false">
      <c r="B7" s="4" t="s">
        <v>68</v>
      </c>
      <c r="C7" s="4"/>
      <c r="D7" s="5"/>
      <c r="E7" s="5"/>
      <c r="F7" s="5"/>
      <c r="G7" s="5"/>
      <c r="H7" s="5"/>
      <c r="I7" s="4" t="s">
        <v>69</v>
      </c>
      <c r="J7" s="4"/>
      <c r="K7" s="4"/>
      <c r="L7" s="12" t="n">
        <v>3</v>
      </c>
      <c r="M7" s="10" t="s">
        <v>70</v>
      </c>
      <c r="N7" s="10"/>
      <c r="O7" s="10"/>
      <c r="P7" s="10"/>
    </row>
    <row r="8" customFormat="false" ht="21.75" hidden="false" customHeight="true" outlineLevel="0" collapsed="false">
      <c r="B8" s="4" t="s">
        <v>71</v>
      </c>
      <c r="C8" s="4"/>
      <c r="D8" s="5"/>
      <c r="E8" s="5"/>
      <c r="F8" s="5"/>
      <c r="G8" s="5"/>
      <c r="H8" s="5"/>
      <c r="I8" s="10" t="s">
        <v>72</v>
      </c>
      <c r="J8" s="10"/>
      <c r="K8" s="10"/>
      <c r="L8" s="10"/>
      <c r="M8" s="10"/>
      <c r="N8" s="10"/>
      <c r="O8" s="10"/>
      <c r="P8" s="10"/>
    </row>
    <row r="10" customFormat="false" ht="21.75" hidden="false" customHeight="true" outlineLevel="0" collapsed="false">
      <c r="B10" s="13" t="s">
        <v>73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30" hidden="false" customHeight="true" outlineLevel="0" collapsed="false">
      <c r="B11" s="14" t="s">
        <v>74</v>
      </c>
      <c r="C11" s="14" t="s">
        <v>75</v>
      </c>
      <c r="D11" s="14" t="s">
        <v>76</v>
      </c>
      <c r="E11" s="14" t="s">
        <v>77</v>
      </c>
      <c r="F11" s="15" t="s">
        <v>78</v>
      </c>
      <c r="G11" s="15" t="s">
        <v>79</v>
      </c>
      <c r="H11" s="15" t="s">
        <v>80</v>
      </c>
      <c r="I11" s="15" t="s">
        <v>81</v>
      </c>
      <c r="J11" s="16" t="s">
        <v>82</v>
      </c>
      <c r="K11" s="16" t="s">
        <v>83</v>
      </c>
      <c r="L11" s="16" t="s">
        <v>84</v>
      </c>
      <c r="M11" s="16" t="s">
        <v>85</v>
      </c>
      <c r="N11" s="16" t="s">
        <v>50</v>
      </c>
      <c r="O11" s="16" t="s">
        <v>86</v>
      </c>
      <c r="P11" s="14" t="s">
        <v>87</v>
      </c>
    </row>
    <row r="12" customFormat="false" ht="27" hidden="false" customHeight="true" outlineLevel="0" collapsed="false">
      <c r="B12" s="17" t="s">
        <v>88</v>
      </c>
      <c r="C12" s="17" t="s">
        <v>89</v>
      </c>
      <c r="D12" s="17" t="s">
        <v>90</v>
      </c>
      <c r="E12" s="17" t="s">
        <v>91</v>
      </c>
      <c r="F12" s="17" t="s">
        <v>92</v>
      </c>
      <c r="G12" s="17" t="s">
        <v>93</v>
      </c>
      <c r="H12" s="17" t="s">
        <v>94</v>
      </c>
      <c r="I12" s="17" t="s">
        <v>91</v>
      </c>
      <c r="J12" s="17" t="s">
        <v>95</v>
      </c>
      <c r="K12" s="17" t="s">
        <v>96</v>
      </c>
      <c r="L12" s="17" t="s">
        <v>97</v>
      </c>
      <c r="M12" s="17" t="s">
        <v>97</v>
      </c>
      <c r="N12" s="17"/>
      <c r="O12" s="17"/>
      <c r="P12" s="17"/>
    </row>
    <row r="13" customFormat="false" ht="24" hidden="false" customHeight="true" outlineLevel="0" collapsed="false">
      <c r="B13" s="17" t="s">
        <v>98</v>
      </c>
      <c r="C13" s="10" t="s">
        <v>99</v>
      </c>
      <c r="D13" s="17" t="s">
        <v>100</v>
      </c>
      <c r="E13" s="17" t="s">
        <v>101</v>
      </c>
      <c r="F13" s="17" t="n">
        <v>38</v>
      </c>
      <c r="G13" s="17" t="n">
        <v>-24</v>
      </c>
      <c r="H13" s="17" t="n">
        <v>-12</v>
      </c>
      <c r="I13" s="17" t="s">
        <v>101</v>
      </c>
      <c r="J13" s="17" t="n">
        <v>12</v>
      </c>
      <c r="K13" s="17" t="n">
        <v>12</v>
      </c>
      <c r="L13" s="17" t="n">
        <v>6</v>
      </c>
      <c r="M13" s="17" t="n">
        <v>44</v>
      </c>
      <c r="N13" s="17" t="s">
        <v>102</v>
      </c>
      <c r="O13" s="10" t="s">
        <v>103</v>
      </c>
      <c r="P13" s="10"/>
    </row>
    <row r="14" customFormat="false" ht="21.75" hidden="false" customHeight="true" outlineLevel="0" collapsed="false">
      <c r="B14" s="18" t="n">
        <v>1</v>
      </c>
      <c r="C14" s="5"/>
      <c r="D14" s="12"/>
      <c r="E14" s="12"/>
      <c r="F14" s="12"/>
      <c r="G14" s="9"/>
      <c r="H14" s="9"/>
      <c r="I14" s="12"/>
      <c r="J14" s="19" t="str">
        <f aca="false">IF(OR(G14="",H14=""),"",H14-G14)</f>
        <v/>
      </c>
      <c r="K14" s="19" t="str">
        <f aca="false">IF(H14="","",$L$6-H14)</f>
        <v/>
      </c>
      <c r="L14" s="20" t="str">
        <f aca="false">IF(OR(AND(G14="",H14=""),OR(I14="Sim",AND(H14&lt;&gt;"",H14&gt;=$L$6))),"",ROUND(IF(G14="",$L$5-H14,IF(H14="",$L$4-G14,MIN($L$4-G14,$L$5-H14))),0))</f>
        <v/>
      </c>
      <c r="M14" s="8" t="str">
        <f aca="false">IF(OR(F14="",L14=""),"",F14+L14)</f>
        <v/>
      </c>
      <c r="N14" s="21" t="str">
        <f aca="false">IF(I14="Sim","Clip",IF(AND(G14="",H14=""),"",IF(AND(H14&lt;&gt;"",H14&gt;=$L$6),"Clip",IF(L14&lt;-$L$7,"Alto",IF(L14&gt;$L$7,"Baixo","OK")))))</f>
        <v/>
      </c>
      <c r="O14" s="22" t="str">
        <f aca="false">IF(N14="","",IF(N14="Clip",IF(E14="Sim","Baixe o ganho uns 6 dB e meça de novo","Baixe o ganho uns 6 dB e meça de novo. No mínimo: ligue o pad"),IF(N14="Alto","Baixe o ganho cerca de "&amp;ABS(L14)&amp;" dB",IF(N14="Baixo",IF(E14="Sim","Veja se o pad é necessário. Sem ele, meça de novo","Suba o ganho cerca de "&amp;L14&amp;" dB"),"Manter"))))</f>
        <v/>
      </c>
      <c r="P14" s="5"/>
    </row>
    <row r="15" customFormat="false" ht="21.75" hidden="false" customHeight="true" outlineLevel="0" collapsed="false">
      <c r="B15" s="18" t="n">
        <v>2</v>
      </c>
      <c r="C15" s="5"/>
      <c r="D15" s="12"/>
      <c r="E15" s="12"/>
      <c r="F15" s="12"/>
      <c r="G15" s="9"/>
      <c r="H15" s="9"/>
      <c r="I15" s="12"/>
      <c r="J15" s="19" t="str">
        <f aca="false">IF(OR(G15="",H15=""),"",H15-G15)</f>
        <v/>
      </c>
      <c r="K15" s="19" t="str">
        <f aca="false">IF(H15="","",$L$6-H15)</f>
        <v/>
      </c>
      <c r="L15" s="20" t="str">
        <f aca="false">IF(OR(AND(G15="",H15=""),OR(I15="Sim",AND(H15&lt;&gt;"",H15&gt;=$L$6))),"",ROUND(IF(G15="",$L$5-H15,IF(H15="",$L$4-G15,MIN($L$4-G15,$L$5-H15))),0))</f>
        <v/>
      </c>
      <c r="M15" s="8" t="str">
        <f aca="false">IF(OR(F15="",L15=""),"",F15+L15)</f>
        <v/>
      </c>
      <c r="N15" s="21" t="str">
        <f aca="false">IF(I15="Sim","Clip",IF(AND(G15="",H15=""),"",IF(AND(H15&lt;&gt;"",H15&gt;=$L$6),"Clip",IF(L15&lt;-$L$7,"Alto",IF(L15&gt;$L$7,"Baixo","OK")))))</f>
        <v/>
      </c>
      <c r="O15" s="22" t="str">
        <f aca="false">IF(N15="","",IF(N15="Clip",IF(E15="Sim","Baixe o ganho uns 6 dB e meça de novo","Baixe o ganho uns 6 dB e meça de novo. No mínimo: ligue o pad"),IF(N15="Alto","Baixe o ganho cerca de "&amp;ABS(L15)&amp;" dB",IF(N15="Baixo",IF(E15="Sim","Veja se o pad é necessário. Sem ele, meça de novo","Suba o ganho cerca de "&amp;L15&amp;" dB"),"Manter"))))</f>
        <v/>
      </c>
      <c r="P15" s="5"/>
    </row>
    <row r="16" customFormat="false" ht="21.75" hidden="false" customHeight="true" outlineLevel="0" collapsed="false">
      <c r="B16" s="18" t="n">
        <v>3</v>
      </c>
      <c r="C16" s="5"/>
      <c r="D16" s="12"/>
      <c r="E16" s="12"/>
      <c r="F16" s="12"/>
      <c r="G16" s="9"/>
      <c r="H16" s="9"/>
      <c r="I16" s="12"/>
      <c r="J16" s="19" t="str">
        <f aca="false">IF(OR(G16="",H16=""),"",H16-G16)</f>
        <v/>
      </c>
      <c r="K16" s="19" t="str">
        <f aca="false">IF(H16="","",$L$6-H16)</f>
        <v/>
      </c>
      <c r="L16" s="20" t="str">
        <f aca="false">IF(OR(AND(G16="",H16=""),OR(I16="Sim",AND(H16&lt;&gt;"",H16&gt;=$L$6))),"",ROUND(IF(G16="",$L$5-H16,IF(H16="",$L$4-G16,MIN($L$4-G16,$L$5-H16))),0))</f>
        <v/>
      </c>
      <c r="M16" s="8" t="str">
        <f aca="false">IF(OR(F16="",L16=""),"",F16+L16)</f>
        <v/>
      </c>
      <c r="N16" s="21" t="str">
        <f aca="false">IF(I16="Sim","Clip",IF(AND(G16="",H16=""),"",IF(AND(H16&lt;&gt;"",H16&gt;=$L$6),"Clip",IF(L16&lt;-$L$7,"Alto",IF(L16&gt;$L$7,"Baixo","OK")))))</f>
        <v/>
      </c>
      <c r="O16" s="22" t="str">
        <f aca="false">IF(N16="","",IF(N16="Clip",IF(E16="Sim","Baixe o ganho uns 6 dB e meça de novo","Baixe o ganho uns 6 dB e meça de novo. No mínimo: ligue o pad"),IF(N16="Alto","Baixe o ganho cerca de "&amp;ABS(L16)&amp;" dB",IF(N16="Baixo",IF(E16="Sim","Veja se o pad é necessário. Sem ele, meça de novo","Suba o ganho cerca de "&amp;L16&amp;" dB"),"Manter"))))</f>
        <v/>
      </c>
      <c r="P16" s="5"/>
    </row>
    <row r="17" customFormat="false" ht="21.75" hidden="false" customHeight="true" outlineLevel="0" collapsed="false">
      <c r="B17" s="18" t="n">
        <v>4</v>
      </c>
      <c r="C17" s="5"/>
      <c r="D17" s="12"/>
      <c r="E17" s="12"/>
      <c r="F17" s="12"/>
      <c r="G17" s="9"/>
      <c r="H17" s="9"/>
      <c r="I17" s="12"/>
      <c r="J17" s="19" t="str">
        <f aca="false">IF(OR(G17="",H17=""),"",H17-G17)</f>
        <v/>
      </c>
      <c r="K17" s="19" t="str">
        <f aca="false">IF(H17="","",$L$6-H17)</f>
        <v/>
      </c>
      <c r="L17" s="20" t="str">
        <f aca="false">IF(OR(AND(G17="",H17=""),OR(I17="Sim",AND(H17&lt;&gt;"",H17&gt;=$L$6))),"",ROUND(IF(G17="",$L$5-H17,IF(H17="",$L$4-G17,MIN($L$4-G17,$L$5-H17))),0))</f>
        <v/>
      </c>
      <c r="M17" s="8" t="str">
        <f aca="false">IF(OR(F17="",L17=""),"",F17+L17)</f>
        <v/>
      </c>
      <c r="N17" s="21" t="str">
        <f aca="false">IF(I17="Sim","Clip",IF(AND(G17="",H17=""),"",IF(AND(H17&lt;&gt;"",H17&gt;=$L$6),"Clip",IF(L17&lt;-$L$7,"Alto",IF(L17&gt;$L$7,"Baixo","OK")))))</f>
        <v/>
      </c>
      <c r="O17" s="22" t="str">
        <f aca="false">IF(N17="","",IF(N17="Clip",IF(E17="Sim","Baixe o ganho uns 6 dB e meça de novo","Baixe o ganho uns 6 dB e meça de novo. No mínimo: ligue o pad"),IF(N17="Alto","Baixe o ganho cerca de "&amp;ABS(L17)&amp;" dB",IF(N17="Baixo",IF(E17="Sim","Veja se o pad é necessário. Sem ele, meça de novo","Suba o ganho cerca de "&amp;L17&amp;" dB"),"Manter"))))</f>
        <v/>
      </c>
      <c r="P17" s="5"/>
    </row>
    <row r="18" customFormat="false" ht="21.75" hidden="false" customHeight="true" outlineLevel="0" collapsed="false">
      <c r="B18" s="18" t="n">
        <v>5</v>
      </c>
      <c r="C18" s="5"/>
      <c r="D18" s="12"/>
      <c r="E18" s="12"/>
      <c r="F18" s="12"/>
      <c r="G18" s="9"/>
      <c r="H18" s="9"/>
      <c r="I18" s="12"/>
      <c r="J18" s="19" t="str">
        <f aca="false">IF(OR(G18="",H18=""),"",H18-G18)</f>
        <v/>
      </c>
      <c r="K18" s="19" t="str">
        <f aca="false">IF(H18="","",$L$6-H18)</f>
        <v/>
      </c>
      <c r="L18" s="20" t="str">
        <f aca="false">IF(OR(AND(G18="",H18=""),OR(I18="Sim",AND(H18&lt;&gt;"",H18&gt;=$L$6))),"",ROUND(IF(G18="",$L$5-H18,IF(H18="",$L$4-G18,MIN($L$4-G18,$L$5-H18))),0))</f>
        <v/>
      </c>
      <c r="M18" s="8" t="str">
        <f aca="false">IF(OR(F18="",L18=""),"",F18+L18)</f>
        <v/>
      </c>
      <c r="N18" s="21" t="str">
        <f aca="false">IF(I18="Sim","Clip",IF(AND(G18="",H18=""),"",IF(AND(H18&lt;&gt;"",H18&gt;=$L$6),"Clip",IF(L18&lt;-$L$7,"Alto",IF(L18&gt;$L$7,"Baixo","OK")))))</f>
        <v/>
      </c>
      <c r="O18" s="22" t="str">
        <f aca="false">IF(N18="","",IF(N18="Clip",IF(E18="Sim","Baixe o ganho uns 6 dB e meça de novo","Baixe o ganho uns 6 dB e meça de novo. No mínimo: ligue o pad"),IF(N18="Alto","Baixe o ganho cerca de "&amp;ABS(L18)&amp;" dB",IF(N18="Baixo",IF(E18="Sim","Veja se o pad é necessário. Sem ele, meça de novo","Suba o ganho cerca de "&amp;L18&amp;" dB"),"Manter"))))</f>
        <v/>
      </c>
      <c r="P18" s="5"/>
    </row>
    <row r="19" customFormat="false" ht="21.75" hidden="false" customHeight="true" outlineLevel="0" collapsed="false">
      <c r="B19" s="18" t="n">
        <v>6</v>
      </c>
      <c r="C19" s="5"/>
      <c r="D19" s="12"/>
      <c r="E19" s="12"/>
      <c r="F19" s="12"/>
      <c r="G19" s="9"/>
      <c r="H19" s="9"/>
      <c r="I19" s="12"/>
      <c r="J19" s="19" t="str">
        <f aca="false">IF(OR(G19="",H19=""),"",H19-G19)</f>
        <v/>
      </c>
      <c r="K19" s="19" t="str">
        <f aca="false">IF(H19="","",$L$6-H19)</f>
        <v/>
      </c>
      <c r="L19" s="20" t="str">
        <f aca="false">IF(OR(AND(G19="",H19=""),OR(I19="Sim",AND(H19&lt;&gt;"",H19&gt;=$L$6))),"",ROUND(IF(G19="",$L$5-H19,IF(H19="",$L$4-G19,MIN($L$4-G19,$L$5-H19))),0))</f>
        <v/>
      </c>
      <c r="M19" s="8" t="str">
        <f aca="false">IF(OR(F19="",L19=""),"",F19+L19)</f>
        <v/>
      </c>
      <c r="N19" s="21" t="str">
        <f aca="false">IF(I19="Sim","Clip",IF(AND(G19="",H19=""),"",IF(AND(H19&lt;&gt;"",H19&gt;=$L$6),"Clip",IF(L19&lt;-$L$7,"Alto",IF(L19&gt;$L$7,"Baixo","OK")))))</f>
        <v/>
      </c>
      <c r="O19" s="22" t="str">
        <f aca="false">IF(N19="","",IF(N19="Clip",IF(E19="Sim","Baixe o ganho uns 6 dB e meça de novo","Baixe o ganho uns 6 dB e meça de novo. No mínimo: ligue o pad"),IF(N19="Alto","Baixe o ganho cerca de "&amp;ABS(L19)&amp;" dB",IF(N19="Baixo",IF(E19="Sim","Veja se o pad é necessário. Sem ele, meça de novo","Suba o ganho cerca de "&amp;L19&amp;" dB"),"Manter"))))</f>
        <v/>
      </c>
      <c r="P19" s="5"/>
    </row>
    <row r="20" customFormat="false" ht="21.75" hidden="false" customHeight="true" outlineLevel="0" collapsed="false">
      <c r="B20" s="18" t="n">
        <v>7</v>
      </c>
      <c r="C20" s="5"/>
      <c r="D20" s="12"/>
      <c r="E20" s="12"/>
      <c r="F20" s="12"/>
      <c r="G20" s="9"/>
      <c r="H20" s="9"/>
      <c r="I20" s="12"/>
      <c r="J20" s="19" t="str">
        <f aca="false">IF(OR(G20="",H20=""),"",H20-G20)</f>
        <v/>
      </c>
      <c r="K20" s="19" t="str">
        <f aca="false">IF(H20="","",$L$6-H20)</f>
        <v/>
      </c>
      <c r="L20" s="20" t="str">
        <f aca="false">IF(OR(AND(G20="",H20=""),OR(I20="Sim",AND(H20&lt;&gt;"",H20&gt;=$L$6))),"",ROUND(IF(G20="",$L$5-H20,IF(H20="",$L$4-G20,MIN($L$4-G20,$L$5-H20))),0))</f>
        <v/>
      </c>
      <c r="M20" s="8" t="str">
        <f aca="false">IF(OR(F20="",L20=""),"",F20+L20)</f>
        <v/>
      </c>
      <c r="N20" s="21" t="str">
        <f aca="false">IF(I20="Sim","Clip",IF(AND(G20="",H20=""),"",IF(AND(H20&lt;&gt;"",H20&gt;=$L$6),"Clip",IF(L20&lt;-$L$7,"Alto",IF(L20&gt;$L$7,"Baixo","OK")))))</f>
        <v/>
      </c>
      <c r="O20" s="22" t="str">
        <f aca="false">IF(N20="","",IF(N20="Clip",IF(E20="Sim","Baixe o ganho uns 6 dB e meça de novo","Baixe o ganho uns 6 dB e meça de novo. No mínimo: ligue o pad"),IF(N20="Alto","Baixe o ganho cerca de "&amp;ABS(L20)&amp;" dB",IF(N20="Baixo",IF(E20="Sim","Veja se o pad é necessário. Sem ele, meça de novo","Suba o ganho cerca de "&amp;L20&amp;" dB"),"Manter"))))</f>
        <v/>
      </c>
      <c r="P20" s="5"/>
    </row>
    <row r="21" customFormat="false" ht="21.75" hidden="false" customHeight="true" outlineLevel="0" collapsed="false">
      <c r="B21" s="18" t="n">
        <v>8</v>
      </c>
      <c r="C21" s="5"/>
      <c r="D21" s="12"/>
      <c r="E21" s="12"/>
      <c r="F21" s="12"/>
      <c r="G21" s="9"/>
      <c r="H21" s="9"/>
      <c r="I21" s="12"/>
      <c r="J21" s="19" t="str">
        <f aca="false">IF(OR(G21="",H21=""),"",H21-G21)</f>
        <v/>
      </c>
      <c r="K21" s="19" t="str">
        <f aca="false">IF(H21="","",$L$6-H21)</f>
        <v/>
      </c>
      <c r="L21" s="20" t="str">
        <f aca="false">IF(OR(AND(G21="",H21=""),OR(I21="Sim",AND(H21&lt;&gt;"",H21&gt;=$L$6))),"",ROUND(IF(G21="",$L$5-H21,IF(H21="",$L$4-G21,MIN($L$4-G21,$L$5-H21))),0))</f>
        <v/>
      </c>
      <c r="M21" s="8" t="str">
        <f aca="false">IF(OR(F21="",L21=""),"",F21+L21)</f>
        <v/>
      </c>
      <c r="N21" s="21" t="str">
        <f aca="false">IF(I21="Sim","Clip",IF(AND(G21="",H21=""),"",IF(AND(H21&lt;&gt;"",H21&gt;=$L$6),"Clip",IF(L21&lt;-$L$7,"Alto",IF(L21&gt;$L$7,"Baixo","OK")))))</f>
        <v/>
      </c>
      <c r="O21" s="22" t="str">
        <f aca="false">IF(N21="","",IF(N21="Clip",IF(E21="Sim","Baixe o ganho uns 6 dB e meça de novo","Baixe o ganho uns 6 dB e meça de novo. No mínimo: ligue o pad"),IF(N21="Alto","Baixe o ganho cerca de "&amp;ABS(L21)&amp;" dB",IF(N21="Baixo",IF(E21="Sim","Veja se o pad é necessário. Sem ele, meça de novo","Suba o ganho cerca de "&amp;L21&amp;" dB"),"Manter"))))</f>
        <v/>
      </c>
      <c r="P21" s="5"/>
    </row>
    <row r="22" customFormat="false" ht="21.75" hidden="false" customHeight="true" outlineLevel="0" collapsed="false">
      <c r="B22" s="18" t="n">
        <v>9</v>
      </c>
      <c r="C22" s="5"/>
      <c r="D22" s="12"/>
      <c r="E22" s="12"/>
      <c r="F22" s="12"/>
      <c r="G22" s="9"/>
      <c r="H22" s="9"/>
      <c r="I22" s="12"/>
      <c r="J22" s="19" t="str">
        <f aca="false">IF(OR(G22="",H22=""),"",H22-G22)</f>
        <v/>
      </c>
      <c r="K22" s="19" t="str">
        <f aca="false">IF(H22="","",$L$6-H22)</f>
        <v/>
      </c>
      <c r="L22" s="20" t="str">
        <f aca="false">IF(OR(AND(G22="",H22=""),OR(I22="Sim",AND(H22&lt;&gt;"",H22&gt;=$L$6))),"",ROUND(IF(G22="",$L$5-H22,IF(H22="",$L$4-G22,MIN($L$4-G22,$L$5-H22))),0))</f>
        <v/>
      </c>
      <c r="M22" s="8" t="str">
        <f aca="false">IF(OR(F22="",L22=""),"",F22+L22)</f>
        <v/>
      </c>
      <c r="N22" s="21" t="str">
        <f aca="false">IF(I22="Sim","Clip",IF(AND(G22="",H22=""),"",IF(AND(H22&lt;&gt;"",H22&gt;=$L$6),"Clip",IF(L22&lt;-$L$7,"Alto",IF(L22&gt;$L$7,"Baixo","OK")))))</f>
        <v/>
      </c>
      <c r="O22" s="22" t="str">
        <f aca="false">IF(N22="","",IF(N22="Clip",IF(E22="Sim","Baixe o ganho uns 6 dB e meça de novo","Baixe o ganho uns 6 dB e meça de novo. No mínimo: ligue o pad"),IF(N22="Alto","Baixe o ganho cerca de "&amp;ABS(L22)&amp;" dB",IF(N22="Baixo",IF(E22="Sim","Veja se o pad é necessário. Sem ele, meça de novo","Suba o ganho cerca de "&amp;L22&amp;" dB"),"Manter"))))</f>
        <v/>
      </c>
      <c r="P22" s="5"/>
    </row>
    <row r="23" customFormat="false" ht="21.75" hidden="false" customHeight="true" outlineLevel="0" collapsed="false">
      <c r="B23" s="18" t="n">
        <v>10</v>
      </c>
      <c r="C23" s="5"/>
      <c r="D23" s="12"/>
      <c r="E23" s="12"/>
      <c r="F23" s="12"/>
      <c r="G23" s="9"/>
      <c r="H23" s="9"/>
      <c r="I23" s="12"/>
      <c r="J23" s="19" t="str">
        <f aca="false">IF(OR(G23="",H23=""),"",H23-G23)</f>
        <v/>
      </c>
      <c r="K23" s="19" t="str">
        <f aca="false">IF(H23="","",$L$6-H23)</f>
        <v/>
      </c>
      <c r="L23" s="20" t="str">
        <f aca="false">IF(OR(AND(G23="",H23=""),OR(I23="Sim",AND(H23&lt;&gt;"",H23&gt;=$L$6))),"",ROUND(IF(G23="",$L$5-H23,IF(H23="",$L$4-G23,MIN($L$4-G23,$L$5-H23))),0))</f>
        <v/>
      </c>
      <c r="M23" s="8" t="str">
        <f aca="false">IF(OR(F23="",L23=""),"",F23+L23)</f>
        <v/>
      </c>
      <c r="N23" s="21" t="str">
        <f aca="false">IF(I23="Sim","Clip",IF(AND(G23="",H23=""),"",IF(AND(H23&lt;&gt;"",H23&gt;=$L$6),"Clip",IF(L23&lt;-$L$7,"Alto",IF(L23&gt;$L$7,"Baixo","OK")))))</f>
        <v/>
      </c>
      <c r="O23" s="22" t="str">
        <f aca="false">IF(N23="","",IF(N23="Clip",IF(E23="Sim","Baixe o ganho uns 6 dB e meça de novo","Baixe o ganho uns 6 dB e meça de novo. No mínimo: ligue o pad"),IF(N23="Alto","Baixe o ganho cerca de "&amp;ABS(L23)&amp;" dB",IF(N23="Baixo",IF(E23="Sim","Veja se o pad é necessário. Sem ele, meça de novo","Suba o ganho cerca de "&amp;L23&amp;" dB"),"Manter"))))</f>
        <v/>
      </c>
      <c r="P23" s="5"/>
    </row>
    <row r="24" customFormat="false" ht="21.75" hidden="false" customHeight="true" outlineLevel="0" collapsed="false">
      <c r="B24" s="18" t="n">
        <v>11</v>
      </c>
      <c r="C24" s="5"/>
      <c r="D24" s="12"/>
      <c r="E24" s="12"/>
      <c r="F24" s="12"/>
      <c r="G24" s="9"/>
      <c r="H24" s="9"/>
      <c r="I24" s="12"/>
      <c r="J24" s="19" t="str">
        <f aca="false">IF(OR(G24="",H24=""),"",H24-G24)</f>
        <v/>
      </c>
      <c r="K24" s="19" t="str">
        <f aca="false">IF(H24="","",$L$6-H24)</f>
        <v/>
      </c>
      <c r="L24" s="20" t="str">
        <f aca="false">IF(OR(AND(G24="",H24=""),OR(I24="Sim",AND(H24&lt;&gt;"",H24&gt;=$L$6))),"",ROUND(IF(G24="",$L$5-H24,IF(H24="",$L$4-G24,MIN($L$4-G24,$L$5-H24))),0))</f>
        <v/>
      </c>
      <c r="M24" s="8" t="str">
        <f aca="false">IF(OR(F24="",L24=""),"",F24+L24)</f>
        <v/>
      </c>
      <c r="N24" s="21" t="str">
        <f aca="false">IF(I24="Sim","Clip",IF(AND(G24="",H24=""),"",IF(AND(H24&lt;&gt;"",H24&gt;=$L$6),"Clip",IF(L24&lt;-$L$7,"Alto",IF(L24&gt;$L$7,"Baixo","OK")))))</f>
        <v/>
      </c>
      <c r="O24" s="22" t="str">
        <f aca="false">IF(N24="","",IF(N24="Clip",IF(E24="Sim","Baixe o ganho uns 6 dB e meça de novo","Baixe o ganho uns 6 dB e meça de novo. No mínimo: ligue o pad"),IF(N24="Alto","Baixe o ganho cerca de "&amp;ABS(L24)&amp;" dB",IF(N24="Baixo",IF(E24="Sim","Veja se o pad é necessário. Sem ele, meça de novo","Suba o ganho cerca de "&amp;L24&amp;" dB"),"Manter"))))</f>
        <v/>
      </c>
      <c r="P24" s="5"/>
    </row>
    <row r="25" customFormat="false" ht="21.75" hidden="false" customHeight="true" outlineLevel="0" collapsed="false">
      <c r="B25" s="18" t="n">
        <v>12</v>
      </c>
      <c r="C25" s="5"/>
      <c r="D25" s="12"/>
      <c r="E25" s="12"/>
      <c r="F25" s="12"/>
      <c r="G25" s="9"/>
      <c r="H25" s="9"/>
      <c r="I25" s="12"/>
      <c r="J25" s="19" t="str">
        <f aca="false">IF(OR(G25="",H25=""),"",H25-G25)</f>
        <v/>
      </c>
      <c r="K25" s="19" t="str">
        <f aca="false">IF(H25="","",$L$6-H25)</f>
        <v/>
      </c>
      <c r="L25" s="20" t="str">
        <f aca="false">IF(OR(AND(G25="",H25=""),OR(I25="Sim",AND(H25&lt;&gt;"",H25&gt;=$L$6))),"",ROUND(IF(G25="",$L$5-H25,IF(H25="",$L$4-G25,MIN($L$4-G25,$L$5-H25))),0))</f>
        <v/>
      </c>
      <c r="M25" s="8" t="str">
        <f aca="false">IF(OR(F25="",L25=""),"",F25+L25)</f>
        <v/>
      </c>
      <c r="N25" s="21" t="str">
        <f aca="false">IF(I25="Sim","Clip",IF(AND(G25="",H25=""),"",IF(AND(H25&lt;&gt;"",H25&gt;=$L$6),"Clip",IF(L25&lt;-$L$7,"Alto",IF(L25&gt;$L$7,"Baixo","OK")))))</f>
        <v/>
      </c>
      <c r="O25" s="22" t="str">
        <f aca="false">IF(N25="","",IF(N25="Clip",IF(E25="Sim","Baixe o ganho uns 6 dB e meça de novo","Baixe o ganho uns 6 dB e meça de novo. No mínimo: ligue o pad"),IF(N25="Alto","Baixe o ganho cerca de "&amp;ABS(L25)&amp;" dB",IF(N25="Baixo",IF(E25="Sim","Veja se o pad é necessário. Sem ele, meça de novo","Suba o ganho cerca de "&amp;L25&amp;" dB"),"Manter"))))</f>
        <v/>
      </c>
      <c r="P25" s="5"/>
    </row>
    <row r="26" customFormat="false" ht="21.75" hidden="false" customHeight="true" outlineLevel="0" collapsed="false">
      <c r="B26" s="18" t="n">
        <v>13</v>
      </c>
      <c r="C26" s="5"/>
      <c r="D26" s="12"/>
      <c r="E26" s="12"/>
      <c r="F26" s="12"/>
      <c r="G26" s="9"/>
      <c r="H26" s="9"/>
      <c r="I26" s="12"/>
      <c r="J26" s="19" t="str">
        <f aca="false">IF(OR(G26="",H26=""),"",H26-G26)</f>
        <v/>
      </c>
      <c r="K26" s="19" t="str">
        <f aca="false">IF(H26="","",$L$6-H26)</f>
        <v/>
      </c>
      <c r="L26" s="20" t="str">
        <f aca="false">IF(OR(AND(G26="",H26=""),OR(I26="Sim",AND(H26&lt;&gt;"",H26&gt;=$L$6))),"",ROUND(IF(G26="",$L$5-H26,IF(H26="",$L$4-G26,MIN($L$4-G26,$L$5-H26))),0))</f>
        <v/>
      </c>
      <c r="M26" s="8" t="str">
        <f aca="false">IF(OR(F26="",L26=""),"",F26+L26)</f>
        <v/>
      </c>
      <c r="N26" s="21" t="str">
        <f aca="false">IF(I26="Sim","Clip",IF(AND(G26="",H26=""),"",IF(AND(H26&lt;&gt;"",H26&gt;=$L$6),"Clip",IF(L26&lt;-$L$7,"Alto",IF(L26&gt;$L$7,"Baixo","OK")))))</f>
        <v/>
      </c>
      <c r="O26" s="22" t="str">
        <f aca="false">IF(N26="","",IF(N26="Clip",IF(E26="Sim","Baixe o ganho uns 6 dB e meça de novo","Baixe o ganho uns 6 dB e meça de novo. No mínimo: ligue o pad"),IF(N26="Alto","Baixe o ganho cerca de "&amp;ABS(L26)&amp;" dB",IF(N26="Baixo",IF(E26="Sim","Veja se o pad é necessário. Sem ele, meça de novo","Suba o ganho cerca de "&amp;L26&amp;" dB"),"Manter"))))</f>
        <v/>
      </c>
      <c r="P26" s="5"/>
    </row>
    <row r="27" customFormat="false" ht="21.75" hidden="false" customHeight="true" outlineLevel="0" collapsed="false">
      <c r="B27" s="18" t="n">
        <v>14</v>
      </c>
      <c r="C27" s="5"/>
      <c r="D27" s="12"/>
      <c r="E27" s="12"/>
      <c r="F27" s="12"/>
      <c r="G27" s="9"/>
      <c r="H27" s="9"/>
      <c r="I27" s="12"/>
      <c r="J27" s="19" t="str">
        <f aca="false">IF(OR(G27="",H27=""),"",H27-G27)</f>
        <v/>
      </c>
      <c r="K27" s="19" t="str">
        <f aca="false">IF(H27="","",$L$6-H27)</f>
        <v/>
      </c>
      <c r="L27" s="20" t="str">
        <f aca="false">IF(OR(AND(G27="",H27=""),OR(I27="Sim",AND(H27&lt;&gt;"",H27&gt;=$L$6))),"",ROUND(IF(G27="",$L$5-H27,IF(H27="",$L$4-G27,MIN($L$4-G27,$L$5-H27))),0))</f>
        <v/>
      </c>
      <c r="M27" s="8" t="str">
        <f aca="false">IF(OR(F27="",L27=""),"",F27+L27)</f>
        <v/>
      </c>
      <c r="N27" s="21" t="str">
        <f aca="false">IF(I27="Sim","Clip",IF(AND(G27="",H27=""),"",IF(AND(H27&lt;&gt;"",H27&gt;=$L$6),"Clip",IF(L27&lt;-$L$7,"Alto",IF(L27&gt;$L$7,"Baixo","OK")))))</f>
        <v/>
      </c>
      <c r="O27" s="22" t="str">
        <f aca="false">IF(N27="","",IF(N27="Clip",IF(E27="Sim","Baixe o ganho uns 6 dB e meça de novo","Baixe o ganho uns 6 dB e meça de novo. No mínimo: ligue o pad"),IF(N27="Alto","Baixe o ganho cerca de "&amp;ABS(L27)&amp;" dB",IF(N27="Baixo",IF(E27="Sim","Veja se o pad é necessário. Sem ele, meça de novo","Suba o ganho cerca de "&amp;L27&amp;" dB"),"Manter"))))</f>
        <v/>
      </c>
      <c r="P27" s="5"/>
    </row>
    <row r="28" customFormat="false" ht="21.75" hidden="false" customHeight="true" outlineLevel="0" collapsed="false">
      <c r="B28" s="18" t="n">
        <v>15</v>
      </c>
      <c r="C28" s="5"/>
      <c r="D28" s="12"/>
      <c r="E28" s="12"/>
      <c r="F28" s="12"/>
      <c r="G28" s="9"/>
      <c r="H28" s="9"/>
      <c r="I28" s="12"/>
      <c r="J28" s="19" t="str">
        <f aca="false">IF(OR(G28="",H28=""),"",H28-G28)</f>
        <v/>
      </c>
      <c r="K28" s="19" t="str">
        <f aca="false">IF(H28="","",$L$6-H28)</f>
        <v/>
      </c>
      <c r="L28" s="20" t="str">
        <f aca="false">IF(OR(AND(G28="",H28=""),OR(I28="Sim",AND(H28&lt;&gt;"",H28&gt;=$L$6))),"",ROUND(IF(G28="",$L$5-H28,IF(H28="",$L$4-G28,MIN($L$4-G28,$L$5-H28))),0))</f>
        <v/>
      </c>
      <c r="M28" s="8" t="str">
        <f aca="false">IF(OR(F28="",L28=""),"",F28+L28)</f>
        <v/>
      </c>
      <c r="N28" s="21" t="str">
        <f aca="false">IF(I28="Sim","Clip",IF(AND(G28="",H28=""),"",IF(AND(H28&lt;&gt;"",H28&gt;=$L$6),"Clip",IF(L28&lt;-$L$7,"Alto",IF(L28&gt;$L$7,"Baixo","OK")))))</f>
        <v/>
      </c>
      <c r="O28" s="22" t="str">
        <f aca="false">IF(N28="","",IF(N28="Clip",IF(E28="Sim","Baixe o ganho uns 6 dB e meça de novo","Baixe o ganho uns 6 dB e meça de novo. No mínimo: ligue o pad"),IF(N28="Alto","Baixe o ganho cerca de "&amp;ABS(L28)&amp;" dB",IF(N28="Baixo",IF(E28="Sim","Veja se o pad é necessário. Sem ele, meça de novo","Suba o ganho cerca de "&amp;L28&amp;" dB"),"Manter"))))</f>
        <v/>
      </c>
      <c r="P28" s="5"/>
    </row>
    <row r="29" customFormat="false" ht="21.75" hidden="false" customHeight="true" outlineLevel="0" collapsed="false">
      <c r="B29" s="18" t="n">
        <v>16</v>
      </c>
      <c r="C29" s="5"/>
      <c r="D29" s="12"/>
      <c r="E29" s="12"/>
      <c r="F29" s="12"/>
      <c r="G29" s="9"/>
      <c r="H29" s="9"/>
      <c r="I29" s="12"/>
      <c r="J29" s="19" t="str">
        <f aca="false">IF(OR(G29="",H29=""),"",H29-G29)</f>
        <v/>
      </c>
      <c r="K29" s="19" t="str">
        <f aca="false">IF(H29="","",$L$6-H29)</f>
        <v/>
      </c>
      <c r="L29" s="20" t="str">
        <f aca="false">IF(OR(AND(G29="",H29=""),OR(I29="Sim",AND(H29&lt;&gt;"",H29&gt;=$L$6))),"",ROUND(IF(G29="",$L$5-H29,IF(H29="",$L$4-G29,MIN($L$4-G29,$L$5-H29))),0))</f>
        <v/>
      </c>
      <c r="M29" s="8" t="str">
        <f aca="false">IF(OR(F29="",L29=""),"",F29+L29)</f>
        <v/>
      </c>
      <c r="N29" s="21" t="str">
        <f aca="false">IF(I29="Sim","Clip",IF(AND(G29="",H29=""),"",IF(AND(H29&lt;&gt;"",H29&gt;=$L$6),"Clip",IF(L29&lt;-$L$7,"Alto",IF(L29&gt;$L$7,"Baixo","OK")))))</f>
        <v/>
      </c>
      <c r="O29" s="22" t="str">
        <f aca="false">IF(N29="","",IF(N29="Clip",IF(E29="Sim","Baixe o ganho uns 6 dB e meça de novo","Baixe o ganho uns 6 dB e meça de novo. No mínimo: ligue o pad"),IF(N29="Alto","Baixe o ganho cerca de "&amp;ABS(L29)&amp;" dB",IF(N29="Baixo",IF(E29="Sim","Veja se o pad é necessário. Sem ele, meça de novo","Suba o ganho cerca de "&amp;L29&amp;" dB"),"Manter"))))</f>
        <v/>
      </c>
      <c r="P29" s="5"/>
    </row>
    <row r="30" customFormat="false" ht="21.75" hidden="false" customHeight="true" outlineLevel="0" collapsed="false">
      <c r="B30" s="18" t="n">
        <v>17</v>
      </c>
      <c r="C30" s="5"/>
      <c r="D30" s="12"/>
      <c r="E30" s="12"/>
      <c r="F30" s="12"/>
      <c r="G30" s="9"/>
      <c r="H30" s="9"/>
      <c r="I30" s="12"/>
      <c r="J30" s="19" t="str">
        <f aca="false">IF(OR(G30="",H30=""),"",H30-G30)</f>
        <v/>
      </c>
      <c r="K30" s="19" t="str">
        <f aca="false">IF(H30="","",$L$6-H30)</f>
        <v/>
      </c>
      <c r="L30" s="20" t="str">
        <f aca="false">IF(OR(AND(G30="",H30=""),OR(I30="Sim",AND(H30&lt;&gt;"",H30&gt;=$L$6))),"",ROUND(IF(G30="",$L$5-H30,IF(H30="",$L$4-G30,MIN($L$4-G30,$L$5-H30))),0))</f>
        <v/>
      </c>
      <c r="M30" s="8" t="str">
        <f aca="false">IF(OR(F30="",L30=""),"",F30+L30)</f>
        <v/>
      </c>
      <c r="N30" s="21" t="str">
        <f aca="false">IF(I30="Sim","Clip",IF(AND(G30="",H30=""),"",IF(AND(H30&lt;&gt;"",H30&gt;=$L$6),"Clip",IF(L30&lt;-$L$7,"Alto",IF(L30&gt;$L$7,"Baixo","OK")))))</f>
        <v/>
      </c>
      <c r="O30" s="22" t="str">
        <f aca="false">IF(N30="","",IF(N30="Clip",IF(E30="Sim","Baixe o ganho uns 6 dB e meça de novo","Baixe o ganho uns 6 dB e meça de novo. No mínimo: ligue o pad"),IF(N30="Alto","Baixe o ganho cerca de "&amp;ABS(L30)&amp;" dB",IF(N30="Baixo",IF(E30="Sim","Veja se o pad é necessário. Sem ele, meça de novo","Suba o ganho cerca de "&amp;L30&amp;" dB"),"Manter"))))</f>
        <v/>
      </c>
      <c r="P30" s="5"/>
    </row>
    <row r="31" customFormat="false" ht="21.75" hidden="false" customHeight="true" outlineLevel="0" collapsed="false">
      <c r="B31" s="18" t="n">
        <v>18</v>
      </c>
      <c r="C31" s="5"/>
      <c r="D31" s="12"/>
      <c r="E31" s="12"/>
      <c r="F31" s="12"/>
      <c r="G31" s="9"/>
      <c r="H31" s="9"/>
      <c r="I31" s="12"/>
      <c r="J31" s="19" t="str">
        <f aca="false">IF(OR(G31="",H31=""),"",H31-G31)</f>
        <v/>
      </c>
      <c r="K31" s="19" t="str">
        <f aca="false">IF(H31="","",$L$6-H31)</f>
        <v/>
      </c>
      <c r="L31" s="20" t="str">
        <f aca="false">IF(OR(AND(G31="",H31=""),OR(I31="Sim",AND(H31&lt;&gt;"",H31&gt;=$L$6))),"",ROUND(IF(G31="",$L$5-H31,IF(H31="",$L$4-G31,MIN($L$4-G31,$L$5-H31))),0))</f>
        <v/>
      </c>
      <c r="M31" s="8" t="str">
        <f aca="false">IF(OR(F31="",L31=""),"",F31+L31)</f>
        <v/>
      </c>
      <c r="N31" s="21" t="str">
        <f aca="false">IF(I31="Sim","Clip",IF(AND(G31="",H31=""),"",IF(AND(H31&lt;&gt;"",H31&gt;=$L$6),"Clip",IF(L31&lt;-$L$7,"Alto",IF(L31&gt;$L$7,"Baixo","OK")))))</f>
        <v/>
      </c>
      <c r="O31" s="22" t="str">
        <f aca="false">IF(N31="","",IF(N31="Clip",IF(E31="Sim","Baixe o ganho uns 6 dB e meça de novo","Baixe o ganho uns 6 dB e meça de novo. No mínimo: ligue o pad"),IF(N31="Alto","Baixe o ganho cerca de "&amp;ABS(L31)&amp;" dB",IF(N31="Baixo",IF(E31="Sim","Veja se o pad é necessário. Sem ele, meça de novo","Suba o ganho cerca de "&amp;L31&amp;" dB"),"Manter"))))</f>
        <v/>
      </c>
      <c r="P31" s="5"/>
    </row>
    <row r="32" customFormat="false" ht="21.75" hidden="false" customHeight="true" outlineLevel="0" collapsed="false">
      <c r="B32" s="18" t="n">
        <v>19</v>
      </c>
      <c r="C32" s="5"/>
      <c r="D32" s="12"/>
      <c r="E32" s="12"/>
      <c r="F32" s="12"/>
      <c r="G32" s="9"/>
      <c r="H32" s="9"/>
      <c r="I32" s="12"/>
      <c r="J32" s="19" t="str">
        <f aca="false">IF(OR(G32="",H32=""),"",H32-G32)</f>
        <v/>
      </c>
      <c r="K32" s="19" t="str">
        <f aca="false">IF(H32="","",$L$6-H32)</f>
        <v/>
      </c>
      <c r="L32" s="20" t="str">
        <f aca="false">IF(OR(AND(G32="",H32=""),OR(I32="Sim",AND(H32&lt;&gt;"",H32&gt;=$L$6))),"",ROUND(IF(G32="",$L$5-H32,IF(H32="",$L$4-G32,MIN($L$4-G32,$L$5-H32))),0))</f>
        <v/>
      </c>
      <c r="M32" s="8" t="str">
        <f aca="false">IF(OR(F32="",L32=""),"",F32+L32)</f>
        <v/>
      </c>
      <c r="N32" s="21" t="str">
        <f aca="false">IF(I32="Sim","Clip",IF(AND(G32="",H32=""),"",IF(AND(H32&lt;&gt;"",H32&gt;=$L$6),"Clip",IF(L32&lt;-$L$7,"Alto",IF(L32&gt;$L$7,"Baixo","OK")))))</f>
        <v/>
      </c>
      <c r="O32" s="22" t="str">
        <f aca="false">IF(N32="","",IF(N32="Clip",IF(E32="Sim","Baixe o ganho uns 6 dB e meça de novo","Baixe o ganho uns 6 dB e meça de novo. No mínimo: ligue o pad"),IF(N32="Alto","Baixe o ganho cerca de "&amp;ABS(L32)&amp;" dB",IF(N32="Baixo",IF(E32="Sim","Veja se o pad é necessário. Sem ele, meça de novo","Suba o ganho cerca de "&amp;L32&amp;" dB"),"Manter"))))</f>
        <v/>
      </c>
      <c r="P32" s="5"/>
    </row>
    <row r="33" customFormat="false" ht="21.75" hidden="false" customHeight="true" outlineLevel="0" collapsed="false">
      <c r="B33" s="18" t="n">
        <v>20</v>
      </c>
      <c r="C33" s="5"/>
      <c r="D33" s="12"/>
      <c r="E33" s="12"/>
      <c r="F33" s="12"/>
      <c r="G33" s="9"/>
      <c r="H33" s="9"/>
      <c r="I33" s="12"/>
      <c r="J33" s="19" t="str">
        <f aca="false">IF(OR(G33="",H33=""),"",H33-G33)</f>
        <v/>
      </c>
      <c r="K33" s="19" t="str">
        <f aca="false">IF(H33="","",$L$6-H33)</f>
        <v/>
      </c>
      <c r="L33" s="20" t="str">
        <f aca="false">IF(OR(AND(G33="",H33=""),OR(I33="Sim",AND(H33&lt;&gt;"",H33&gt;=$L$6))),"",ROUND(IF(G33="",$L$5-H33,IF(H33="",$L$4-G33,MIN($L$4-G33,$L$5-H33))),0))</f>
        <v/>
      </c>
      <c r="M33" s="8" t="str">
        <f aca="false">IF(OR(F33="",L33=""),"",F33+L33)</f>
        <v/>
      </c>
      <c r="N33" s="21" t="str">
        <f aca="false">IF(I33="Sim","Clip",IF(AND(G33="",H33=""),"",IF(AND(H33&lt;&gt;"",H33&gt;=$L$6),"Clip",IF(L33&lt;-$L$7,"Alto",IF(L33&gt;$L$7,"Baixo","OK")))))</f>
        <v/>
      </c>
      <c r="O33" s="22" t="str">
        <f aca="false">IF(N33="","",IF(N33="Clip",IF(E33="Sim","Baixe o ganho uns 6 dB e meça de novo","Baixe o ganho uns 6 dB e meça de novo. No mínimo: ligue o pad"),IF(N33="Alto","Baixe o ganho cerca de "&amp;ABS(L33)&amp;" dB",IF(N33="Baixo",IF(E33="Sim","Veja se o pad é necessário. Sem ele, meça de novo","Suba o ganho cerca de "&amp;L33&amp;" dB"),"Manter"))))</f>
        <v/>
      </c>
      <c r="P33" s="5"/>
    </row>
    <row r="34" customFormat="false" ht="21.75" hidden="false" customHeight="true" outlineLevel="0" collapsed="false">
      <c r="B34" s="18" t="n">
        <v>21</v>
      </c>
      <c r="C34" s="5"/>
      <c r="D34" s="12"/>
      <c r="E34" s="12"/>
      <c r="F34" s="12"/>
      <c r="G34" s="9"/>
      <c r="H34" s="9"/>
      <c r="I34" s="12"/>
      <c r="J34" s="19" t="str">
        <f aca="false">IF(OR(G34="",H34=""),"",H34-G34)</f>
        <v/>
      </c>
      <c r="K34" s="19" t="str">
        <f aca="false">IF(H34="","",$L$6-H34)</f>
        <v/>
      </c>
      <c r="L34" s="20" t="str">
        <f aca="false">IF(OR(AND(G34="",H34=""),OR(I34="Sim",AND(H34&lt;&gt;"",H34&gt;=$L$6))),"",ROUND(IF(G34="",$L$5-H34,IF(H34="",$L$4-G34,MIN($L$4-G34,$L$5-H34))),0))</f>
        <v/>
      </c>
      <c r="M34" s="8" t="str">
        <f aca="false">IF(OR(F34="",L34=""),"",F34+L34)</f>
        <v/>
      </c>
      <c r="N34" s="21" t="str">
        <f aca="false">IF(I34="Sim","Clip",IF(AND(G34="",H34=""),"",IF(AND(H34&lt;&gt;"",H34&gt;=$L$6),"Clip",IF(L34&lt;-$L$7,"Alto",IF(L34&gt;$L$7,"Baixo","OK")))))</f>
        <v/>
      </c>
      <c r="O34" s="22" t="str">
        <f aca="false">IF(N34="","",IF(N34="Clip",IF(E34="Sim","Baixe o ganho uns 6 dB e meça de novo","Baixe o ganho uns 6 dB e meça de novo. No mínimo: ligue o pad"),IF(N34="Alto","Baixe o ganho cerca de "&amp;ABS(L34)&amp;" dB",IF(N34="Baixo",IF(E34="Sim","Veja se o pad é necessário. Sem ele, meça de novo","Suba o ganho cerca de "&amp;L34&amp;" dB"),"Manter"))))</f>
        <v/>
      </c>
      <c r="P34" s="5"/>
    </row>
    <row r="35" customFormat="false" ht="21.75" hidden="false" customHeight="true" outlineLevel="0" collapsed="false">
      <c r="B35" s="18" t="n">
        <v>22</v>
      </c>
      <c r="C35" s="5"/>
      <c r="D35" s="12"/>
      <c r="E35" s="12"/>
      <c r="F35" s="12"/>
      <c r="G35" s="9"/>
      <c r="H35" s="9"/>
      <c r="I35" s="12"/>
      <c r="J35" s="19" t="str">
        <f aca="false">IF(OR(G35="",H35=""),"",H35-G35)</f>
        <v/>
      </c>
      <c r="K35" s="19" t="str">
        <f aca="false">IF(H35="","",$L$6-H35)</f>
        <v/>
      </c>
      <c r="L35" s="20" t="str">
        <f aca="false">IF(OR(AND(G35="",H35=""),OR(I35="Sim",AND(H35&lt;&gt;"",H35&gt;=$L$6))),"",ROUND(IF(G35="",$L$5-H35,IF(H35="",$L$4-G35,MIN($L$4-G35,$L$5-H35))),0))</f>
        <v/>
      </c>
      <c r="M35" s="8" t="str">
        <f aca="false">IF(OR(F35="",L35=""),"",F35+L35)</f>
        <v/>
      </c>
      <c r="N35" s="21" t="str">
        <f aca="false">IF(I35="Sim","Clip",IF(AND(G35="",H35=""),"",IF(AND(H35&lt;&gt;"",H35&gt;=$L$6),"Clip",IF(L35&lt;-$L$7,"Alto",IF(L35&gt;$L$7,"Baixo","OK")))))</f>
        <v/>
      </c>
      <c r="O35" s="22" t="str">
        <f aca="false">IF(N35="","",IF(N35="Clip",IF(E35="Sim","Baixe o ganho uns 6 dB e meça de novo","Baixe o ganho uns 6 dB e meça de novo. No mínimo: ligue o pad"),IF(N35="Alto","Baixe o ganho cerca de "&amp;ABS(L35)&amp;" dB",IF(N35="Baixo",IF(E35="Sim","Veja se o pad é necessário. Sem ele, meça de novo","Suba o ganho cerca de "&amp;L35&amp;" dB"),"Manter"))))</f>
        <v/>
      </c>
      <c r="P35" s="5"/>
    </row>
    <row r="36" customFormat="false" ht="21.75" hidden="false" customHeight="true" outlineLevel="0" collapsed="false">
      <c r="B36" s="18" t="n">
        <v>23</v>
      </c>
      <c r="C36" s="5"/>
      <c r="D36" s="12"/>
      <c r="E36" s="12"/>
      <c r="F36" s="12"/>
      <c r="G36" s="9"/>
      <c r="H36" s="9"/>
      <c r="I36" s="12"/>
      <c r="J36" s="19" t="str">
        <f aca="false">IF(OR(G36="",H36=""),"",H36-G36)</f>
        <v/>
      </c>
      <c r="K36" s="19" t="str">
        <f aca="false">IF(H36="","",$L$6-H36)</f>
        <v/>
      </c>
      <c r="L36" s="20" t="str">
        <f aca="false">IF(OR(AND(G36="",H36=""),OR(I36="Sim",AND(H36&lt;&gt;"",H36&gt;=$L$6))),"",ROUND(IF(G36="",$L$5-H36,IF(H36="",$L$4-G36,MIN($L$4-G36,$L$5-H36))),0))</f>
        <v/>
      </c>
      <c r="M36" s="8" t="str">
        <f aca="false">IF(OR(F36="",L36=""),"",F36+L36)</f>
        <v/>
      </c>
      <c r="N36" s="21" t="str">
        <f aca="false">IF(I36="Sim","Clip",IF(AND(G36="",H36=""),"",IF(AND(H36&lt;&gt;"",H36&gt;=$L$6),"Clip",IF(L36&lt;-$L$7,"Alto",IF(L36&gt;$L$7,"Baixo","OK")))))</f>
        <v/>
      </c>
      <c r="O36" s="22" t="str">
        <f aca="false">IF(N36="","",IF(N36="Clip",IF(E36="Sim","Baixe o ganho uns 6 dB e meça de novo","Baixe o ganho uns 6 dB e meça de novo. No mínimo: ligue o pad"),IF(N36="Alto","Baixe o ganho cerca de "&amp;ABS(L36)&amp;" dB",IF(N36="Baixo",IF(E36="Sim","Veja se o pad é necessário. Sem ele, meça de novo","Suba o ganho cerca de "&amp;L36&amp;" dB"),"Manter"))))</f>
        <v/>
      </c>
      <c r="P36" s="5"/>
    </row>
    <row r="37" customFormat="false" ht="21.75" hidden="false" customHeight="true" outlineLevel="0" collapsed="false">
      <c r="B37" s="18" t="n">
        <v>24</v>
      </c>
      <c r="C37" s="5"/>
      <c r="D37" s="12"/>
      <c r="E37" s="12"/>
      <c r="F37" s="12"/>
      <c r="G37" s="9"/>
      <c r="H37" s="9"/>
      <c r="I37" s="12"/>
      <c r="J37" s="19" t="str">
        <f aca="false">IF(OR(G37="",H37=""),"",H37-G37)</f>
        <v/>
      </c>
      <c r="K37" s="19" t="str">
        <f aca="false">IF(H37="","",$L$6-H37)</f>
        <v/>
      </c>
      <c r="L37" s="20" t="str">
        <f aca="false">IF(OR(AND(G37="",H37=""),OR(I37="Sim",AND(H37&lt;&gt;"",H37&gt;=$L$6))),"",ROUND(IF(G37="",$L$5-H37,IF(H37="",$L$4-G37,MIN($L$4-G37,$L$5-H37))),0))</f>
        <v/>
      </c>
      <c r="M37" s="8" t="str">
        <f aca="false">IF(OR(F37="",L37=""),"",F37+L37)</f>
        <v/>
      </c>
      <c r="N37" s="21" t="str">
        <f aca="false">IF(I37="Sim","Clip",IF(AND(G37="",H37=""),"",IF(AND(H37&lt;&gt;"",H37&gt;=$L$6),"Clip",IF(L37&lt;-$L$7,"Alto",IF(L37&gt;$L$7,"Baixo","OK")))))</f>
        <v/>
      </c>
      <c r="O37" s="22" t="str">
        <f aca="false">IF(N37="","",IF(N37="Clip",IF(E37="Sim","Baixe o ganho uns 6 dB e meça de novo","Baixe o ganho uns 6 dB e meça de novo. No mínimo: ligue o pad"),IF(N37="Alto","Baixe o ganho cerca de "&amp;ABS(L37)&amp;" dB",IF(N37="Baixo",IF(E37="Sim","Veja se o pad é necessário. Sem ele, meça de novo","Suba o ganho cerca de "&amp;L37&amp;" dB"),"Manter"))))</f>
        <v/>
      </c>
      <c r="P37" s="5"/>
    </row>
    <row r="39" customFormat="false" ht="21.75" hidden="false" customHeight="true" outlineLevel="0" collapsed="false">
      <c r="B39" s="13" t="s">
        <v>104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customFormat="false" ht="19.5" hidden="false" customHeight="true" outlineLevel="0" collapsed="false">
      <c r="B40" s="23" t="s">
        <v>105</v>
      </c>
      <c r="C40" s="23"/>
      <c r="D40" s="23"/>
      <c r="E40" s="23"/>
      <c r="F40" s="21" t="n">
        <f aca="false">COUNTA(C14:C37)</f>
        <v>0</v>
      </c>
      <c r="G40" s="21"/>
      <c r="H40" s="21"/>
    </row>
    <row r="41" customFormat="false" ht="19.5" hidden="false" customHeight="true" outlineLevel="0" collapsed="false">
      <c r="B41" s="23" t="s">
        <v>106</v>
      </c>
      <c r="C41" s="23"/>
      <c r="D41" s="23"/>
      <c r="E41" s="23"/>
      <c r="F41" s="21" t="n">
        <f aca="false">COUNTIF(N14:N37,"OK")+COUNTIF(N14:N37,"Baixo")+COUNTIF(N14:N37,"Alto")+COUNTIF(N14:N37,"Clip")</f>
        <v>0</v>
      </c>
      <c r="G41" s="21"/>
      <c r="H41" s="21"/>
    </row>
    <row r="42" customFormat="false" ht="19.5" hidden="false" customHeight="true" outlineLevel="0" collapsed="false">
      <c r="B42" s="23" t="s">
        <v>107</v>
      </c>
      <c r="C42" s="23"/>
      <c r="D42" s="23"/>
      <c r="E42" s="23"/>
      <c r="F42" s="21" t="n">
        <f aca="false">COUNTIF(N14:N37,"OK")</f>
        <v>0</v>
      </c>
      <c r="G42" s="21"/>
      <c r="H42" s="21"/>
    </row>
    <row r="43" customFormat="false" ht="19.5" hidden="false" customHeight="true" outlineLevel="0" collapsed="false">
      <c r="B43" s="23" t="s">
        <v>108</v>
      </c>
      <c r="C43" s="23"/>
      <c r="D43" s="23"/>
      <c r="E43" s="23"/>
      <c r="F43" s="21" t="n">
        <f aca="false">COUNTIF(N14:N37,"Baixo")</f>
        <v>0</v>
      </c>
      <c r="G43" s="21"/>
      <c r="H43" s="21"/>
    </row>
    <row r="44" customFormat="false" ht="19.5" hidden="false" customHeight="true" outlineLevel="0" collapsed="false">
      <c r="B44" s="23" t="s">
        <v>109</v>
      </c>
      <c r="C44" s="23"/>
      <c r="D44" s="23"/>
      <c r="E44" s="23"/>
      <c r="F44" s="21" t="n">
        <f aca="false">COUNTIF(N14:N37,"Alto")</f>
        <v>0</v>
      </c>
      <c r="G44" s="21"/>
      <c r="H44" s="21"/>
    </row>
    <row r="45" customFormat="false" ht="19.5" hidden="false" customHeight="true" outlineLevel="0" collapsed="false">
      <c r="B45" s="23" t="s">
        <v>110</v>
      </c>
      <c r="C45" s="23"/>
      <c r="D45" s="23"/>
      <c r="E45" s="23"/>
      <c r="F45" s="21" t="n">
        <f aca="false">COUNTIF(N14:N37,"Clip")</f>
        <v>0</v>
      </c>
      <c r="G45" s="21"/>
      <c r="H45" s="21"/>
    </row>
    <row r="46" customFormat="false" ht="21.75" hidden="false" customHeight="true" outlineLevel="0" collapsed="false">
      <c r="B46" s="23" t="s">
        <v>111</v>
      </c>
      <c r="C46" s="23"/>
      <c r="D46" s="23"/>
      <c r="E46" s="23"/>
      <c r="F46" s="24" t="str">
        <f aca="false">IF(COUNT(L4:L7)&lt;4,"Informe os quatro valores de referência",IF(F40=0,"Liste os canais",IF(F45&gt;0,"Há canal em clip: corrija antes de mixar",IF(F41&lt;F40,"Há canal sem leitura",IF(F43+F44&gt;0,"Há ganho a ajustar","OK")))))</f>
        <v>Liste os canais</v>
      </c>
      <c r="G46" s="24"/>
      <c r="H46" s="24"/>
      <c r="I46" s="24"/>
      <c r="J46" s="24"/>
      <c r="K46" s="24"/>
      <c r="L46" s="24"/>
      <c r="M46" s="24"/>
      <c r="N46" s="24"/>
      <c r="O46" s="24"/>
    </row>
  </sheetData>
  <mergeCells count="37">
    <mergeCell ref="B1:P1"/>
    <mergeCell ref="B2:P2"/>
    <mergeCell ref="B4:C4"/>
    <mergeCell ref="D4:H4"/>
    <mergeCell ref="I4:K4"/>
    <mergeCell ref="M4:P4"/>
    <mergeCell ref="B5:C5"/>
    <mergeCell ref="D5:H5"/>
    <mergeCell ref="I5:K5"/>
    <mergeCell ref="M5:P5"/>
    <mergeCell ref="B6:C6"/>
    <mergeCell ref="D6:H6"/>
    <mergeCell ref="I6:K6"/>
    <mergeCell ref="M6:P6"/>
    <mergeCell ref="B7:C7"/>
    <mergeCell ref="D7:H7"/>
    <mergeCell ref="I7:K7"/>
    <mergeCell ref="M7:P7"/>
    <mergeCell ref="B8:C8"/>
    <mergeCell ref="D8:H8"/>
    <mergeCell ref="I8:P8"/>
    <mergeCell ref="B10:P10"/>
    <mergeCell ref="B39:P39"/>
    <mergeCell ref="B40:E40"/>
    <mergeCell ref="F40:H40"/>
    <mergeCell ref="B41:E41"/>
    <mergeCell ref="F41:H41"/>
    <mergeCell ref="B42:E42"/>
    <mergeCell ref="F42:H42"/>
    <mergeCell ref="B43:E43"/>
    <mergeCell ref="F43:H43"/>
    <mergeCell ref="B44:E44"/>
    <mergeCell ref="F44:H44"/>
    <mergeCell ref="B45:E45"/>
    <mergeCell ref="F45:H45"/>
    <mergeCell ref="B46:E46"/>
    <mergeCell ref="F46:O46"/>
  </mergeCells>
  <conditionalFormatting sqref="N14:N3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"Baixo"</formula>
    </cfRule>
    <cfRule type="cellIs" priority="4" operator="equal" aboveAverage="0" equalAverage="0" bottom="0" percent="0" rank="0" text="" dxfId="1">
      <formula>"Alto"</formula>
    </cfRule>
    <cfRule type="cellIs" priority="5" operator="equal" aboveAverage="0" equalAverage="0" bottom="0" percent="0" rank="0" text="" dxfId="1">
      <formula>"Fader baixo"</formula>
    </cfRule>
    <cfRule type="cellIs" priority="6" operator="equal" aboveAverage="0" equalAverage="0" bottom="0" percent="0" rank="0" text="" dxfId="1">
      <formula>"Fader alto"</formula>
    </cfRule>
    <cfRule type="cellIs" priority="7" operator="equal" aboveAverage="0" equalAverage="0" bottom="0" percent="0" rank="0" text="" dxfId="2">
      <formula>"Clip"</formula>
    </cfRule>
  </conditionalFormatting>
  <conditionalFormatting sqref="F46:O46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Escolha uma das opções da lista." errorStyle="stop" errorTitle="Valor inválido" operator="between" prompt="Microfone, Linha, DI, Sem fio ou Digital." promptTitle="Opções" showDropDown="false" showErrorMessage="true" showInputMessage="true" sqref="D14:D37" type="list">
      <formula1>"Microfone,Linha,DI,Sem fio,Digital"</formula1>
      <formula2>0</formula2>
    </dataValidation>
    <dataValidation allowBlank="true" error="Escolha uma das opções da lista." errorStyle="stop" errorTitle="Valor inválido" operator="between" prompt="O pad do canal está ligado?" promptTitle="Opções" showDropDown="false" showErrorMessage="true" showInputMessage="true" sqref="E14:E37" type="list">
      <formula1>"Sim,Não"</formula1>
      <formula2>0</formula2>
    </dataValidation>
    <dataValidation allowBlank="true" error="Escolha uma das opções da lista." errorStyle="stop" errorTitle="Valor inválido" operator="between" prompt="A luz de clip acendeu durante a leitura?" promptTitle="Opções" showDropDown="false" showErrorMessage="true" showInputMessage="true" sqref="I14:I37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4:H37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52"/>
    <col collapsed="false" customWidth="true" hidden="false" outlineLevel="0" max="11" min="11" style="0" width="30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112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113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4" t="s">
        <v>114</v>
      </c>
      <c r="C4" s="4"/>
      <c r="D4" s="5"/>
      <c r="E4" s="5"/>
      <c r="F4" s="4" t="s">
        <v>60</v>
      </c>
      <c r="G4" s="4"/>
      <c r="H4" s="4"/>
      <c r="I4" s="9" t="n">
        <v>-18</v>
      </c>
      <c r="J4" s="10" t="s">
        <v>61</v>
      </c>
      <c r="K4" s="10"/>
    </row>
    <row r="5" customFormat="false" ht="21.75" hidden="false" customHeight="true" outlineLevel="0" collapsed="false">
      <c r="B5" s="4" t="s">
        <v>115</v>
      </c>
      <c r="C5" s="4"/>
      <c r="D5" s="5"/>
      <c r="E5" s="5"/>
      <c r="F5" s="4" t="s">
        <v>63</v>
      </c>
      <c r="G5" s="4"/>
      <c r="H5" s="4"/>
      <c r="I5" s="9" t="n">
        <v>-6</v>
      </c>
      <c r="J5" s="10" t="s">
        <v>64</v>
      </c>
      <c r="K5" s="10"/>
    </row>
    <row r="6" customFormat="false" ht="21.75" hidden="false" customHeight="true" outlineLevel="0" collapsed="false">
      <c r="B6" s="4" t="s">
        <v>65</v>
      </c>
      <c r="C6" s="4"/>
      <c r="D6" s="11"/>
      <c r="E6" s="11"/>
      <c r="F6" s="4" t="s">
        <v>66</v>
      </c>
      <c r="G6" s="4"/>
      <c r="H6" s="4"/>
      <c r="I6" s="9" t="n">
        <v>0</v>
      </c>
      <c r="J6" s="10" t="s">
        <v>67</v>
      </c>
      <c r="K6" s="10"/>
    </row>
    <row r="7" customFormat="false" ht="21.75" hidden="false" customHeight="true" outlineLevel="0" collapsed="false">
      <c r="B7" s="4" t="s">
        <v>68</v>
      </c>
      <c r="C7" s="4"/>
      <c r="D7" s="5"/>
      <c r="E7" s="5"/>
      <c r="F7" s="4" t="s">
        <v>69</v>
      </c>
      <c r="G7" s="4"/>
      <c r="H7" s="4"/>
      <c r="I7" s="12" t="n">
        <v>3</v>
      </c>
      <c r="J7" s="10" t="s">
        <v>70</v>
      </c>
      <c r="K7" s="10"/>
    </row>
    <row r="9" customFormat="false" ht="21.75" hidden="false" customHeight="true" outlineLevel="0" collapsed="false">
      <c r="B9" s="13" t="s">
        <v>116</v>
      </c>
      <c r="C9" s="13"/>
      <c r="D9" s="13"/>
      <c r="E9" s="13"/>
      <c r="F9" s="13"/>
      <c r="G9" s="13"/>
      <c r="H9" s="13"/>
      <c r="I9" s="13"/>
      <c r="J9" s="13"/>
      <c r="K9" s="13"/>
    </row>
    <row r="10" customFormat="false" ht="30" hidden="false" customHeight="true" outlineLevel="0" collapsed="false">
      <c r="B10" s="14" t="s">
        <v>117</v>
      </c>
      <c r="C10" s="14" t="s">
        <v>118</v>
      </c>
      <c r="D10" s="14" t="s">
        <v>119</v>
      </c>
      <c r="E10" s="15" t="s">
        <v>120</v>
      </c>
      <c r="F10" s="15" t="s">
        <v>79</v>
      </c>
      <c r="G10" s="15" t="s">
        <v>80</v>
      </c>
      <c r="H10" s="15" t="s">
        <v>121</v>
      </c>
      <c r="I10" s="16" t="s">
        <v>50</v>
      </c>
      <c r="J10" s="16" t="s">
        <v>86</v>
      </c>
      <c r="K10" s="14" t="s">
        <v>87</v>
      </c>
    </row>
    <row r="11" customFormat="false" ht="21.75" hidden="false" customHeight="true" outlineLevel="0" collapsed="false">
      <c r="B11" s="17"/>
      <c r="C11" s="17"/>
      <c r="D11" s="17"/>
      <c r="E11" s="17" t="s">
        <v>97</v>
      </c>
      <c r="F11" s="17" t="s">
        <v>122</v>
      </c>
      <c r="G11" s="17" t="s">
        <v>122</v>
      </c>
      <c r="H11" s="17" t="s">
        <v>91</v>
      </c>
      <c r="I11" s="17"/>
      <c r="J11" s="17"/>
      <c r="K11" s="17"/>
    </row>
    <row r="12" customFormat="false" ht="30" hidden="false" customHeight="true" outlineLevel="0" collapsed="false">
      <c r="B12" s="18" t="n">
        <v>1</v>
      </c>
      <c r="C12" s="4" t="s">
        <v>123</v>
      </c>
      <c r="D12" s="6" t="s">
        <v>124</v>
      </c>
      <c r="E12" s="9"/>
      <c r="F12" s="9"/>
      <c r="G12" s="9"/>
      <c r="H12" s="12"/>
      <c r="I12" s="21" t="str">
        <f aca="false">IF(H12="Sim","Clip",IF(AND(F12="",G12=""),"",IF(AND(G12&lt;&gt;"",G12&gt;=$I$6),"Clip",IF(ROUND(IF(F12="",$I$5-G12,IF(G12="",$I$4-F12,MIN($I$4-F12,$I$5-G12))),0)&lt;-$I$7,"Alto",IF(ROUND(IF(F12="",$I$5-G12,IF(G12="",$I$4-F12,MIN($I$4-F12,$I$5-G12))),0)&gt;$I$7,"Baixo","OK")))))</f>
        <v/>
      </c>
      <c r="J12" s="22" t="str">
        <f aca="false">IF(I12="","",IF(I12="Clip","Baixe o ganho uns 6 dB e meça de novo. No mínimo: ligue o pad",IF(I12="Alto","Baixe o ganho cerca de "&amp;ABS(ROUND(IF(F12="",$I$5-G12,IF(G12="",$I$4-F12,MIN($I$4-F12,$I$5-G12))),0))&amp;" dB",IF(I12="Baixo","Suba o ganho cerca de "&amp;ROUND(IF(F12="",$I$5-G12,IF(G12="",$I$4-F12,MIN($I$4-F12,$I$5-G12))),0)&amp;" dB","Manter"))))</f>
        <v/>
      </c>
      <c r="K12" s="5"/>
    </row>
    <row r="13" customFormat="false" ht="30" hidden="false" customHeight="true" outlineLevel="0" collapsed="false">
      <c r="B13" s="18" t="n">
        <v>2</v>
      </c>
      <c r="C13" s="4" t="s">
        <v>74</v>
      </c>
      <c r="D13" s="6" t="s">
        <v>125</v>
      </c>
      <c r="E13" s="9"/>
      <c r="F13" s="17" t="s">
        <v>126</v>
      </c>
      <c r="G13" s="17" t="s">
        <v>126</v>
      </c>
      <c r="H13" s="17" t="s">
        <v>126</v>
      </c>
      <c r="I13" s="21" t="str">
        <f aca="false">IF(E13="","",IF(E13&lt;-10,"Fader baixo",IF(E13&gt;5,"Fader alto","OK")))</f>
        <v/>
      </c>
      <c r="J13" s="22" t="str">
        <f aca="false">IF(I13="","",IF(I13="Fader baixo","Sobra nível antes deste fader: confira o ganho dos canais",IF(I13="Fader alto","Falta nível antes deste fader: confira o ganho dos canais","Manter")))</f>
        <v/>
      </c>
      <c r="K13" s="5"/>
    </row>
    <row r="14" customFormat="false" ht="30" hidden="false" customHeight="true" outlineLevel="0" collapsed="false">
      <c r="B14" s="18" t="n">
        <v>3</v>
      </c>
      <c r="C14" s="4" t="s">
        <v>127</v>
      </c>
      <c r="D14" s="6" t="s">
        <v>128</v>
      </c>
      <c r="E14" s="9"/>
      <c r="F14" s="17" t="s">
        <v>126</v>
      </c>
      <c r="G14" s="17" t="s">
        <v>126</v>
      </c>
      <c r="H14" s="17" t="s">
        <v>126</v>
      </c>
      <c r="I14" s="21" t="str">
        <f aca="false">IF(E14="","",IF(E14&lt;-10,"Fader baixo",IF(E14&gt;5,"Fader alto","OK")))</f>
        <v/>
      </c>
      <c r="J14" s="22" t="str">
        <f aca="false">IF(I14="","",IF(I14="Fader baixo","Sobra nível antes deste fader: confira o ganho dos canais",IF(I14="Fader alto","Falta nível antes deste fader: confira o ganho dos canais","Manter")))</f>
        <v/>
      </c>
      <c r="K14" s="5"/>
    </row>
    <row r="15" customFormat="false" ht="30" hidden="false" customHeight="true" outlineLevel="0" collapsed="false">
      <c r="B15" s="18" t="n">
        <v>4</v>
      </c>
      <c r="C15" s="4" t="s">
        <v>129</v>
      </c>
      <c r="D15" s="6" t="s">
        <v>130</v>
      </c>
      <c r="E15" s="9"/>
      <c r="F15" s="9"/>
      <c r="G15" s="9"/>
      <c r="H15" s="12"/>
      <c r="I15" s="21" t="str">
        <f aca="false">IF(H15="Sim","Clip",IF(AND(G15&lt;&gt;"",G15&gt;=$I$6),"Clip",IF(AND(OR(F15&lt;&gt;"",G15&lt;&gt;""),ROUND(IF(F15="",$I$5-G15,IF(G15="",$I$4-F15,MIN($I$4-F15,$I$5-G15))),0)&lt;-$I$7),"Alto",IF(AND(E15&lt;&gt;"",E15&lt;-10),"Fader baixo",IF(AND(E15&lt;&gt;"",E15&gt;5),"Fader alto",IF(AND(OR(F15&lt;&gt;"",G15&lt;&gt;""),ROUND(IF(F15="",$I$5-G15,IF(G15="",$I$4-F15,MIN($I$4-F15,$I$5-G15))),0)&gt;10),"Baixo",IF(OR(E15&lt;&gt;"",OR(F15&lt;&gt;"",G15&lt;&gt;"")),"OK","")))))))</f>
        <v/>
      </c>
      <c r="J15" s="22" t="str">
        <f aca="false">IF(I15="","",IF(I15="Clip","Baixe os faders dos canais ou o master. Os ganhos ficam como estão",IF(I15="Alto","Mistura acima do nível nominal: baixe os faders dos canais ou o master",IF(I15="Fader baixo","Feche o amplificador ou a caixa e traga o master para perto de 0 dB",IF(I15="Fader alto","Confira os ganhos e os faders. Se estão certos, abra a caixa; no máximo, falta sistema",IF(I15="Baixo","Saída abaixo do nível nominal: confira os ganhos, suba a mistura e feche a caixa na mesma medida","Manter"))))))</f>
        <v/>
      </c>
      <c r="K15" s="5"/>
    </row>
    <row r="16" customFormat="false" ht="30" hidden="false" customHeight="true" outlineLevel="0" collapsed="false">
      <c r="B16" s="18" t="n">
        <v>5</v>
      </c>
      <c r="C16" s="4" t="s">
        <v>131</v>
      </c>
      <c r="D16" s="6" t="s">
        <v>132</v>
      </c>
      <c r="E16" s="9"/>
      <c r="F16" s="17" t="s">
        <v>126</v>
      </c>
      <c r="G16" s="17" t="s">
        <v>126</v>
      </c>
      <c r="H16" s="12"/>
      <c r="I16" s="21" t="str">
        <f aca="false">IF(H16="Sim","Clip",IF(H16="Não","OK",""))</f>
        <v/>
      </c>
      <c r="J16" s="22" t="str">
        <f aca="false">IF(I16="","",IF(I16="Clip","Baixe o nível que chega ao processador","Manter"))</f>
        <v/>
      </c>
      <c r="K16" s="5"/>
    </row>
    <row r="17" customFormat="false" ht="30" hidden="false" customHeight="true" outlineLevel="0" collapsed="false">
      <c r="B17" s="18" t="n">
        <v>6</v>
      </c>
      <c r="C17" s="4" t="s">
        <v>133</v>
      </c>
      <c r="D17" s="6" t="s">
        <v>134</v>
      </c>
      <c r="E17" s="9"/>
      <c r="F17" s="17" t="s">
        <v>126</v>
      </c>
      <c r="G17" s="17" t="s">
        <v>126</v>
      </c>
      <c r="H17" s="12"/>
      <c r="I17" s="21" t="str">
        <f aca="false">IF(H17="Sim","Clip",IF(H17="Não","OK",""))</f>
        <v/>
      </c>
      <c r="J17" s="22" t="str">
        <f aca="false">IF(I17="","",IF(I17="Clip","O sistema chegou ao limite: baixe o master","Manter"))</f>
        <v/>
      </c>
      <c r="K17" s="5"/>
    </row>
    <row r="19" customFormat="false" ht="21.75" hidden="false" customHeight="true" outlineLevel="0" collapsed="false">
      <c r="B19" s="13" t="s">
        <v>135</v>
      </c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9.5" hidden="false" customHeight="true" outlineLevel="0" collapsed="false">
      <c r="B20" s="23" t="s">
        <v>136</v>
      </c>
      <c r="C20" s="23"/>
      <c r="D20" s="23"/>
      <c r="E20" s="20" t="str">
        <f aca="false">IF(COUNT(E13:E15)=0,"",SUM(E13:E15))</f>
        <v/>
      </c>
    </row>
    <row r="21" customFormat="false" ht="21.75" hidden="false" customHeight="true" outlineLevel="0" collapsed="false">
      <c r="B21" s="23" t="s">
        <v>137</v>
      </c>
      <c r="C21" s="23"/>
      <c r="D21" s="23"/>
      <c r="E21" s="24" t="str">
        <f aca="false">IF(E20="","",IF(E20&lt;-20,"Faders muito baixos: sobra ganho no início, ou a caixa está aberta demais",IF(E20&gt;10,"Faders muito altos: falta ganho no início, ou falta sistema","OK")))</f>
        <v/>
      </c>
      <c r="F21" s="24"/>
      <c r="G21" s="24"/>
      <c r="H21" s="24"/>
      <c r="I21" s="24"/>
      <c r="J21" s="24"/>
    </row>
    <row r="22" customFormat="false" ht="19.5" hidden="false" customHeight="true" outlineLevel="0" collapsed="false">
      <c r="B22" s="23" t="s">
        <v>138</v>
      </c>
      <c r="C22" s="23"/>
      <c r="D22" s="23"/>
      <c r="E22" s="8" t="n">
        <f aca="false">COUNTIF(I12:I17,"Clip")</f>
        <v>0</v>
      </c>
    </row>
    <row r="23" customFormat="false" ht="19.5" hidden="false" customHeight="true" outlineLevel="0" collapsed="false">
      <c r="B23" s="23" t="s">
        <v>139</v>
      </c>
      <c r="C23" s="23"/>
      <c r="D23" s="23"/>
      <c r="E23" s="8" t="n">
        <f aca="false">COUNTIF(I12:I17,"Baixo")+COUNTIF(I12:I17,"Alto")+COUNTIF(I12:I17,"Fader baixo")+COUNTIF(I12:I17,"Fader alto")</f>
        <v>0</v>
      </c>
    </row>
    <row r="24" customFormat="false" ht="21.75" hidden="false" customHeight="true" outlineLevel="0" collapsed="false">
      <c r="B24" s="23" t="s">
        <v>111</v>
      </c>
      <c r="C24" s="23"/>
      <c r="D24" s="23"/>
      <c r="E24" s="24" t="str">
        <f aca="false">IF(COUNTIF(I12:I17,"OK")+E22+E23=0,"Preencha as etapas",IF(E22&gt;0,"Há etapa em clip: corrija da entrada para a saída",IF(E23&gt;0,"Há etapa fora da faixa: comece pela primeira da lista","OK")))</f>
        <v>Preencha as etapas</v>
      </c>
      <c r="F24" s="24"/>
      <c r="G24" s="24"/>
      <c r="H24" s="24"/>
      <c r="I24" s="24"/>
      <c r="J24" s="24"/>
    </row>
    <row r="25" customFormat="false" ht="15" hidden="false" customHeight="true" outlineLevel="0" collapsed="false">
      <c r="B25" s="10" t="s">
        <v>140</v>
      </c>
      <c r="C25" s="10"/>
      <c r="D25" s="10"/>
      <c r="E25" s="10"/>
      <c r="F25" s="10"/>
      <c r="G25" s="10"/>
      <c r="H25" s="10"/>
      <c r="I25" s="10"/>
      <c r="J25" s="10"/>
      <c r="K25" s="10"/>
    </row>
  </sheetData>
  <mergeCells count="28">
    <mergeCell ref="B1:K1"/>
    <mergeCell ref="B2:K2"/>
    <mergeCell ref="B4:C4"/>
    <mergeCell ref="D4:E4"/>
    <mergeCell ref="F4:H4"/>
    <mergeCell ref="J4:K4"/>
    <mergeCell ref="B5:C5"/>
    <mergeCell ref="D5:E5"/>
    <mergeCell ref="F5:H5"/>
    <mergeCell ref="J5:K5"/>
    <mergeCell ref="B6:C6"/>
    <mergeCell ref="D6:E6"/>
    <mergeCell ref="F6:H6"/>
    <mergeCell ref="J6:K6"/>
    <mergeCell ref="B7:C7"/>
    <mergeCell ref="D7:E7"/>
    <mergeCell ref="F7:H7"/>
    <mergeCell ref="J7:K7"/>
    <mergeCell ref="B9:K9"/>
    <mergeCell ref="B19:K19"/>
    <mergeCell ref="B20:D20"/>
    <mergeCell ref="B21:D21"/>
    <mergeCell ref="E21:J21"/>
    <mergeCell ref="B22:D22"/>
    <mergeCell ref="B23:D23"/>
    <mergeCell ref="B24:D24"/>
    <mergeCell ref="E24:J24"/>
    <mergeCell ref="B25:K25"/>
  </mergeCells>
  <conditionalFormatting sqref="I12:I1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"Baixo"</formula>
    </cfRule>
    <cfRule type="cellIs" priority="4" operator="equal" aboveAverage="0" equalAverage="0" bottom="0" percent="0" rank="0" text="" dxfId="1">
      <formula>"Alto"</formula>
    </cfRule>
    <cfRule type="cellIs" priority="5" operator="equal" aboveAverage="0" equalAverage="0" bottom="0" percent="0" rank="0" text="" dxfId="1">
      <formula>"Fader baixo"</formula>
    </cfRule>
    <cfRule type="cellIs" priority="6" operator="equal" aboveAverage="0" equalAverage="0" bottom="0" percent="0" rank="0" text="" dxfId="1">
      <formula>"Fader alto"</formula>
    </cfRule>
    <cfRule type="cellIs" priority="7" operator="equal" aboveAverage="0" equalAverage="0" bottom="0" percent="0" rank="0" text="" dxfId="2">
      <formula>"Clip"</formula>
    </cfRule>
  </conditionalFormatting>
  <conditionalFormatting sqref="E21:J21">
    <cfRule type="cellIs" priority="8" operator="equal" aboveAverage="0" equalAverage="0" bottom="0" percent="0" rank="0" text="" dxfId="0">
      <formula>"OK"</formula>
    </cfRule>
    <cfRule type="expression" priority="9" aboveAverage="0" equalAverage="0" bottom="0" percent="0" rank="0" text="" dxfId="1">
      <formula>AND(LEN($E$21)&gt;0,$E$21&lt;&gt;"OK")</formula>
    </cfRule>
  </conditionalFormatting>
  <conditionalFormatting sqref="E24:J24">
    <cfRule type="cellIs" priority="10" operator="equal" aboveAverage="0" equalAverage="0" bottom="0" percent="0" rank="0" text="" dxfId="0">
      <formula>"OK"</formula>
    </cfRule>
    <cfRule type="cellIs" priority="11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4:I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12:G16" type="decimal">
      <formula1>-1000000000</formula1>
      <formula2>1000000000</formula2>
    </dataValidation>
    <dataValidation allowBlank="true" error="Escolha uma das opções da lista." errorStyle="stop" errorTitle="Valor inválido" operator="between" prompt="A luz de clip acendeu?" promptTitle="Opções" showDropDown="false" showErrorMessage="true" showInputMessage="true" sqref="H12" type="list">
      <formula1>"Sim,Não"</formula1>
      <formula2>0</formula2>
    </dataValidation>
    <dataValidation allowBlank="true" error="Escolha uma das opções da lista." errorStyle="stop" errorTitle="Valor inválido" operator="between" prompt="A luz de clip ou de limite acendeu?" promptTitle="Opções" showDropDown="false" showErrorMessage="true" showInputMessage="true" sqref="H15:H17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6"/>
    <col collapsed="false" customWidth="true" hidden="false" outlineLevel="0" max="5" min="5" style="0" width="60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141</v>
      </c>
      <c r="C1" s="1"/>
      <c r="D1" s="1"/>
      <c r="E1" s="1"/>
    </row>
    <row r="2" customFormat="false" ht="19.5" hidden="false" customHeight="true" outlineLevel="0" collapsed="false">
      <c r="B2" s="2" t="s">
        <v>142</v>
      </c>
      <c r="C2" s="2"/>
      <c r="D2" s="2"/>
      <c r="E2" s="2"/>
    </row>
    <row r="4" customFormat="false" ht="21.75" hidden="false" customHeight="true" outlineLevel="0" collapsed="false">
      <c r="B4" s="13" t="s">
        <v>143</v>
      </c>
      <c r="C4" s="13"/>
      <c r="D4" s="13"/>
      <c r="E4" s="13"/>
    </row>
    <row r="5" customFormat="false" ht="21.75" hidden="false" customHeight="true" outlineLevel="0" collapsed="false">
      <c r="B5" s="8" t="s">
        <v>144</v>
      </c>
      <c r="C5" s="8" t="s">
        <v>79</v>
      </c>
      <c r="D5" s="8" t="s">
        <v>145</v>
      </c>
      <c r="E5" s="8" t="s">
        <v>146</v>
      </c>
    </row>
    <row r="6" customFormat="false" ht="31.5" hidden="false" customHeight="true" outlineLevel="0" collapsed="false">
      <c r="B6" s="25" t="s">
        <v>147</v>
      </c>
      <c r="C6" s="26" t="s">
        <v>148</v>
      </c>
      <c r="D6" s="26" t="s">
        <v>149</v>
      </c>
      <c r="E6" s="7" t="s">
        <v>150</v>
      </c>
    </row>
    <row r="7" customFormat="false" ht="31.5" hidden="false" customHeight="true" outlineLevel="0" collapsed="false">
      <c r="B7" s="25" t="s">
        <v>151</v>
      </c>
      <c r="C7" s="26" t="s">
        <v>152</v>
      </c>
      <c r="D7" s="26" t="s">
        <v>153</v>
      </c>
      <c r="E7" s="7" t="s">
        <v>154</v>
      </c>
    </row>
    <row r="8" customFormat="false" ht="31.5" hidden="false" customHeight="true" outlineLevel="0" collapsed="false">
      <c r="B8" s="25" t="s">
        <v>155</v>
      </c>
      <c r="C8" s="26" t="s">
        <v>156</v>
      </c>
      <c r="D8" s="26" t="s">
        <v>157</v>
      </c>
      <c r="E8" s="7" t="s">
        <v>158</v>
      </c>
    </row>
    <row r="10" customFormat="false" ht="21.75" hidden="false" customHeight="true" outlineLevel="0" collapsed="false">
      <c r="B10" s="13" t="s">
        <v>159</v>
      </c>
      <c r="C10" s="13"/>
      <c r="D10" s="13"/>
      <c r="E10" s="13"/>
    </row>
    <row r="11" customFormat="false" ht="21.75" hidden="false" customHeight="true" outlineLevel="0" collapsed="false">
      <c r="B11" s="8" t="s">
        <v>75</v>
      </c>
      <c r="C11" s="8" t="s">
        <v>160</v>
      </c>
      <c r="D11" s="8" t="s">
        <v>161</v>
      </c>
      <c r="E11" s="8" t="s">
        <v>87</v>
      </c>
    </row>
    <row r="12" customFormat="false" ht="31.5" hidden="false" customHeight="true" outlineLevel="0" collapsed="false">
      <c r="B12" s="25" t="s">
        <v>162</v>
      </c>
      <c r="C12" s="26" t="s">
        <v>163</v>
      </c>
      <c r="D12" s="26" t="s">
        <v>164</v>
      </c>
      <c r="E12" s="7" t="s">
        <v>165</v>
      </c>
    </row>
    <row r="13" customFormat="false" ht="31.5" hidden="false" customHeight="true" outlineLevel="0" collapsed="false">
      <c r="B13" s="25" t="s">
        <v>166</v>
      </c>
      <c r="C13" s="26" t="s">
        <v>167</v>
      </c>
      <c r="D13" s="26" t="s">
        <v>168</v>
      </c>
      <c r="E13" s="7" t="s">
        <v>169</v>
      </c>
    </row>
    <row r="14" customFormat="false" ht="31.5" hidden="false" customHeight="true" outlineLevel="0" collapsed="false">
      <c r="B14" s="25" t="s">
        <v>170</v>
      </c>
      <c r="C14" s="26" t="s">
        <v>171</v>
      </c>
      <c r="D14" s="26" t="s">
        <v>172</v>
      </c>
      <c r="E14" s="7" t="s">
        <v>173</v>
      </c>
    </row>
    <row r="15" customFormat="false" ht="31.5" hidden="false" customHeight="true" outlineLevel="0" collapsed="false">
      <c r="B15" s="25" t="s">
        <v>174</v>
      </c>
      <c r="C15" s="26" t="s">
        <v>175</v>
      </c>
      <c r="D15" s="26" t="s">
        <v>176</v>
      </c>
      <c r="E15" s="7" t="s">
        <v>177</v>
      </c>
    </row>
    <row r="16" customFormat="false" ht="31.5" hidden="false" customHeight="true" outlineLevel="0" collapsed="false">
      <c r="B16" s="25" t="s">
        <v>178</v>
      </c>
      <c r="C16" s="26" t="s">
        <v>179</v>
      </c>
      <c r="D16" s="26" t="s">
        <v>180</v>
      </c>
      <c r="E16" s="7" t="s">
        <v>181</v>
      </c>
    </row>
    <row r="17" customFormat="false" ht="31.5" hidden="false" customHeight="true" outlineLevel="0" collapsed="false">
      <c r="B17" s="25" t="s">
        <v>182</v>
      </c>
      <c r="C17" s="26" t="s">
        <v>183</v>
      </c>
      <c r="D17" s="26" t="s">
        <v>184</v>
      </c>
      <c r="E17" s="7" t="s">
        <v>185</v>
      </c>
    </row>
    <row r="19" customFormat="false" ht="21.75" hidden="false" customHeight="true" outlineLevel="0" collapsed="false">
      <c r="B19" s="13" t="s">
        <v>186</v>
      </c>
      <c r="C19" s="13"/>
      <c r="D19" s="13"/>
      <c r="E19" s="13"/>
    </row>
    <row r="20" customFormat="false" ht="21.75" hidden="false" customHeight="true" outlineLevel="0" collapsed="false">
      <c r="B20" s="8" t="s">
        <v>187</v>
      </c>
      <c r="C20" s="8" t="s">
        <v>188</v>
      </c>
      <c r="D20" s="8" t="s">
        <v>189</v>
      </c>
      <c r="E20" s="8" t="s">
        <v>55</v>
      </c>
    </row>
    <row r="21" customFormat="false" ht="31.5" hidden="false" customHeight="true" outlineLevel="0" collapsed="false">
      <c r="B21" s="25" t="s">
        <v>190</v>
      </c>
      <c r="C21" s="26" t="s">
        <v>191</v>
      </c>
      <c r="D21" s="26" t="s">
        <v>192</v>
      </c>
      <c r="E21" s="7" t="s">
        <v>193</v>
      </c>
    </row>
    <row r="22" customFormat="false" ht="31.5" hidden="false" customHeight="true" outlineLevel="0" collapsed="false">
      <c r="B22" s="25" t="s">
        <v>194</v>
      </c>
      <c r="C22" s="26" t="s">
        <v>195</v>
      </c>
      <c r="D22" s="26" t="s">
        <v>196</v>
      </c>
      <c r="E22" s="7" t="s">
        <v>197</v>
      </c>
    </row>
    <row r="23" customFormat="false" ht="31.5" hidden="false" customHeight="true" outlineLevel="0" collapsed="false">
      <c r="B23" s="25" t="s">
        <v>198</v>
      </c>
      <c r="C23" s="26" t="s">
        <v>199</v>
      </c>
      <c r="D23" s="26" t="s">
        <v>200</v>
      </c>
      <c r="E23" s="7" t="s">
        <v>201</v>
      </c>
    </row>
    <row r="25" customFormat="false" ht="21.75" hidden="false" customHeight="true" outlineLevel="0" collapsed="false">
      <c r="B25" s="13" t="s">
        <v>202</v>
      </c>
      <c r="C25" s="13"/>
      <c r="D25" s="13"/>
      <c r="E25" s="13"/>
    </row>
    <row r="26" customFormat="false" ht="21.75" hidden="false" customHeight="true" outlineLevel="0" collapsed="false">
      <c r="B26" s="8" t="s">
        <v>118</v>
      </c>
      <c r="C26" s="8" t="s">
        <v>203</v>
      </c>
      <c r="D26" s="8" t="s">
        <v>204</v>
      </c>
      <c r="E26" s="8" t="s">
        <v>205</v>
      </c>
    </row>
    <row r="27" customFormat="false" ht="31.5" hidden="false" customHeight="true" outlineLevel="0" collapsed="false">
      <c r="B27" s="25" t="s">
        <v>206</v>
      </c>
      <c r="C27" s="26" t="s">
        <v>207</v>
      </c>
      <c r="D27" s="26" t="s">
        <v>126</v>
      </c>
      <c r="E27" s="7" t="s">
        <v>208</v>
      </c>
    </row>
    <row r="28" customFormat="false" ht="31.5" hidden="false" customHeight="true" outlineLevel="0" collapsed="false">
      <c r="B28" s="25" t="s">
        <v>77</v>
      </c>
      <c r="C28" s="26" t="s">
        <v>209</v>
      </c>
      <c r="D28" s="26" t="s">
        <v>210</v>
      </c>
      <c r="E28" s="7" t="s">
        <v>211</v>
      </c>
    </row>
    <row r="29" customFormat="false" ht="31.5" hidden="false" customHeight="true" outlineLevel="0" collapsed="false">
      <c r="B29" s="25" t="s">
        <v>125</v>
      </c>
      <c r="C29" s="26" t="s">
        <v>212</v>
      </c>
      <c r="D29" s="26" t="s">
        <v>213</v>
      </c>
      <c r="E29" s="7" t="s">
        <v>214</v>
      </c>
    </row>
    <row r="30" customFormat="false" ht="31.5" hidden="false" customHeight="true" outlineLevel="0" collapsed="false">
      <c r="B30" s="25" t="s">
        <v>215</v>
      </c>
      <c r="C30" s="26" t="s">
        <v>216</v>
      </c>
      <c r="D30" s="26" t="s">
        <v>213</v>
      </c>
      <c r="E30" s="7" t="s">
        <v>217</v>
      </c>
    </row>
    <row r="31" customFormat="false" ht="31.5" hidden="false" customHeight="true" outlineLevel="0" collapsed="false">
      <c r="B31" s="25" t="s">
        <v>129</v>
      </c>
      <c r="C31" s="26" t="s">
        <v>216</v>
      </c>
      <c r="D31" s="26" t="s">
        <v>213</v>
      </c>
      <c r="E31" s="7" t="s">
        <v>218</v>
      </c>
    </row>
    <row r="32" customFormat="false" ht="31.5" hidden="false" customHeight="true" outlineLevel="0" collapsed="false">
      <c r="B32" s="25" t="s">
        <v>133</v>
      </c>
      <c r="C32" s="26" t="s">
        <v>219</v>
      </c>
      <c r="D32" s="26" t="s">
        <v>126</v>
      </c>
      <c r="E32" s="7" t="s">
        <v>220</v>
      </c>
    </row>
    <row r="33" customFormat="false" ht="15" hidden="false" customHeight="true" outlineLevel="0" collapsed="false">
      <c r="B33" s="10" t="s">
        <v>221</v>
      </c>
      <c r="C33" s="10"/>
      <c r="D33" s="10"/>
      <c r="E33" s="10"/>
    </row>
  </sheetData>
  <mergeCells count="7">
    <mergeCell ref="B1:E1"/>
    <mergeCell ref="B2:E2"/>
    <mergeCell ref="B4:E4"/>
    <mergeCell ref="B10:E10"/>
    <mergeCell ref="B19:E19"/>
    <mergeCell ref="B25:E25"/>
    <mergeCell ref="B33:E3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222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223</v>
      </c>
      <c r="C2" s="2"/>
      <c r="D2" s="2"/>
      <c r="E2" s="2"/>
      <c r="F2" s="2"/>
    </row>
    <row r="4" customFormat="false" ht="21.75" hidden="false" customHeight="true" outlineLevel="0" collapsed="false">
      <c r="B4" s="14" t="s">
        <v>117</v>
      </c>
      <c r="C4" s="14" t="s">
        <v>215</v>
      </c>
      <c r="D4" s="14" t="s">
        <v>224</v>
      </c>
      <c r="E4" s="14" t="s">
        <v>50</v>
      </c>
      <c r="F4" s="14" t="s">
        <v>87</v>
      </c>
    </row>
    <row r="5" customFormat="false" ht="31.5" hidden="false" customHeight="true" outlineLevel="0" collapsed="false">
      <c r="B5" s="18" t="n">
        <v>1</v>
      </c>
      <c r="C5" s="6" t="s">
        <v>225</v>
      </c>
      <c r="D5" s="7" t="s">
        <v>226</v>
      </c>
      <c r="E5" s="12"/>
      <c r="F5" s="5"/>
    </row>
    <row r="6" customFormat="false" ht="19.5" hidden="false" customHeight="true" outlineLevel="0" collapsed="false">
      <c r="B6" s="18" t="n">
        <v>2</v>
      </c>
      <c r="C6" s="6" t="s">
        <v>225</v>
      </c>
      <c r="D6" s="7" t="s">
        <v>227</v>
      </c>
      <c r="E6" s="12"/>
      <c r="F6" s="5"/>
    </row>
    <row r="7" customFormat="false" ht="19.5" hidden="false" customHeight="true" outlineLevel="0" collapsed="false">
      <c r="B7" s="18" t="n">
        <v>3</v>
      </c>
      <c r="C7" s="6" t="s">
        <v>225</v>
      </c>
      <c r="D7" s="7" t="s">
        <v>228</v>
      </c>
      <c r="E7" s="12"/>
      <c r="F7" s="5"/>
    </row>
    <row r="8" customFormat="false" ht="31.5" hidden="false" customHeight="true" outlineLevel="0" collapsed="false">
      <c r="B8" s="18" t="n">
        <v>4</v>
      </c>
      <c r="C8" s="6" t="s">
        <v>78</v>
      </c>
      <c r="D8" s="7" t="s">
        <v>229</v>
      </c>
      <c r="E8" s="12"/>
      <c r="F8" s="5"/>
    </row>
    <row r="9" customFormat="false" ht="31.5" hidden="false" customHeight="true" outlineLevel="0" collapsed="false">
      <c r="B9" s="18" t="n">
        <v>5</v>
      </c>
      <c r="C9" s="6" t="s">
        <v>78</v>
      </c>
      <c r="D9" s="7" t="s">
        <v>230</v>
      </c>
      <c r="E9" s="12"/>
      <c r="F9" s="5"/>
    </row>
    <row r="10" customFormat="false" ht="19.5" hidden="false" customHeight="true" outlineLevel="0" collapsed="false">
      <c r="B10" s="18" t="n">
        <v>6</v>
      </c>
      <c r="C10" s="6" t="s">
        <v>78</v>
      </c>
      <c r="D10" s="7" t="s">
        <v>231</v>
      </c>
      <c r="E10" s="12"/>
      <c r="F10" s="5"/>
    </row>
    <row r="11" customFormat="false" ht="31.5" hidden="false" customHeight="true" outlineLevel="0" collapsed="false">
      <c r="B11" s="18" t="n">
        <v>7</v>
      </c>
      <c r="C11" s="6" t="s">
        <v>78</v>
      </c>
      <c r="D11" s="7" t="s">
        <v>232</v>
      </c>
      <c r="E11" s="12"/>
      <c r="F11" s="5"/>
    </row>
    <row r="12" customFormat="false" ht="19.5" hidden="false" customHeight="true" outlineLevel="0" collapsed="false">
      <c r="B12" s="18" t="n">
        <v>8</v>
      </c>
      <c r="C12" s="6" t="s">
        <v>78</v>
      </c>
      <c r="D12" s="7" t="s">
        <v>233</v>
      </c>
      <c r="E12" s="12"/>
      <c r="F12" s="5"/>
    </row>
    <row r="13" customFormat="false" ht="19.5" hidden="false" customHeight="true" outlineLevel="0" collapsed="false">
      <c r="B13" s="18" t="n">
        <v>9</v>
      </c>
      <c r="C13" s="6" t="s">
        <v>234</v>
      </c>
      <c r="D13" s="7" t="s">
        <v>235</v>
      </c>
      <c r="E13" s="12"/>
      <c r="F13" s="5"/>
    </row>
    <row r="14" customFormat="false" ht="31.5" hidden="false" customHeight="true" outlineLevel="0" collapsed="false">
      <c r="B14" s="18" t="n">
        <v>10</v>
      </c>
      <c r="C14" s="6" t="s">
        <v>234</v>
      </c>
      <c r="D14" s="7" t="s">
        <v>236</v>
      </c>
      <c r="E14" s="12"/>
      <c r="F14" s="5"/>
    </row>
    <row r="15" customFormat="false" ht="31.5" hidden="false" customHeight="true" outlineLevel="0" collapsed="false">
      <c r="B15" s="18" t="n">
        <v>11</v>
      </c>
      <c r="C15" s="6" t="s">
        <v>234</v>
      </c>
      <c r="D15" s="7" t="s">
        <v>237</v>
      </c>
      <c r="E15" s="12"/>
      <c r="F15" s="5"/>
    </row>
    <row r="16" customFormat="false" ht="31.5" hidden="false" customHeight="true" outlineLevel="0" collapsed="false">
      <c r="B16" s="18" t="n">
        <v>12</v>
      </c>
      <c r="C16" s="6" t="s">
        <v>238</v>
      </c>
      <c r="D16" s="7" t="s">
        <v>239</v>
      </c>
      <c r="E16" s="12"/>
      <c r="F16" s="5"/>
    </row>
    <row r="18" customFormat="false" ht="19.5" hidden="false" customHeight="true" outlineLevel="0" collapsed="false">
      <c r="B18" s="23" t="s">
        <v>240</v>
      </c>
      <c r="C18" s="23"/>
      <c r="D18" s="23"/>
      <c r="E18" s="8" t="n">
        <f aca="false">COUNTA(E5:E16)</f>
        <v>0</v>
      </c>
    </row>
    <row r="19" customFormat="false" ht="19.5" hidden="false" customHeight="true" outlineLevel="0" collapsed="false">
      <c r="B19" s="23" t="s">
        <v>241</v>
      </c>
      <c r="C19" s="23"/>
      <c r="D19" s="23"/>
      <c r="E19" s="27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3" t="s">
        <v>50</v>
      </c>
      <c r="C20" s="23"/>
      <c r="D20" s="23"/>
      <c r="E20" s="21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12" min="6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44"/>
    <col collapsed="false" customWidth="true" hidden="false" outlineLevel="0" max="16" min="16" style="0" width="30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242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B4" s="4" t="s">
        <v>59</v>
      </c>
      <c r="C4" s="4"/>
      <c r="D4" s="28" t="s">
        <v>243</v>
      </c>
      <c r="E4" s="28"/>
      <c r="F4" s="28"/>
      <c r="G4" s="28"/>
      <c r="H4" s="28"/>
      <c r="I4" s="4" t="s">
        <v>60</v>
      </c>
      <c r="J4" s="4"/>
      <c r="K4" s="4"/>
      <c r="L4" s="29" t="n">
        <v>-18</v>
      </c>
      <c r="M4" s="10" t="s">
        <v>61</v>
      </c>
      <c r="N4" s="10"/>
      <c r="O4" s="10"/>
      <c r="P4" s="10"/>
    </row>
    <row r="5" customFormat="false" ht="21.75" hidden="false" customHeight="true" outlineLevel="0" collapsed="false">
      <c r="B5" s="4" t="s">
        <v>62</v>
      </c>
      <c r="C5" s="4"/>
      <c r="D5" s="28" t="s">
        <v>244</v>
      </c>
      <c r="E5" s="28"/>
      <c r="F5" s="28"/>
      <c r="G5" s="28"/>
      <c r="H5" s="28"/>
      <c r="I5" s="4" t="s">
        <v>63</v>
      </c>
      <c r="J5" s="4"/>
      <c r="K5" s="4"/>
      <c r="L5" s="29" t="n">
        <v>-6</v>
      </c>
      <c r="M5" s="10" t="s">
        <v>64</v>
      </c>
      <c r="N5" s="10"/>
      <c r="O5" s="10"/>
      <c r="P5" s="10"/>
    </row>
    <row r="6" customFormat="false" ht="21.75" hidden="false" customHeight="true" outlineLevel="0" collapsed="false">
      <c r="B6" s="4" t="s">
        <v>65</v>
      </c>
      <c r="C6" s="4"/>
      <c r="D6" s="30" t="n">
        <v>46299</v>
      </c>
      <c r="E6" s="30"/>
      <c r="F6" s="30"/>
      <c r="G6" s="30"/>
      <c r="H6" s="30"/>
      <c r="I6" s="4" t="s">
        <v>66</v>
      </c>
      <c r="J6" s="4"/>
      <c r="K6" s="4"/>
      <c r="L6" s="29" t="n">
        <v>0</v>
      </c>
      <c r="M6" s="10" t="s">
        <v>67</v>
      </c>
      <c r="N6" s="10"/>
      <c r="O6" s="10"/>
      <c r="P6" s="10"/>
    </row>
    <row r="7" customFormat="false" ht="21.75" hidden="false" customHeight="true" outlineLevel="0" collapsed="false">
      <c r="B7" s="4" t="s">
        <v>68</v>
      </c>
      <c r="C7" s="4"/>
      <c r="D7" s="28" t="s">
        <v>245</v>
      </c>
      <c r="E7" s="28"/>
      <c r="F7" s="28"/>
      <c r="G7" s="28"/>
      <c r="H7" s="28"/>
      <c r="I7" s="4" t="s">
        <v>69</v>
      </c>
      <c r="J7" s="4"/>
      <c r="K7" s="4"/>
      <c r="L7" s="31" t="n">
        <v>3</v>
      </c>
      <c r="M7" s="10" t="s">
        <v>70</v>
      </c>
      <c r="N7" s="10"/>
      <c r="O7" s="10"/>
      <c r="P7" s="10"/>
    </row>
    <row r="8" customFormat="false" ht="21.75" hidden="false" customHeight="true" outlineLevel="0" collapsed="false">
      <c r="B8" s="4" t="s">
        <v>71</v>
      </c>
      <c r="C8" s="4"/>
      <c r="D8" s="28" t="s">
        <v>246</v>
      </c>
      <c r="E8" s="28"/>
      <c r="F8" s="28"/>
      <c r="G8" s="28"/>
      <c r="H8" s="28"/>
      <c r="I8" s="10" t="s">
        <v>72</v>
      </c>
      <c r="J8" s="10"/>
      <c r="K8" s="10"/>
      <c r="L8" s="10"/>
      <c r="M8" s="10"/>
      <c r="N8" s="10"/>
      <c r="O8" s="10"/>
      <c r="P8" s="10"/>
    </row>
    <row r="10" customFormat="false" ht="21.75" hidden="false" customHeight="true" outlineLevel="0" collapsed="false">
      <c r="B10" s="13" t="s">
        <v>73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30" hidden="false" customHeight="true" outlineLevel="0" collapsed="false">
      <c r="B11" s="14" t="s">
        <v>74</v>
      </c>
      <c r="C11" s="14" t="s">
        <v>75</v>
      </c>
      <c r="D11" s="14" t="s">
        <v>76</v>
      </c>
      <c r="E11" s="14" t="s">
        <v>77</v>
      </c>
      <c r="F11" s="15" t="s">
        <v>78</v>
      </c>
      <c r="G11" s="15" t="s">
        <v>79</v>
      </c>
      <c r="H11" s="15" t="s">
        <v>80</v>
      </c>
      <c r="I11" s="15" t="s">
        <v>81</v>
      </c>
      <c r="J11" s="16" t="s">
        <v>82</v>
      </c>
      <c r="K11" s="16" t="s">
        <v>83</v>
      </c>
      <c r="L11" s="16" t="s">
        <v>84</v>
      </c>
      <c r="M11" s="16" t="s">
        <v>85</v>
      </c>
      <c r="N11" s="16" t="s">
        <v>50</v>
      </c>
      <c r="O11" s="16" t="s">
        <v>86</v>
      </c>
      <c r="P11" s="14" t="s">
        <v>87</v>
      </c>
    </row>
    <row r="12" customFormat="false" ht="27" hidden="false" customHeight="true" outlineLevel="0" collapsed="false">
      <c r="B12" s="17" t="s">
        <v>88</v>
      </c>
      <c r="C12" s="17" t="s">
        <v>89</v>
      </c>
      <c r="D12" s="17" t="s">
        <v>90</v>
      </c>
      <c r="E12" s="17" t="s">
        <v>91</v>
      </c>
      <c r="F12" s="17" t="s">
        <v>92</v>
      </c>
      <c r="G12" s="17" t="s">
        <v>93</v>
      </c>
      <c r="H12" s="17" t="s">
        <v>94</v>
      </c>
      <c r="I12" s="17" t="s">
        <v>91</v>
      </c>
      <c r="J12" s="17" t="s">
        <v>95</v>
      </c>
      <c r="K12" s="17" t="s">
        <v>96</v>
      </c>
      <c r="L12" s="17" t="s">
        <v>97</v>
      </c>
      <c r="M12" s="17" t="s">
        <v>97</v>
      </c>
      <c r="N12" s="17"/>
      <c r="O12" s="17"/>
      <c r="P12" s="17"/>
    </row>
    <row r="13" customFormat="false" ht="24" hidden="false" customHeight="true" outlineLevel="0" collapsed="false">
      <c r="B13" s="10" t="s">
        <v>247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customFormat="false" ht="21.75" hidden="false" customHeight="true" outlineLevel="0" collapsed="false">
      <c r="B14" s="18" t="n">
        <v>1</v>
      </c>
      <c r="C14" s="28" t="s">
        <v>248</v>
      </c>
      <c r="D14" s="31" t="s">
        <v>100</v>
      </c>
      <c r="E14" s="31" t="s">
        <v>101</v>
      </c>
      <c r="F14" s="31" t="n">
        <v>20</v>
      </c>
      <c r="G14" s="29" t="n">
        <v>-31</v>
      </c>
      <c r="H14" s="29" t="n">
        <v>-19</v>
      </c>
      <c r="I14" s="31" t="s">
        <v>101</v>
      </c>
      <c r="J14" s="19" t="n">
        <f aca="false">IF(OR(G14="",H14=""),"",H14-G14)</f>
        <v>12</v>
      </c>
      <c r="K14" s="19" t="n">
        <f aca="false">IF(H14="","",$L$6-H14)</f>
        <v>19</v>
      </c>
      <c r="L14" s="20" t="n">
        <f aca="false">IF(OR(AND(G14="",H14=""),OR(I14="Sim",AND(H14&lt;&gt;"",H14&gt;=$L$6))),"",ROUND(IF(G14="",$L$5-H14,IF(H14="",$L$4-G14,MIN($L$4-G14,$L$5-H14))),0))</f>
        <v>13</v>
      </c>
      <c r="M14" s="8" t="n">
        <f aca="false">IF(OR(F14="",L14=""),"",F14+L14)</f>
        <v>33</v>
      </c>
      <c r="N14" s="21" t="str">
        <f aca="false">IF(I14="Sim","Clip",IF(AND(G14="",H14=""),"",IF(AND(H14&lt;&gt;"",H14&gt;=$L$6),"Clip",IF(L14&lt;-$L$7,"Alto",IF(L14&gt;$L$7,"Baixo","OK")))))</f>
        <v>Baixo</v>
      </c>
      <c r="O14" s="22" t="str">
        <f aca="false">IF(N14="","",IF(N14="Clip",IF(E14="Sim","Baixe o ganho uns 6 dB e meça de novo","Baixe o ganho uns 6 dB e meça de novo. No mínimo: ligue o pad"),IF(N14="Alto","Baixe o ganho cerca de "&amp;ABS(L14)&amp;" dB",IF(N14="Baixo",IF(E14="Sim","Veja se o pad é necessário. Sem ele, meça de novo","Suba o ganho cerca de "&amp;L14&amp;" dB"),"Manter"))))</f>
        <v>Suba o ganho cerca de 13 dB</v>
      </c>
      <c r="P14" s="28"/>
    </row>
    <row r="15" customFormat="false" ht="21.75" hidden="false" customHeight="true" outlineLevel="0" collapsed="false">
      <c r="B15" s="18" t="n">
        <v>2</v>
      </c>
      <c r="C15" s="28" t="s">
        <v>99</v>
      </c>
      <c r="D15" s="31" t="s">
        <v>100</v>
      </c>
      <c r="E15" s="31" t="s">
        <v>101</v>
      </c>
      <c r="F15" s="31" t="n">
        <v>38</v>
      </c>
      <c r="G15" s="29" t="n">
        <v>-18</v>
      </c>
      <c r="H15" s="29" t="n">
        <v>-7</v>
      </c>
      <c r="I15" s="31" t="s">
        <v>101</v>
      </c>
      <c r="J15" s="19" t="n">
        <f aca="false">IF(OR(G15="",H15=""),"",H15-G15)</f>
        <v>11</v>
      </c>
      <c r="K15" s="19" t="n">
        <f aca="false">IF(H15="","",$L$6-H15)</f>
        <v>7</v>
      </c>
      <c r="L15" s="20" t="n">
        <f aca="false">IF(OR(AND(G15="",H15=""),OR(I15="Sim",AND(H15&lt;&gt;"",H15&gt;=$L$6))),"",ROUND(IF(G15="",$L$5-H15,IF(H15="",$L$4-G15,MIN($L$4-G15,$L$5-H15))),0))</f>
        <v>0</v>
      </c>
      <c r="M15" s="8" t="n">
        <f aca="false">IF(OR(F15="",L15=""),"",F15+L15)</f>
        <v>38</v>
      </c>
      <c r="N15" s="21" t="str">
        <f aca="false">IF(I15="Sim","Clip",IF(AND(G15="",H15=""),"",IF(AND(H15&lt;&gt;"",H15&gt;=$L$6),"Clip",IF(L15&lt;-$L$7,"Alto",IF(L15&gt;$L$7,"Baixo","OK")))))</f>
        <v>OK</v>
      </c>
      <c r="O15" s="22" t="str">
        <f aca="false">IF(N15="","",IF(N15="Clip",IF(E15="Sim","Baixe o ganho uns 6 dB e meça de novo","Baixe o ganho uns 6 dB e meça de novo. No mínimo: ligue o pad"),IF(N15="Alto","Baixe o ganho cerca de "&amp;ABS(L15)&amp;" dB",IF(N15="Baixo",IF(E15="Sim","Veja se o pad é necessário. Sem ele, meça de novo","Suba o ganho cerca de "&amp;L15&amp;" dB"),"Manter"))))</f>
        <v>Manter</v>
      </c>
      <c r="P15" s="28"/>
    </row>
    <row r="16" customFormat="false" ht="21.75" hidden="false" customHeight="true" outlineLevel="0" collapsed="false">
      <c r="B16" s="18" t="n">
        <v>3</v>
      </c>
      <c r="C16" s="28" t="s">
        <v>249</v>
      </c>
      <c r="D16" s="31" t="s">
        <v>100</v>
      </c>
      <c r="E16" s="31" t="s">
        <v>101</v>
      </c>
      <c r="F16" s="31" t="n">
        <v>40</v>
      </c>
      <c r="G16" s="29" t="n">
        <v>-20</v>
      </c>
      <c r="H16" s="29" t="n">
        <v>-9</v>
      </c>
      <c r="I16" s="31" t="s">
        <v>101</v>
      </c>
      <c r="J16" s="19" t="n">
        <f aca="false">IF(OR(G16="",H16=""),"",H16-G16)</f>
        <v>11</v>
      </c>
      <c r="K16" s="19" t="n">
        <f aca="false">IF(H16="","",$L$6-H16)</f>
        <v>9</v>
      </c>
      <c r="L16" s="20" t="n">
        <f aca="false">IF(OR(AND(G16="",H16=""),OR(I16="Sim",AND(H16&lt;&gt;"",H16&gt;=$L$6))),"",ROUND(IF(G16="",$L$5-H16,IF(H16="",$L$4-G16,MIN($L$4-G16,$L$5-H16))),0))</f>
        <v>2</v>
      </c>
      <c r="M16" s="8" t="n">
        <f aca="false">IF(OR(F16="",L16=""),"",F16+L16)</f>
        <v>42</v>
      </c>
      <c r="N16" s="21" t="str">
        <f aca="false">IF(I16="Sim","Clip",IF(AND(G16="",H16=""),"",IF(AND(H16&lt;&gt;"",H16&gt;=$L$6),"Clip",IF(L16&lt;-$L$7,"Alto",IF(L16&gt;$L$7,"Baixo","OK")))))</f>
        <v>OK</v>
      </c>
      <c r="O16" s="22" t="str">
        <f aca="false">IF(N16="","",IF(N16="Clip",IF(E16="Sim","Baixe o ganho uns 6 dB e meça de novo","Baixe o ganho uns 6 dB e meça de novo. No mínimo: ligue o pad"),IF(N16="Alto","Baixe o ganho cerca de "&amp;ABS(L16)&amp;" dB",IF(N16="Baixo",IF(E16="Sim","Veja se o pad é necessário. Sem ele, meça de novo","Suba o ganho cerca de "&amp;L16&amp;" dB"),"Manter"))))</f>
        <v>Manter</v>
      </c>
      <c r="P16" s="28"/>
    </row>
    <row r="17" customFormat="false" ht="21.75" hidden="false" customHeight="true" outlineLevel="0" collapsed="false">
      <c r="B17" s="18" t="n">
        <v>4</v>
      </c>
      <c r="C17" s="28" t="s">
        <v>250</v>
      </c>
      <c r="D17" s="31" t="s">
        <v>100</v>
      </c>
      <c r="E17" s="31" t="s">
        <v>101</v>
      </c>
      <c r="F17" s="31" t="n">
        <v>46</v>
      </c>
      <c r="G17" s="29" t="n">
        <v>-10</v>
      </c>
      <c r="H17" s="29" t="n">
        <v>-1</v>
      </c>
      <c r="I17" s="31" t="s">
        <v>101</v>
      </c>
      <c r="J17" s="19" t="n">
        <f aca="false">IF(OR(G17="",H17=""),"",H17-G17)</f>
        <v>9</v>
      </c>
      <c r="K17" s="19" t="n">
        <f aca="false">IF(H17="","",$L$6-H17)</f>
        <v>1</v>
      </c>
      <c r="L17" s="20" t="n">
        <f aca="false">IF(OR(AND(G17="",H17=""),OR(I17="Sim",AND(H17&lt;&gt;"",H17&gt;=$L$6))),"",ROUND(IF(G17="",$L$5-H17,IF(H17="",$L$4-G17,MIN($L$4-G17,$L$5-H17))),0))</f>
        <v>-8</v>
      </c>
      <c r="M17" s="8" t="n">
        <f aca="false">IF(OR(F17="",L17=""),"",F17+L17)</f>
        <v>38</v>
      </c>
      <c r="N17" s="21" t="str">
        <f aca="false">IF(I17="Sim","Clip",IF(AND(G17="",H17=""),"",IF(AND(H17&lt;&gt;"",H17&gt;=$L$6),"Clip",IF(L17&lt;-$L$7,"Alto",IF(L17&gt;$L$7,"Baixo","OK")))))</f>
        <v>Alto</v>
      </c>
      <c r="O17" s="22" t="str">
        <f aca="false">IF(N17="","",IF(N17="Clip",IF(E17="Sim","Baixe o ganho uns 6 dB e meça de novo","Baixe o ganho uns 6 dB e meça de novo. No mínimo: ligue o pad"),IF(N17="Alto","Baixe o ganho cerca de "&amp;ABS(L17)&amp;" dB",IF(N17="Baixo",IF(E17="Sim","Veja se o pad é necessário. Sem ele, meça de novo","Suba o ganho cerca de "&amp;L17&amp;" dB"),"Manter"))))</f>
        <v>Baixe o ganho cerca de 8 dB</v>
      </c>
      <c r="P17" s="28"/>
    </row>
    <row r="18" customFormat="false" ht="21.75" hidden="false" customHeight="true" outlineLevel="0" collapsed="false">
      <c r="B18" s="18" t="n">
        <v>5</v>
      </c>
      <c r="C18" s="28" t="s">
        <v>251</v>
      </c>
      <c r="D18" s="31" t="s">
        <v>252</v>
      </c>
      <c r="E18" s="31" t="s">
        <v>101</v>
      </c>
      <c r="F18" s="31" t="n">
        <v>25</v>
      </c>
      <c r="G18" s="29" t="n">
        <v>-19</v>
      </c>
      <c r="H18" s="29" t="n">
        <v>-8</v>
      </c>
      <c r="I18" s="31" t="s">
        <v>101</v>
      </c>
      <c r="J18" s="19" t="n">
        <f aca="false">IF(OR(G18="",H18=""),"",H18-G18)</f>
        <v>11</v>
      </c>
      <c r="K18" s="19" t="n">
        <f aca="false">IF(H18="","",$L$6-H18)</f>
        <v>8</v>
      </c>
      <c r="L18" s="20" t="n">
        <f aca="false">IF(OR(AND(G18="",H18=""),OR(I18="Sim",AND(H18&lt;&gt;"",H18&gt;=$L$6))),"",ROUND(IF(G18="",$L$5-H18,IF(H18="",$L$4-G18,MIN($L$4-G18,$L$5-H18))),0))</f>
        <v>1</v>
      </c>
      <c r="M18" s="8" t="n">
        <f aca="false">IF(OR(F18="",L18=""),"",F18+L18)</f>
        <v>26</v>
      </c>
      <c r="N18" s="21" t="str">
        <f aca="false">IF(I18="Sim","Clip",IF(AND(G18="",H18=""),"",IF(AND(H18&lt;&gt;"",H18&gt;=$L$6),"Clip",IF(L18&lt;-$L$7,"Alto",IF(L18&gt;$L$7,"Baixo","OK")))))</f>
        <v>OK</v>
      </c>
      <c r="O18" s="22" t="str">
        <f aca="false">IF(N18="","",IF(N18="Clip",IF(E18="Sim","Baixe o ganho uns 6 dB e meça de novo","Baixe o ganho uns 6 dB e meça de novo. No mínimo: ligue o pad"),IF(N18="Alto","Baixe o ganho cerca de "&amp;ABS(L18)&amp;" dB",IF(N18="Baixo",IF(E18="Sim","Veja se o pad é necessário. Sem ele, meça de novo","Suba o ganho cerca de "&amp;L18&amp;" dB"),"Manter"))))</f>
        <v>Manter</v>
      </c>
      <c r="P18" s="28"/>
    </row>
    <row r="19" customFormat="false" ht="21.75" hidden="false" customHeight="true" outlineLevel="0" collapsed="false">
      <c r="B19" s="18" t="n">
        <v>6</v>
      </c>
      <c r="C19" s="28" t="s">
        <v>102</v>
      </c>
      <c r="D19" s="31" t="s">
        <v>252</v>
      </c>
      <c r="E19" s="31" t="s">
        <v>101</v>
      </c>
      <c r="F19" s="31" t="n">
        <v>18</v>
      </c>
      <c r="G19" s="29" t="n">
        <v>-16</v>
      </c>
      <c r="H19" s="29" t="n">
        <v>-9</v>
      </c>
      <c r="I19" s="31" t="s">
        <v>101</v>
      </c>
      <c r="J19" s="19" t="n">
        <f aca="false">IF(OR(G19="",H19=""),"",H19-G19)</f>
        <v>7</v>
      </c>
      <c r="K19" s="19" t="n">
        <f aca="false">IF(H19="","",$L$6-H19)</f>
        <v>9</v>
      </c>
      <c r="L19" s="20" t="n">
        <f aca="false">IF(OR(AND(G19="",H19=""),OR(I19="Sim",AND(H19&lt;&gt;"",H19&gt;=$L$6))),"",ROUND(IF(G19="",$L$5-H19,IF(H19="",$L$4-G19,MIN($L$4-G19,$L$5-H19))),0))</f>
        <v>-2</v>
      </c>
      <c r="M19" s="8" t="n">
        <f aca="false">IF(OR(F19="",L19=""),"",F19+L19)</f>
        <v>16</v>
      </c>
      <c r="N19" s="21" t="str">
        <f aca="false">IF(I19="Sim","Clip",IF(AND(G19="",H19=""),"",IF(AND(H19&lt;&gt;"",H19&gt;=$L$6),"Clip",IF(L19&lt;-$L$7,"Alto",IF(L19&gt;$L$7,"Baixo","OK")))))</f>
        <v>OK</v>
      </c>
      <c r="O19" s="22" t="str">
        <f aca="false">IF(N19="","",IF(N19="Clip",IF(E19="Sim","Baixe o ganho uns 6 dB e meça de novo","Baixe o ganho uns 6 dB e meça de novo. No mínimo: ligue o pad"),IF(N19="Alto","Baixe o ganho cerca de "&amp;ABS(L19)&amp;" dB",IF(N19="Baixo",IF(E19="Sim","Veja se o pad é necessário. Sem ele, meça de novo","Suba o ganho cerca de "&amp;L19&amp;" dB"),"Manter"))))</f>
        <v>Manter</v>
      </c>
      <c r="P19" s="28"/>
    </row>
    <row r="20" customFormat="false" ht="21.75" hidden="false" customHeight="true" outlineLevel="0" collapsed="false">
      <c r="B20" s="18" t="n">
        <v>7</v>
      </c>
      <c r="C20" s="28" t="s">
        <v>253</v>
      </c>
      <c r="D20" s="31" t="s">
        <v>254</v>
      </c>
      <c r="E20" s="31" t="s">
        <v>101</v>
      </c>
      <c r="F20" s="31" t="n">
        <v>5</v>
      </c>
      <c r="G20" s="29" t="n">
        <v>-6</v>
      </c>
      <c r="H20" s="29" t="n">
        <v>0</v>
      </c>
      <c r="I20" s="31" t="s">
        <v>255</v>
      </c>
      <c r="J20" s="19" t="n">
        <f aca="false">IF(OR(G20="",H20=""),"",H20-G20)</f>
        <v>6</v>
      </c>
      <c r="K20" s="19" t="n">
        <f aca="false">IF(H20="","",$L$6-H20)</f>
        <v>0</v>
      </c>
      <c r="L20" s="20" t="str">
        <f aca="false">IF(OR(AND(G20="",H20=""),OR(I20="Sim",AND(H20&lt;&gt;"",H20&gt;=$L$6))),"",ROUND(IF(G20="",$L$5-H20,IF(H20="",$L$4-G20,MIN($L$4-G20,$L$5-H20))),0))</f>
        <v/>
      </c>
      <c r="M20" s="8" t="str">
        <f aca="false">IF(OR(F20="",L20=""),"",F20+L20)</f>
        <v/>
      </c>
      <c r="N20" s="21" t="str">
        <f aca="false">IF(I20="Sim","Clip",IF(AND(G20="",H20=""),"",IF(AND(H20&lt;&gt;"",H20&gt;=$L$6),"Clip",IF(L20&lt;-$L$7,"Alto",IF(L20&gt;$L$7,"Baixo","OK")))))</f>
        <v>Clip</v>
      </c>
      <c r="O20" s="22" t="str">
        <f aca="false">IF(N20="","",IF(N20="Clip",IF(E20="Sim","Baixe o ganho uns 6 dB e meça de novo","Baixe o ganho uns 6 dB e meça de novo. No mínimo: ligue o pad"),IF(N20="Alto","Baixe o ganho cerca de "&amp;ABS(L20)&amp;" dB",IF(N20="Baixo",IF(E20="Sim","Veja se o pad é necessário. Sem ele, meça de novo","Suba o ganho cerca de "&amp;L20&amp;" dB"),"Manter"))))</f>
        <v>Baixe o ganho uns 6 dB e meça de novo. No mínimo: ligue o pad</v>
      </c>
      <c r="P20" s="28"/>
    </row>
    <row r="21" customFormat="false" ht="21.75" hidden="false" customHeight="true" outlineLevel="0" collapsed="false">
      <c r="B21" s="18" t="n">
        <v>8</v>
      </c>
      <c r="C21" s="28" t="s">
        <v>256</v>
      </c>
      <c r="D21" s="31" t="s">
        <v>254</v>
      </c>
      <c r="E21" s="31" t="s">
        <v>101</v>
      </c>
      <c r="F21" s="31" t="n">
        <v>5</v>
      </c>
      <c r="G21" s="29" t="n">
        <v>-6</v>
      </c>
      <c r="H21" s="29" t="n">
        <v>0</v>
      </c>
      <c r="I21" s="31" t="s">
        <v>255</v>
      </c>
      <c r="J21" s="19" t="n">
        <f aca="false">IF(OR(G21="",H21=""),"",H21-G21)</f>
        <v>6</v>
      </c>
      <c r="K21" s="19" t="n">
        <f aca="false">IF(H21="","",$L$6-H21)</f>
        <v>0</v>
      </c>
      <c r="L21" s="20" t="str">
        <f aca="false">IF(OR(AND(G21="",H21=""),OR(I21="Sim",AND(H21&lt;&gt;"",H21&gt;=$L$6))),"",ROUND(IF(G21="",$L$5-H21,IF(H21="",$L$4-G21,MIN($L$4-G21,$L$5-H21))),0))</f>
        <v/>
      </c>
      <c r="M21" s="8" t="str">
        <f aca="false">IF(OR(F21="",L21=""),"",F21+L21)</f>
        <v/>
      </c>
      <c r="N21" s="21" t="str">
        <f aca="false">IF(I21="Sim","Clip",IF(AND(G21="",H21=""),"",IF(AND(H21&lt;&gt;"",H21&gt;=$L$6),"Clip",IF(L21&lt;-$L$7,"Alto",IF(L21&gt;$L$7,"Baixo","OK")))))</f>
        <v>Clip</v>
      </c>
      <c r="O21" s="22" t="str">
        <f aca="false">IF(N21="","",IF(N21="Clip",IF(E21="Sim","Baixe o ganho uns 6 dB e meça de novo","Baixe o ganho uns 6 dB e meça de novo. No mínimo: ligue o pad"),IF(N21="Alto","Baixe o ganho cerca de "&amp;ABS(L21)&amp;" dB",IF(N21="Baixo",IF(E21="Sim","Veja se o pad é necessário. Sem ele, meça de novo","Suba o ganho cerca de "&amp;L21&amp;" dB"),"Manter"))))</f>
        <v>Baixe o ganho uns 6 dB e meça de novo. No mínimo: ligue o pad</v>
      </c>
      <c r="P21" s="28"/>
    </row>
    <row r="22" customFormat="false" ht="21.75" hidden="false" customHeight="true" outlineLevel="0" collapsed="false">
      <c r="B22" s="18" t="n">
        <v>9</v>
      </c>
      <c r="C22" s="28" t="s">
        <v>257</v>
      </c>
      <c r="D22" s="31" t="s">
        <v>100</v>
      </c>
      <c r="E22" s="31" t="s">
        <v>101</v>
      </c>
      <c r="F22" s="31" t="n">
        <v>20</v>
      </c>
      <c r="G22" s="29" t="n">
        <v>-24</v>
      </c>
      <c r="H22" s="29" t="n">
        <v>-5</v>
      </c>
      <c r="I22" s="31" t="s">
        <v>101</v>
      </c>
      <c r="J22" s="19" t="n">
        <f aca="false">IF(OR(G22="",H22=""),"",H22-G22)</f>
        <v>19</v>
      </c>
      <c r="K22" s="19" t="n">
        <f aca="false">IF(H22="","",$L$6-H22)</f>
        <v>5</v>
      </c>
      <c r="L22" s="20" t="n">
        <f aca="false">IF(OR(AND(G22="",H22=""),OR(I22="Sim",AND(H22&lt;&gt;"",H22&gt;=$L$6))),"",ROUND(IF(G22="",$L$5-H22,IF(H22="",$L$4-G22,MIN($L$4-G22,$L$5-H22))),0))</f>
        <v>-1</v>
      </c>
      <c r="M22" s="8" t="n">
        <f aca="false">IF(OR(F22="",L22=""),"",F22+L22)</f>
        <v>19</v>
      </c>
      <c r="N22" s="21" t="str">
        <f aca="false">IF(I22="Sim","Clip",IF(AND(G22="",H22=""),"",IF(AND(H22&lt;&gt;"",H22&gt;=$L$6),"Clip",IF(L22&lt;-$L$7,"Alto",IF(L22&gt;$L$7,"Baixo","OK")))))</f>
        <v>OK</v>
      </c>
      <c r="O22" s="22" t="str">
        <f aca="false">IF(N22="","",IF(N22="Clip",IF(E22="Sim","Baixe o ganho uns 6 dB e meça de novo","Baixe o ganho uns 6 dB e meça de novo. No mínimo: ligue o pad"),IF(N22="Alto","Baixe o ganho cerca de "&amp;ABS(L22)&amp;" dB",IF(N22="Baixo",IF(E22="Sim","Veja se o pad é necessário. Sem ele, meça de novo","Suba o ganho cerca de "&amp;L22&amp;" dB"),"Manter"))))</f>
        <v>Manter</v>
      </c>
      <c r="P22" s="28"/>
    </row>
    <row r="23" customFormat="false" ht="21.75" hidden="false" customHeight="true" outlineLevel="0" collapsed="false">
      <c r="B23" s="18" t="n">
        <v>10</v>
      </c>
      <c r="C23" s="28" t="s">
        <v>258</v>
      </c>
      <c r="D23" s="31" t="s">
        <v>100</v>
      </c>
      <c r="E23" s="31" t="s">
        <v>101</v>
      </c>
      <c r="F23" s="31" t="n">
        <v>22</v>
      </c>
      <c r="G23" s="29" t="n">
        <v>-26</v>
      </c>
      <c r="H23" s="29" t="n">
        <v>-2</v>
      </c>
      <c r="I23" s="31" t="s">
        <v>101</v>
      </c>
      <c r="J23" s="19" t="n">
        <f aca="false">IF(OR(G23="",H23=""),"",H23-G23)</f>
        <v>24</v>
      </c>
      <c r="K23" s="19" t="n">
        <f aca="false">IF(H23="","",$L$6-H23)</f>
        <v>2</v>
      </c>
      <c r="L23" s="20" t="n">
        <f aca="false">IF(OR(AND(G23="",H23=""),OR(I23="Sim",AND(H23&lt;&gt;"",H23&gt;=$L$6))),"",ROUND(IF(G23="",$L$5-H23,IF(H23="",$L$4-G23,MIN($L$4-G23,$L$5-H23))),0))</f>
        <v>-4</v>
      </c>
      <c r="M23" s="8" t="n">
        <f aca="false">IF(OR(F23="",L23=""),"",F23+L23)</f>
        <v>18</v>
      </c>
      <c r="N23" s="21" t="str">
        <f aca="false">IF(I23="Sim","Clip",IF(AND(G23="",H23=""),"",IF(AND(H23&lt;&gt;"",H23&gt;=$L$6),"Clip",IF(L23&lt;-$L$7,"Alto",IF(L23&gt;$L$7,"Baixo","OK")))))</f>
        <v>Alto</v>
      </c>
      <c r="O23" s="22" t="str">
        <f aca="false">IF(N23="","",IF(N23="Clip",IF(E23="Sim","Baixe o ganho uns 6 dB e meça de novo","Baixe o ganho uns 6 dB e meça de novo. No mínimo: ligue o pad"),IF(N23="Alto","Baixe o ganho cerca de "&amp;ABS(L23)&amp;" dB",IF(N23="Baixo",IF(E23="Sim","Veja se o pad é necessário. Sem ele, meça de novo","Suba o ganho cerca de "&amp;L23&amp;" dB"),"Manter"))))</f>
        <v>Baixe o ganho cerca de 4 dB</v>
      </c>
      <c r="P23" s="28"/>
    </row>
    <row r="24" customFormat="false" ht="21.75" hidden="false" customHeight="true" outlineLevel="0" collapsed="false">
      <c r="B24" s="18" t="n">
        <v>11</v>
      </c>
      <c r="C24" s="28" t="s">
        <v>259</v>
      </c>
      <c r="D24" s="31" t="s">
        <v>254</v>
      </c>
      <c r="E24" s="31" t="s">
        <v>101</v>
      </c>
      <c r="F24" s="31" t="n">
        <v>0</v>
      </c>
      <c r="G24" s="29" t="n">
        <v>-20</v>
      </c>
      <c r="H24" s="29" t="n">
        <v>-10</v>
      </c>
      <c r="I24" s="31" t="s">
        <v>101</v>
      </c>
      <c r="J24" s="19" t="n">
        <f aca="false">IF(OR(G24="",H24=""),"",H24-G24)</f>
        <v>10</v>
      </c>
      <c r="K24" s="19" t="n">
        <f aca="false">IF(H24="","",$L$6-H24)</f>
        <v>10</v>
      </c>
      <c r="L24" s="20" t="n">
        <f aca="false">IF(OR(AND(G24="",H24=""),OR(I24="Sim",AND(H24&lt;&gt;"",H24&gt;=$L$6))),"",ROUND(IF(G24="",$L$5-H24,IF(H24="",$L$4-G24,MIN($L$4-G24,$L$5-H24))),0))</f>
        <v>2</v>
      </c>
      <c r="M24" s="8" t="n">
        <f aca="false">IF(OR(F24="",L24=""),"",F24+L24)</f>
        <v>2</v>
      </c>
      <c r="N24" s="21" t="str">
        <f aca="false">IF(I24="Sim","Clip",IF(AND(G24="",H24=""),"",IF(AND(H24&lt;&gt;"",H24&gt;=$L$6),"Clip",IF(L24&lt;-$L$7,"Alto",IF(L24&gt;$L$7,"Baixo","OK")))))</f>
        <v>OK</v>
      </c>
      <c r="O24" s="22" t="str">
        <f aca="false">IF(N24="","",IF(N24="Clip",IF(E24="Sim","Baixe o ganho uns 6 dB e meça de novo","Baixe o ganho uns 6 dB e meça de novo. No mínimo: ligue o pad"),IF(N24="Alto","Baixe o ganho cerca de "&amp;ABS(L24)&amp;" dB",IF(N24="Baixo",IF(E24="Sim","Veja se o pad é necessário. Sem ele, meça de novo","Suba o ganho cerca de "&amp;L24&amp;" dB"),"Manter"))))</f>
        <v>Manter</v>
      </c>
      <c r="P24" s="28"/>
    </row>
    <row r="25" customFormat="false" ht="21.75" hidden="false" customHeight="true" outlineLevel="0" collapsed="false">
      <c r="B25" s="18" t="n">
        <v>12</v>
      </c>
      <c r="C25" s="28" t="s">
        <v>260</v>
      </c>
      <c r="D25" s="31" t="s">
        <v>100</v>
      </c>
      <c r="E25" s="31" t="s">
        <v>101</v>
      </c>
      <c r="F25" s="31" t="n">
        <v>30</v>
      </c>
      <c r="G25" s="29" t="n">
        <v>-27</v>
      </c>
      <c r="H25" s="29" t="n">
        <v>-14</v>
      </c>
      <c r="I25" s="31" t="s">
        <v>101</v>
      </c>
      <c r="J25" s="19" t="n">
        <f aca="false">IF(OR(G25="",H25=""),"",H25-G25)</f>
        <v>13</v>
      </c>
      <c r="K25" s="19" t="n">
        <f aca="false">IF(H25="","",$L$6-H25)</f>
        <v>14</v>
      </c>
      <c r="L25" s="20" t="n">
        <f aca="false">IF(OR(AND(G25="",H25=""),OR(I25="Sim",AND(H25&lt;&gt;"",H25&gt;=$L$6))),"",ROUND(IF(G25="",$L$5-H25,IF(H25="",$L$4-G25,MIN($L$4-G25,$L$5-H25))),0))</f>
        <v>8</v>
      </c>
      <c r="M25" s="8" t="n">
        <f aca="false">IF(OR(F25="",L25=""),"",F25+L25)</f>
        <v>38</v>
      </c>
      <c r="N25" s="21" t="str">
        <f aca="false">IF(I25="Sim","Clip",IF(AND(G25="",H25=""),"",IF(AND(H25&lt;&gt;"",H25&gt;=$L$6),"Clip",IF(L25&lt;-$L$7,"Alto",IF(L25&gt;$L$7,"Baixo","OK")))))</f>
        <v>Baixo</v>
      </c>
      <c r="O25" s="22" t="str">
        <f aca="false">IF(N25="","",IF(N25="Clip",IF(E25="Sim","Baixe o ganho uns 6 dB e meça de novo","Baixe o ganho uns 6 dB e meça de novo. No mínimo: ligue o pad"),IF(N25="Alto","Baixe o ganho cerca de "&amp;ABS(L25)&amp;" dB",IF(N25="Baixo",IF(E25="Sim","Veja se o pad é necessário. Sem ele, meça de novo","Suba o ganho cerca de "&amp;L25&amp;" dB"),"Manter"))))</f>
        <v>Suba o ganho cerca de 8 dB</v>
      </c>
      <c r="P25" s="28"/>
    </row>
    <row r="26" customFormat="false" ht="21.75" hidden="false" customHeight="true" outlineLevel="0" collapsed="false">
      <c r="B26" s="18" t="n">
        <v>13</v>
      </c>
      <c r="C26" s="28"/>
      <c r="D26" s="31"/>
      <c r="E26" s="31"/>
      <c r="F26" s="31"/>
      <c r="G26" s="29"/>
      <c r="H26" s="29"/>
      <c r="I26" s="31"/>
      <c r="J26" s="19" t="str">
        <f aca="false">IF(OR(G26="",H26=""),"",H26-G26)</f>
        <v/>
      </c>
      <c r="K26" s="19" t="str">
        <f aca="false">IF(H26="","",$L$6-H26)</f>
        <v/>
      </c>
      <c r="L26" s="20" t="str">
        <f aca="false">IF(OR(AND(G26="",H26=""),OR(I26="Sim",AND(H26&lt;&gt;"",H26&gt;=$L$6))),"",ROUND(IF(G26="",$L$5-H26,IF(H26="",$L$4-G26,MIN($L$4-G26,$L$5-H26))),0))</f>
        <v/>
      </c>
      <c r="M26" s="8" t="str">
        <f aca="false">IF(OR(F26="",L26=""),"",F26+L26)</f>
        <v/>
      </c>
      <c r="N26" s="21" t="str">
        <f aca="false">IF(I26="Sim","Clip",IF(AND(G26="",H26=""),"",IF(AND(H26&lt;&gt;"",H26&gt;=$L$6),"Clip",IF(L26&lt;-$L$7,"Alto",IF(L26&gt;$L$7,"Baixo","OK")))))</f>
        <v/>
      </c>
      <c r="O26" s="22" t="str">
        <f aca="false">IF(N26="","",IF(N26="Clip",IF(E26="Sim","Baixe o ganho uns 6 dB e meça de novo","Baixe o ganho uns 6 dB e meça de novo. No mínimo: ligue o pad"),IF(N26="Alto","Baixe o ganho cerca de "&amp;ABS(L26)&amp;" dB",IF(N26="Baixo",IF(E26="Sim","Veja se o pad é necessário. Sem ele, meça de novo","Suba o ganho cerca de "&amp;L26&amp;" dB"),"Manter"))))</f>
        <v/>
      </c>
      <c r="P26" s="28"/>
    </row>
    <row r="27" customFormat="false" ht="21.75" hidden="false" customHeight="true" outlineLevel="0" collapsed="false">
      <c r="B27" s="18" t="n">
        <v>14</v>
      </c>
      <c r="C27" s="28"/>
      <c r="D27" s="31"/>
      <c r="E27" s="31"/>
      <c r="F27" s="31"/>
      <c r="G27" s="29"/>
      <c r="H27" s="29"/>
      <c r="I27" s="31"/>
      <c r="J27" s="19" t="str">
        <f aca="false">IF(OR(G27="",H27=""),"",H27-G27)</f>
        <v/>
      </c>
      <c r="K27" s="19" t="str">
        <f aca="false">IF(H27="","",$L$6-H27)</f>
        <v/>
      </c>
      <c r="L27" s="20" t="str">
        <f aca="false">IF(OR(AND(G27="",H27=""),OR(I27="Sim",AND(H27&lt;&gt;"",H27&gt;=$L$6))),"",ROUND(IF(G27="",$L$5-H27,IF(H27="",$L$4-G27,MIN($L$4-G27,$L$5-H27))),0))</f>
        <v/>
      </c>
      <c r="M27" s="8" t="str">
        <f aca="false">IF(OR(F27="",L27=""),"",F27+L27)</f>
        <v/>
      </c>
      <c r="N27" s="21" t="str">
        <f aca="false">IF(I27="Sim","Clip",IF(AND(G27="",H27=""),"",IF(AND(H27&lt;&gt;"",H27&gt;=$L$6),"Clip",IF(L27&lt;-$L$7,"Alto",IF(L27&gt;$L$7,"Baixo","OK")))))</f>
        <v/>
      </c>
      <c r="O27" s="22" t="str">
        <f aca="false">IF(N27="","",IF(N27="Clip",IF(E27="Sim","Baixe o ganho uns 6 dB e meça de novo","Baixe o ganho uns 6 dB e meça de novo. No mínimo: ligue o pad"),IF(N27="Alto","Baixe o ganho cerca de "&amp;ABS(L27)&amp;" dB",IF(N27="Baixo",IF(E27="Sim","Veja se o pad é necessário. Sem ele, meça de novo","Suba o ganho cerca de "&amp;L27&amp;" dB"),"Manter"))))</f>
        <v/>
      </c>
      <c r="P27" s="28"/>
    </row>
    <row r="28" customFormat="false" ht="21.75" hidden="false" customHeight="true" outlineLevel="0" collapsed="false">
      <c r="B28" s="18" t="n">
        <v>15</v>
      </c>
      <c r="C28" s="28"/>
      <c r="D28" s="31"/>
      <c r="E28" s="31"/>
      <c r="F28" s="31"/>
      <c r="G28" s="29"/>
      <c r="H28" s="29"/>
      <c r="I28" s="31"/>
      <c r="J28" s="19" t="str">
        <f aca="false">IF(OR(G28="",H28=""),"",H28-G28)</f>
        <v/>
      </c>
      <c r="K28" s="19" t="str">
        <f aca="false">IF(H28="","",$L$6-H28)</f>
        <v/>
      </c>
      <c r="L28" s="20" t="str">
        <f aca="false">IF(OR(AND(G28="",H28=""),OR(I28="Sim",AND(H28&lt;&gt;"",H28&gt;=$L$6))),"",ROUND(IF(G28="",$L$5-H28,IF(H28="",$L$4-G28,MIN($L$4-G28,$L$5-H28))),0))</f>
        <v/>
      </c>
      <c r="M28" s="8" t="str">
        <f aca="false">IF(OR(F28="",L28=""),"",F28+L28)</f>
        <v/>
      </c>
      <c r="N28" s="21" t="str">
        <f aca="false">IF(I28="Sim","Clip",IF(AND(G28="",H28=""),"",IF(AND(H28&lt;&gt;"",H28&gt;=$L$6),"Clip",IF(L28&lt;-$L$7,"Alto",IF(L28&gt;$L$7,"Baixo","OK")))))</f>
        <v/>
      </c>
      <c r="O28" s="22" t="str">
        <f aca="false">IF(N28="","",IF(N28="Clip",IF(E28="Sim","Baixe o ganho uns 6 dB e meça de novo","Baixe o ganho uns 6 dB e meça de novo. No mínimo: ligue o pad"),IF(N28="Alto","Baixe o ganho cerca de "&amp;ABS(L28)&amp;" dB",IF(N28="Baixo",IF(E28="Sim","Veja se o pad é necessário. Sem ele, meça de novo","Suba o ganho cerca de "&amp;L28&amp;" dB"),"Manter"))))</f>
        <v/>
      </c>
      <c r="P28" s="28"/>
    </row>
    <row r="29" customFormat="false" ht="21.75" hidden="false" customHeight="true" outlineLevel="0" collapsed="false">
      <c r="B29" s="18" t="n">
        <v>16</v>
      </c>
      <c r="C29" s="28"/>
      <c r="D29" s="31"/>
      <c r="E29" s="31"/>
      <c r="F29" s="31"/>
      <c r="G29" s="29"/>
      <c r="H29" s="29"/>
      <c r="I29" s="31"/>
      <c r="J29" s="19" t="str">
        <f aca="false">IF(OR(G29="",H29=""),"",H29-G29)</f>
        <v/>
      </c>
      <c r="K29" s="19" t="str">
        <f aca="false">IF(H29="","",$L$6-H29)</f>
        <v/>
      </c>
      <c r="L29" s="20" t="str">
        <f aca="false">IF(OR(AND(G29="",H29=""),OR(I29="Sim",AND(H29&lt;&gt;"",H29&gt;=$L$6))),"",ROUND(IF(G29="",$L$5-H29,IF(H29="",$L$4-G29,MIN($L$4-G29,$L$5-H29))),0))</f>
        <v/>
      </c>
      <c r="M29" s="8" t="str">
        <f aca="false">IF(OR(F29="",L29=""),"",F29+L29)</f>
        <v/>
      </c>
      <c r="N29" s="21" t="str">
        <f aca="false">IF(I29="Sim","Clip",IF(AND(G29="",H29=""),"",IF(AND(H29&lt;&gt;"",H29&gt;=$L$6),"Clip",IF(L29&lt;-$L$7,"Alto",IF(L29&gt;$L$7,"Baixo","OK")))))</f>
        <v/>
      </c>
      <c r="O29" s="22" t="str">
        <f aca="false">IF(N29="","",IF(N29="Clip",IF(E29="Sim","Baixe o ganho uns 6 dB e meça de novo","Baixe o ganho uns 6 dB e meça de novo. No mínimo: ligue o pad"),IF(N29="Alto","Baixe o ganho cerca de "&amp;ABS(L29)&amp;" dB",IF(N29="Baixo",IF(E29="Sim","Veja se o pad é necessário. Sem ele, meça de novo","Suba o ganho cerca de "&amp;L29&amp;" dB"),"Manter"))))</f>
        <v/>
      </c>
      <c r="P29" s="28"/>
    </row>
    <row r="30" customFormat="false" ht="21.75" hidden="false" customHeight="true" outlineLevel="0" collapsed="false">
      <c r="B30" s="18" t="n">
        <v>17</v>
      </c>
      <c r="C30" s="28"/>
      <c r="D30" s="31"/>
      <c r="E30" s="31"/>
      <c r="F30" s="31"/>
      <c r="G30" s="29"/>
      <c r="H30" s="29"/>
      <c r="I30" s="31"/>
      <c r="J30" s="19" t="str">
        <f aca="false">IF(OR(G30="",H30=""),"",H30-G30)</f>
        <v/>
      </c>
      <c r="K30" s="19" t="str">
        <f aca="false">IF(H30="","",$L$6-H30)</f>
        <v/>
      </c>
      <c r="L30" s="20" t="str">
        <f aca="false">IF(OR(AND(G30="",H30=""),OR(I30="Sim",AND(H30&lt;&gt;"",H30&gt;=$L$6))),"",ROUND(IF(G30="",$L$5-H30,IF(H30="",$L$4-G30,MIN($L$4-G30,$L$5-H30))),0))</f>
        <v/>
      </c>
      <c r="M30" s="8" t="str">
        <f aca="false">IF(OR(F30="",L30=""),"",F30+L30)</f>
        <v/>
      </c>
      <c r="N30" s="21" t="str">
        <f aca="false">IF(I30="Sim","Clip",IF(AND(G30="",H30=""),"",IF(AND(H30&lt;&gt;"",H30&gt;=$L$6),"Clip",IF(L30&lt;-$L$7,"Alto",IF(L30&gt;$L$7,"Baixo","OK")))))</f>
        <v/>
      </c>
      <c r="O30" s="22" t="str">
        <f aca="false">IF(N30="","",IF(N30="Clip",IF(E30="Sim","Baixe o ganho uns 6 dB e meça de novo","Baixe o ganho uns 6 dB e meça de novo. No mínimo: ligue o pad"),IF(N30="Alto","Baixe o ganho cerca de "&amp;ABS(L30)&amp;" dB",IF(N30="Baixo",IF(E30="Sim","Veja se o pad é necessário. Sem ele, meça de novo","Suba o ganho cerca de "&amp;L30&amp;" dB"),"Manter"))))</f>
        <v/>
      </c>
      <c r="P30" s="28"/>
    </row>
    <row r="31" customFormat="false" ht="21.75" hidden="false" customHeight="true" outlineLevel="0" collapsed="false">
      <c r="B31" s="18" t="n">
        <v>18</v>
      </c>
      <c r="C31" s="28"/>
      <c r="D31" s="31"/>
      <c r="E31" s="31"/>
      <c r="F31" s="31"/>
      <c r="G31" s="29"/>
      <c r="H31" s="29"/>
      <c r="I31" s="31"/>
      <c r="J31" s="19" t="str">
        <f aca="false">IF(OR(G31="",H31=""),"",H31-G31)</f>
        <v/>
      </c>
      <c r="K31" s="19" t="str">
        <f aca="false">IF(H31="","",$L$6-H31)</f>
        <v/>
      </c>
      <c r="L31" s="20" t="str">
        <f aca="false">IF(OR(AND(G31="",H31=""),OR(I31="Sim",AND(H31&lt;&gt;"",H31&gt;=$L$6))),"",ROUND(IF(G31="",$L$5-H31,IF(H31="",$L$4-G31,MIN($L$4-G31,$L$5-H31))),0))</f>
        <v/>
      </c>
      <c r="M31" s="8" t="str">
        <f aca="false">IF(OR(F31="",L31=""),"",F31+L31)</f>
        <v/>
      </c>
      <c r="N31" s="21" t="str">
        <f aca="false">IF(I31="Sim","Clip",IF(AND(G31="",H31=""),"",IF(AND(H31&lt;&gt;"",H31&gt;=$L$6),"Clip",IF(L31&lt;-$L$7,"Alto",IF(L31&gt;$L$7,"Baixo","OK")))))</f>
        <v/>
      </c>
      <c r="O31" s="22" t="str">
        <f aca="false">IF(N31="","",IF(N31="Clip",IF(E31="Sim","Baixe o ganho uns 6 dB e meça de novo","Baixe o ganho uns 6 dB e meça de novo. No mínimo: ligue o pad"),IF(N31="Alto","Baixe o ganho cerca de "&amp;ABS(L31)&amp;" dB",IF(N31="Baixo",IF(E31="Sim","Veja se o pad é necessário. Sem ele, meça de novo","Suba o ganho cerca de "&amp;L31&amp;" dB"),"Manter"))))</f>
        <v/>
      </c>
      <c r="P31" s="28"/>
    </row>
    <row r="32" customFormat="false" ht="21.75" hidden="false" customHeight="true" outlineLevel="0" collapsed="false">
      <c r="B32" s="18" t="n">
        <v>19</v>
      </c>
      <c r="C32" s="28"/>
      <c r="D32" s="31"/>
      <c r="E32" s="31"/>
      <c r="F32" s="31"/>
      <c r="G32" s="29"/>
      <c r="H32" s="29"/>
      <c r="I32" s="31"/>
      <c r="J32" s="19" t="str">
        <f aca="false">IF(OR(G32="",H32=""),"",H32-G32)</f>
        <v/>
      </c>
      <c r="K32" s="19" t="str">
        <f aca="false">IF(H32="","",$L$6-H32)</f>
        <v/>
      </c>
      <c r="L32" s="20" t="str">
        <f aca="false">IF(OR(AND(G32="",H32=""),OR(I32="Sim",AND(H32&lt;&gt;"",H32&gt;=$L$6))),"",ROUND(IF(G32="",$L$5-H32,IF(H32="",$L$4-G32,MIN($L$4-G32,$L$5-H32))),0))</f>
        <v/>
      </c>
      <c r="M32" s="8" t="str">
        <f aca="false">IF(OR(F32="",L32=""),"",F32+L32)</f>
        <v/>
      </c>
      <c r="N32" s="21" t="str">
        <f aca="false">IF(I32="Sim","Clip",IF(AND(G32="",H32=""),"",IF(AND(H32&lt;&gt;"",H32&gt;=$L$6),"Clip",IF(L32&lt;-$L$7,"Alto",IF(L32&gt;$L$7,"Baixo","OK")))))</f>
        <v/>
      </c>
      <c r="O32" s="22" t="str">
        <f aca="false">IF(N32="","",IF(N32="Clip",IF(E32="Sim","Baixe o ganho uns 6 dB e meça de novo","Baixe o ganho uns 6 dB e meça de novo. No mínimo: ligue o pad"),IF(N32="Alto","Baixe o ganho cerca de "&amp;ABS(L32)&amp;" dB",IF(N32="Baixo",IF(E32="Sim","Veja se o pad é necessário. Sem ele, meça de novo","Suba o ganho cerca de "&amp;L32&amp;" dB"),"Manter"))))</f>
        <v/>
      </c>
      <c r="P32" s="28"/>
    </row>
    <row r="33" customFormat="false" ht="21.75" hidden="false" customHeight="true" outlineLevel="0" collapsed="false">
      <c r="B33" s="18" t="n">
        <v>20</v>
      </c>
      <c r="C33" s="28"/>
      <c r="D33" s="31"/>
      <c r="E33" s="31"/>
      <c r="F33" s="31"/>
      <c r="G33" s="29"/>
      <c r="H33" s="29"/>
      <c r="I33" s="31"/>
      <c r="J33" s="19" t="str">
        <f aca="false">IF(OR(G33="",H33=""),"",H33-G33)</f>
        <v/>
      </c>
      <c r="K33" s="19" t="str">
        <f aca="false">IF(H33="","",$L$6-H33)</f>
        <v/>
      </c>
      <c r="L33" s="20" t="str">
        <f aca="false">IF(OR(AND(G33="",H33=""),OR(I33="Sim",AND(H33&lt;&gt;"",H33&gt;=$L$6))),"",ROUND(IF(G33="",$L$5-H33,IF(H33="",$L$4-G33,MIN($L$4-G33,$L$5-H33))),0))</f>
        <v/>
      </c>
      <c r="M33" s="8" t="str">
        <f aca="false">IF(OR(F33="",L33=""),"",F33+L33)</f>
        <v/>
      </c>
      <c r="N33" s="21" t="str">
        <f aca="false">IF(I33="Sim","Clip",IF(AND(G33="",H33=""),"",IF(AND(H33&lt;&gt;"",H33&gt;=$L$6),"Clip",IF(L33&lt;-$L$7,"Alto",IF(L33&gt;$L$7,"Baixo","OK")))))</f>
        <v/>
      </c>
      <c r="O33" s="22" t="str">
        <f aca="false">IF(N33="","",IF(N33="Clip",IF(E33="Sim","Baixe o ganho uns 6 dB e meça de novo","Baixe o ganho uns 6 dB e meça de novo. No mínimo: ligue o pad"),IF(N33="Alto","Baixe o ganho cerca de "&amp;ABS(L33)&amp;" dB",IF(N33="Baixo",IF(E33="Sim","Veja se o pad é necessário. Sem ele, meça de novo","Suba o ganho cerca de "&amp;L33&amp;" dB"),"Manter"))))</f>
        <v/>
      </c>
      <c r="P33" s="28"/>
    </row>
    <row r="34" customFormat="false" ht="21.75" hidden="false" customHeight="true" outlineLevel="0" collapsed="false">
      <c r="B34" s="18" t="n">
        <v>21</v>
      </c>
      <c r="C34" s="28"/>
      <c r="D34" s="31"/>
      <c r="E34" s="31"/>
      <c r="F34" s="31"/>
      <c r="G34" s="29"/>
      <c r="H34" s="29"/>
      <c r="I34" s="31"/>
      <c r="J34" s="19" t="str">
        <f aca="false">IF(OR(G34="",H34=""),"",H34-G34)</f>
        <v/>
      </c>
      <c r="K34" s="19" t="str">
        <f aca="false">IF(H34="","",$L$6-H34)</f>
        <v/>
      </c>
      <c r="L34" s="20" t="str">
        <f aca="false">IF(OR(AND(G34="",H34=""),OR(I34="Sim",AND(H34&lt;&gt;"",H34&gt;=$L$6))),"",ROUND(IF(G34="",$L$5-H34,IF(H34="",$L$4-G34,MIN($L$4-G34,$L$5-H34))),0))</f>
        <v/>
      </c>
      <c r="M34" s="8" t="str">
        <f aca="false">IF(OR(F34="",L34=""),"",F34+L34)</f>
        <v/>
      </c>
      <c r="N34" s="21" t="str">
        <f aca="false">IF(I34="Sim","Clip",IF(AND(G34="",H34=""),"",IF(AND(H34&lt;&gt;"",H34&gt;=$L$6),"Clip",IF(L34&lt;-$L$7,"Alto",IF(L34&gt;$L$7,"Baixo","OK")))))</f>
        <v/>
      </c>
      <c r="O34" s="22" t="str">
        <f aca="false">IF(N34="","",IF(N34="Clip",IF(E34="Sim","Baixe o ganho uns 6 dB e meça de novo","Baixe o ganho uns 6 dB e meça de novo. No mínimo: ligue o pad"),IF(N34="Alto","Baixe o ganho cerca de "&amp;ABS(L34)&amp;" dB",IF(N34="Baixo",IF(E34="Sim","Veja se o pad é necessário. Sem ele, meça de novo","Suba o ganho cerca de "&amp;L34&amp;" dB"),"Manter"))))</f>
        <v/>
      </c>
      <c r="P34" s="28"/>
    </row>
    <row r="35" customFormat="false" ht="21.75" hidden="false" customHeight="true" outlineLevel="0" collapsed="false">
      <c r="B35" s="18" t="n">
        <v>22</v>
      </c>
      <c r="C35" s="28"/>
      <c r="D35" s="31"/>
      <c r="E35" s="31"/>
      <c r="F35" s="31"/>
      <c r="G35" s="29"/>
      <c r="H35" s="29"/>
      <c r="I35" s="31"/>
      <c r="J35" s="19" t="str">
        <f aca="false">IF(OR(G35="",H35=""),"",H35-G35)</f>
        <v/>
      </c>
      <c r="K35" s="19" t="str">
        <f aca="false">IF(H35="","",$L$6-H35)</f>
        <v/>
      </c>
      <c r="L35" s="20" t="str">
        <f aca="false">IF(OR(AND(G35="",H35=""),OR(I35="Sim",AND(H35&lt;&gt;"",H35&gt;=$L$6))),"",ROUND(IF(G35="",$L$5-H35,IF(H35="",$L$4-G35,MIN($L$4-G35,$L$5-H35))),0))</f>
        <v/>
      </c>
      <c r="M35" s="8" t="str">
        <f aca="false">IF(OR(F35="",L35=""),"",F35+L35)</f>
        <v/>
      </c>
      <c r="N35" s="21" t="str">
        <f aca="false">IF(I35="Sim","Clip",IF(AND(G35="",H35=""),"",IF(AND(H35&lt;&gt;"",H35&gt;=$L$6),"Clip",IF(L35&lt;-$L$7,"Alto",IF(L35&gt;$L$7,"Baixo","OK")))))</f>
        <v/>
      </c>
      <c r="O35" s="22" t="str">
        <f aca="false">IF(N35="","",IF(N35="Clip",IF(E35="Sim","Baixe o ganho uns 6 dB e meça de novo","Baixe o ganho uns 6 dB e meça de novo. No mínimo: ligue o pad"),IF(N35="Alto","Baixe o ganho cerca de "&amp;ABS(L35)&amp;" dB",IF(N35="Baixo",IF(E35="Sim","Veja se o pad é necessário. Sem ele, meça de novo","Suba o ganho cerca de "&amp;L35&amp;" dB"),"Manter"))))</f>
        <v/>
      </c>
      <c r="P35" s="28"/>
    </row>
    <row r="36" customFormat="false" ht="21.75" hidden="false" customHeight="true" outlineLevel="0" collapsed="false">
      <c r="B36" s="18" t="n">
        <v>23</v>
      </c>
      <c r="C36" s="28"/>
      <c r="D36" s="31"/>
      <c r="E36" s="31"/>
      <c r="F36" s="31"/>
      <c r="G36" s="29"/>
      <c r="H36" s="29"/>
      <c r="I36" s="31"/>
      <c r="J36" s="19" t="str">
        <f aca="false">IF(OR(G36="",H36=""),"",H36-G36)</f>
        <v/>
      </c>
      <c r="K36" s="19" t="str">
        <f aca="false">IF(H36="","",$L$6-H36)</f>
        <v/>
      </c>
      <c r="L36" s="20" t="str">
        <f aca="false">IF(OR(AND(G36="",H36=""),OR(I36="Sim",AND(H36&lt;&gt;"",H36&gt;=$L$6))),"",ROUND(IF(G36="",$L$5-H36,IF(H36="",$L$4-G36,MIN($L$4-G36,$L$5-H36))),0))</f>
        <v/>
      </c>
      <c r="M36" s="8" t="str">
        <f aca="false">IF(OR(F36="",L36=""),"",F36+L36)</f>
        <v/>
      </c>
      <c r="N36" s="21" t="str">
        <f aca="false">IF(I36="Sim","Clip",IF(AND(G36="",H36=""),"",IF(AND(H36&lt;&gt;"",H36&gt;=$L$6),"Clip",IF(L36&lt;-$L$7,"Alto",IF(L36&gt;$L$7,"Baixo","OK")))))</f>
        <v/>
      </c>
      <c r="O36" s="22" t="str">
        <f aca="false">IF(N36="","",IF(N36="Clip",IF(E36="Sim","Baixe o ganho uns 6 dB e meça de novo","Baixe o ganho uns 6 dB e meça de novo. No mínimo: ligue o pad"),IF(N36="Alto","Baixe o ganho cerca de "&amp;ABS(L36)&amp;" dB",IF(N36="Baixo",IF(E36="Sim","Veja se o pad é necessário. Sem ele, meça de novo","Suba o ganho cerca de "&amp;L36&amp;" dB"),"Manter"))))</f>
        <v/>
      </c>
      <c r="P36" s="28"/>
    </row>
    <row r="37" customFormat="false" ht="21.75" hidden="false" customHeight="true" outlineLevel="0" collapsed="false">
      <c r="B37" s="18" t="n">
        <v>24</v>
      </c>
      <c r="C37" s="28"/>
      <c r="D37" s="31"/>
      <c r="E37" s="31"/>
      <c r="F37" s="31"/>
      <c r="G37" s="29"/>
      <c r="H37" s="29"/>
      <c r="I37" s="31"/>
      <c r="J37" s="19" t="str">
        <f aca="false">IF(OR(G37="",H37=""),"",H37-G37)</f>
        <v/>
      </c>
      <c r="K37" s="19" t="str">
        <f aca="false">IF(H37="","",$L$6-H37)</f>
        <v/>
      </c>
      <c r="L37" s="20" t="str">
        <f aca="false">IF(OR(AND(G37="",H37=""),OR(I37="Sim",AND(H37&lt;&gt;"",H37&gt;=$L$6))),"",ROUND(IF(G37="",$L$5-H37,IF(H37="",$L$4-G37,MIN($L$4-G37,$L$5-H37))),0))</f>
        <v/>
      </c>
      <c r="M37" s="8" t="str">
        <f aca="false">IF(OR(F37="",L37=""),"",F37+L37)</f>
        <v/>
      </c>
      <c r="N37" s="21" t="str">
        <f aca="false">IF(I37="Sim","Clip",IF(AND(G37="",H37=""),"",IF(AND(H37&lt;&gt;"",H37&gt;=$L$6),"Clip",IF(L37&lt;-$L$7,"Alto",IF(L37&gt;$L$7,"Baixo","OK")))))</f>
        <v/>
      </c>
      <c r="O37" s="22" t="str">
        <f aca="false">IF(N37="","",IF(N37="Clip",IF(E37="Sim","Baixe o ganho uns 6 dB e meça de novo","Baixe o ganho uns 6 dB e meça de novo. No mínimo: ligue o pad"),IF(N37="Alto","Baixe o ganho cerca de "&amp;ABS(L37)&amp;" dB",IF(N37="Baixo",IF(E37="Sim","Veja se o pad é necessário. Sem ele, meça de novo","Suba o ganho cerca de "&amp;L37&amp;" dB"),"Manter"))))</f>
        <v/>
      </c>
      <c r="P37" s="28"/>
    </row>
    <row r="39" customFormat="false" ht="21.75" hidden="false" customHeight="true" outlineLevel="0" collapsed="false">
      <c r="B39" s="13" t="s">
        <v>104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customFormat="false" ht="19.5" hidden="false" customHeight="true" outlineLevel="0" collapsed="false">
      <c r="B40" s="23" t="s">
        <v>105</v>
      </c>
      <c r="C40" s="23"/>
      <c r="D40" s="23"/>
      <c r="E40" s="23"/>
      <c r="F40" s="21" t="n">
        <f aca="false">COUNTA(C14:C37)</f>
        <v>12</v>
      </c>
      <c r="G40" s="21"/>
      <c r="H40" s="21"/>
    </row>
    <row r="41" customFormat="false" ht="19.5" hidden="false" customHeight="true" outlineLevel="0" collapsed="false">
      <c r="B41" s="23" t="s">
        <v>106</v>
      </c>
      <c r="C41" s="23"/>
      <c r="D41" s="23"/>
      <c r="E41" s="23"/>
      <c r="F41" s="21" t="n">
        <f aca="false">COUNTIF(N14:N37,"OK")+COUNTIF(N14:N37,"Baixo")+COUNTIF(N14:N37,"Alto")+COUNTIF(N14:N37,"Clip")</f>
        <v>12</v>
      </c>
      <c r="G41" s="21"/>
      <c r="H41" s="21"/>
    </row>
    <row r="42" customFormat="false" ht="19.5" hidden="false" customHeight="true" outlineLevel="0" collapsed="false">
      <c r="B42" s="23" t="s">
        <v>107</v>
      </c>
      <c r="C42" s="23"/>
      <c r="D42" s="23"/>
      <c r="E42" s="23"/>
      <c r="F42" s="21" t="n">
        <f aca="false">COUNTIF(N14:N37,"OK")</f>
        <v>6</v>
      </c>
      <c r="G42" s="21"/>
      <c r="H42" s="21"/>
    </row>
    <row r="43" customFormat="false" ht="19.5" hidden="false" customHeight="true" outlineLevel="0" collapsed="false">
      <c r="B43" s="23" t="s">
        <v>108</v>
      </c>
      <c r="C43" s="23"/>
      <c r="D43" s="23"/>
      <c r="E43" s="23"/>
      <c r="F43" s="21" t="n">
        <f aca="false">COUNTIF(N14:N37,"Baixo")</f>
        <v>2</v>
      </c>
      <c r="G43" s="21"/>
      <c r="H43" s="21"/>
    </row>
    <row r="44" customFormat="false" ht="19.5" hidden="false" customHeight="true" outlineLevel="0" collapsed="false">
      <c r="B44" s="23" t="s">
        <v>109</v>
      </c>
      <c r="C44" s="23"/>
      <c r="D44" s="23"/>
      <c r="E44" s="23"/>
      <c r="F44" s="21" t="n">
        <f aca="false">COUNTIF(N14:N37,"Alto")</f>
        <v>2</v>
      </c>
      <c r="G44" s="21"/>
      <c r="H44" s="21"/>
    </row>
    <row r="45" customFormat="false" ht="19.5" hidden="false" customHeight="true" outlineLevel="0" collapsed="false">
      <c r="B45" s="23" t="s">
        <v>110</v>
      </c>
      <c r="C45" s="23"/>
      <c r="D45" s="23"/>
      <c r="E45" s="23"/>
      <c r="F45" s="21" t="n">
        <f aca="false">COUNTIF(N14:N37,"Clip")</f>
        <v>2</v>
      </c>
      <c r="G45" s="21"/>
      <c r="H45" s="21"/>
    </row>
    <row r="46" customFormat="false" ht="21.75" hidden="false" customHeight="true" outlineLevel="0" collapsed="false">
      <c r="B46" s="23" t="s">
        <v>111</v>
      </c>
      <c r="C46" s="23"/>
      <c r="D46" s="23"/>
      <c r="E46" s="23"/>
      <c r="F46" s="24" t="str">
        <f aca="false">IF(COUNT(L4:L7)&lt;4,"Informe os quatro valores de referência",IF(F40=0,"Liste os canais",IF(F45&gt;0,"Há canal em clip: corrija antes de mixar",IF(F41&lt;F40,"Há canal sem leitura",IF(F43+F44&gt;0,"Há ganho a ajustar","OK")))))</f>
        <v>Há canal em clip: corrija antes de mixar</v>
      </c>
      <c r="G46" s="24"/>
      <c r="H46" s="24"/>
      <c r="I46" s="24"/>
      <c r="J46" s="24"/>
      <c r="K46" s="24"/>
      <c r="L46" s="24"/>
      <c r="M46" s="24"/>
      <c r="N46" s="24"/>
      <c r="O46" s="24"/>
    </row>
    <row r="48" customFormat="false" ht="21.75" hidden="false" customHeight="true" outlineLevel="0" collapsed="false">
      <c r="B48" s="13" t="s">
        <v>261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customFormat="false" ht="21.75" hidden="false" customHeight="true" outlineLevel="0" collapsed="false">
      <c r="B49" s="8" t="s">
        <v>74</v>
      </c>
      <c r="C49" s="8" t="s">
        <v>262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21" t="s">
        <v>263</v>
      </c>
      <c r="O49" s="21"/>
      <c r="P49" s="21"/>
    </row>
    <row r="50" customFormat="false" ht="21.75" hidden="false" customHeight="true" outlineLevel="0" collapsed="false">
      <c r="B50" s="18" t="s">
        <v>16</v>
      </c>
      <c r="C50" s="7" t="s">
        <v>264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 t="s">
        <v>265</v>
      </c>
      <c r="O50" s="7"/>
      <c r="P50" s="7"/>
    </row>
    <row r="51" customFormat="false" ht="21.75" hidden="false" customHeight="true" outlineLevel="0" collapsed="false">
      <c r="B51" s="18" t="s">
        <v>22</v>
      </c>
      <c r="C51" s="7" t="s">
        <v>266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 t="s">
        <v>267</v>
      </c>
      <c r="O51" s="7"/>
      <c r="P51" s="7"/>
    </row>
    <row r="52" customFormat="false" ht="21.75" hidden="false" customHeight="true" outlineLevel="0" collapsed="false">
      <c r="B52" s="18" t="s">
        <v>268</v>
      </c>
      <c r="C52" s="7" t="s">
        <v>269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 t="s">
        <v>270</v>
      </c>
      <c r="O52" s="7"/>
      <c r="P52" s="7"/>
    </row>
    <row r="53" customFormat="false" ht="21.75" hidden="false" customHeight="true" outlineLevel="0" collapsed="false">
      <c r="B53" s="18" t="s">
        <v>271</v>
      </c>
      <c r="C53" s="7" t="s">
        <v>272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 t="s">
        <v>273</v>
      </c>
      <c r="O53" s="7"/>
      <c r="P53" s="7"/>
    </row>
    <row r="54" customFormat="false" ht="21.75" hidden="false" customHeight="true" outlineLevel="0" collapsed="false">
      <c r="B54" s="18" t="s">
        <v>274</v>
      </c>
      <c r="C54" s="7" t="s">
        <v>275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 t="s">
        <v>276</v>
      </c>
      <c r="O54" s="7"/>
      <c r="P54" s="7"/>
    </row>
    <row r="55" customFormat="false" ht="21.75" hidden="false" customHeight="true" outlineLevel="0" collapsed="false">
      <c r="B55" s="18" t="s">
        <v>277</v>
      </c>
      <c r="C55" s="7" t="s">
        <v>278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</sheetData>
  <mergeCells count="53">
    <mergeCell ref="B1:P1"/>
    <mergeCell ref="B2:P2"/>
    <mergeCell ref="B4:C4"/>
    <mergeCell ref="D4:H4"/>
    <mergeCell ref="I4:K4"/>
    <mergeCell ref="M4:P4"/>
    <mergeCell ref="B5:C5"/>
    <mergeCell ref="D5:H5"/>
    <mergeCell ref="I5:K5"/>
    <mergeCell ref="M5:P5"/>
    <mergeCell ref="B6:C6"/>
    <mergeCell ref="D6:H6"/>
    <mergeCell ref="I6:K6"/>
    <mergeCell ref="M6:P6"/>
    <mergeCell ref="B7:C7"/>
    <mergeCell ref="D7:H7"/>
    <mergeCell ref="I7:K7"/>
    <mergeCell ref="M7:P7"/>
    <mergeCell ref="B8:C8"/>
    <mergeCell ref="D8:H8"/>
    <mergeCell ref="I8:P8"/>
    <mergeCell ref="B10:P10"/>
    <mergeCell ref="B13:P13"/>
    <mergeCell ref="B39:P39"/>
    <mergeCell ref="B40:E40"/>
    <mergeCell ref="F40:H40"/>
    <mergeCell ref="B41:E41"/>
    <mergeCell ref="F41:H41"/>
    <mergeCell ref="B42:E42"/>
    <mergeCell ref="F42:H42"/>
    <mergeCell ref="B43:E43"/>
    <mergeCell ref="F43:H43"/>
    <mergeCell ref="B44:E44"/>
    <mergeCell ref="F44:H44"/>
    <mergeCell ref="B45:E45"/>
    <mergeCell ref="F45:H45"/>
    <mergeCell ref="B46:E46"/>
    <mergeCell ref="F46:O46"/>
    <mergeCell ref="B48:P48"/>
    <mergeCell ref="C49:M49"/>
    <mergeCell ref="N49:P49"/>
    <mergeCell ref="C50:M50"/>
    <mergeCell ref="N50:P50"/>
    <mergeCell ref="C51:M51"/>
    <mergeCell ref="N51:P51"/>
    <mergeCell ref="C52:M52"/>
    <mergeCell ref="N52:P52"/>
    <mergeCell ref="C53:M53"/>
    <mergeCell ref="N53:P53"/>
    <mergeCell ref="C54:M54"/>
    <mergeCell ref="N54:P54"/>
    <mergeCell ref="C55:M55"/>
    <mergeCell ref="N55:P55"/>
  </mergeCells>
  <conditionalFormatting sqref="N14:N3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"Baixo"</formula>
    </cfRule>
    <cfRule type="cellIs" priority="4" operator="equal" aboveAverage="0" equalAverage="0" bottom="0" percent="0" rank="0" text="" dxfId="1">
      <formula>"Alto"</formula>
    </cfRule>
    <cfRule type="cellIs" priority="5" operator="equal" aboveAverage="0" equalAverage="0" bottom="0" percent="0" rank="0" text="" dxfId="1">
      <formula>"Fader baixo"</formula>
    </cfRule>
    <cfRule type="cellIs" priority="6" operator="equal" aboveAverage="0" equalAverage="0" bottom="0" percent="0" rank="0" text="" dxfId="1">
      <formula>"Fader alto"</formula>
    </cfRule>
    <cfRule type="cellIs" priority="7" operator="equal" aboveAverage="0" equalAverage="0" bottom="0" percent="0" rank="0" text="" dxfId="2">
      <formula>"Clip"</formula>
    </cfRule>
  </conditionalFormatting>
  <conditionalFormatting sqref="F46:O46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Escolha uma das opções da lista." errorStyle="stop" errorTitle="Valor inválido" operator="between" prompt="Microfone, Linha, DI, Sem fio ou Digital." promptTitle="Opções" showDropDown="false" showErrorMessage="true" showInputMessage="true" sqref="D14:D37" type="list">
      <formula1>"Microfone,Linha,DI,Sem fio,Digital"</formula1>
      <formula2>0</formula2>
    </dataValidation>
    <dataValidation allowBlank="true" error="Escolha uma das opções da lista." errorStyle="stop" errorTitle="Valor inválido" operator="between" prompt="O pad do canal está ligado?" promptTitle="Opções" showDropDown="false" showErrorMessage="true" showInputMessage="true" sqref="E14:E37" type="list">
      <formula1>"Sim,Não"</formula1>
      <formula2>0</formula2>
    </dataValidation>
    <dataValidation allowBlank="true" error="Escolha uma das opções da lista." errorStyle="stop" errorTitle="Valor inválido" operator="between" prompt="A luz de clip acendeu durante a leitura?" promptTitle="Opções" showDropDown="false" showErrorMessage="true" showInputMessage="true" sqref="I14:I37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4:H37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52"/>
    <col collapsed="false" customWidth="true" hidden="false" outlineLevel="0" max="11" min="11" style="0" width="30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112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279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4" t="s">
        <v>114</v>
      </c>
      <c r="C4" s="4"/>
      <c r="D4" s="28" t="s">
        <v>280</v>
      </c>
      <c r="E4" s="28"/>
      <c r="F4" s="4" t="s">
        <v>60</v>
      </c>
      <c r="G4" s="4"/>
      <c r="H4" s="4"/>
      <c r="I4" s="29" t="n">
        <v>0</v>
      </c>
      <c r="J4" s="10" t="s">
        <v>61</v>
      </c>
      <c r="K4" s="10"/>
    </row>
    <row r="5" customFormat="false" ht="21.75" hidden="false" customHeight="true" outlineLevel="0" collapsed="false">
      <c r="B5" s="4" t="s">
        <v>115</v>
      </c>
      <c r="C5" s="4"/>
      <c r="D5" s="28" t="s">
        <v>281</v>
      </c>
      <c r="E5" s="28"/>
      <c r="F5" s="4" t="s">
        <v>63</v>
      </c>
      <c r="G5" s="4"/>
      <c r="H5" s="4"/>
      <c r="I5" s="29" t="n">
        <v>6</v>
      </c>
      <c r="J5" s="10" t="s">
        <v>64</v>
      </c>
      <c r="K5" s="10"/>
    </row>
    <row r="6" customFormat="false" ht="21.75" hidden="false" customHeight="true" outlineLevel="0" collapsed="false">
      <c r="B6" s="4" t="s">
        <v>65</v>
      </c>
      <c r="C6" s="4"/>
      <c r="D6" s="30" t="n">
        <v>46368</v>
      </c>
      <c r="E6" s="30"/>
      <c r="F6" s="4" t="s">
        <v>66</v>
      </c>
      <c r="G6" s="4"/>
      <c r="H6" s="4"/>
      <c r="I6" s="29" t="n">
        <v>10</v>
      </c>
      <c r="J6" s="10" t="s">
        <v>67</v>
      </c>
      <c r="K6" s="10"/>
    </row>
    <row r="7" customFormat="false" ht="21.75" hidden="false" customHeight="true" outlineLevel="0" collapsed="false">
      <c r="B7" s="4" t="s">
        <v>68</v>
      </c>
      <c r="C7" s="4"/>
      <c r="D7" s="28" t="s">
        <v>282</v>
      </c>
      <c r="E7" s="28"/>
      <c r="F7" s="4" t="s">
        <v>69</v>
      </c>
      <c r="G7" s="4"/>
      <c r="H7" s="4"/>
      <c r="I7" s="31" t="n">
        <v>3</v>
      </c>
      <c r="J7" s="10" t="s">
        <v>70</v>
      </c>
      <c r="K7" s="10"/>
    </row>
    <row r="9" customFormat="false" ht="21.75" hidden="false" customHeight="true" outlineLevel="0" collapsed="false">
      <c r="B9" s="13" t="s">
        <v>116</v>
      </c>
      <c r="C9" s="13"/>
      <c r="D9" s="13"/>
      <c r="E9" s="13"/>
      <c r="F9" s="13"/>
      <c r="G9" s="13"/>
      <c r="H9" s="13"/>
      <c r="I9" s="13"/>
      <c r="J9" s="13"/>
      <c r="K9" s="13"/>
    </row>
    <row r="10" customFormat="false" ht="30" hidden="false" customHeight="true" outlineLevel="0" collapsed="false">
      <c r="B10" s="14" t="s">
        <v>117</v>
      </c>
      <c r="C10" s="14" t="s">
        <v>118</v>
      </c>
      <c r="D10" s="14" t="s">
        <v>119</v>
      </c>
      <c r="E10" s="15" t="s">
        <v>120</v>
      </c>
      <c r="F10" s="15" t="s">
        <v>79</v>
      </c>
      <c r="G10" s="15" t="s">
        <v>80</v>
      </c>
      <c r="H10" s="15" t="s">
        <v>121</v>
      </c>
      <c r="I10" s="16" t="s">
        <v>50</v>
      </c>
      <c r="J10" s="16" t="s">
        <v>86</v>
      </c>
      <c r="K10" s="14" t="s">
        <v>87</v>
      </c>
    </row>
    <row r="11" customFormat="false" ht="21.75" hidden="false" customHeight="true" outlineLevel="0" collapsed="false">
      <c r="B11" s="17"/>
      <c r="C11" s="17"/>
      <c r="D11" s="17"/>
      <c r="E11" s="17" t="s">
        <v>97</v>
      </c>
      <c r="F11" s="17" t="s">
        <v>122</v>
      </c>
      <c r="G11" s="17" t="s">
        <v>122</v>
      </c>
      <c r="H11" s="17" t="s">
        <v>91</v>
      </c>
      <c r="I11" s="17"/>
      <c r="J11" s="17"/>
      <c r="K11" s="17"/>
    </row>
    <row r="12" customFormat="false" ht="30" hidden="false" customHeight="true" outlineLevel="0" collapsed="false">
      <c r="B12" s="18" t="n">
        <v>1</v>
      </c>
      <c r="C12" s="4" t="s">
        <v>123</v>
      </c>
      <c r="D12" s="6" t="s">
        <v>124</v>
      </c>
      <c r="E12" s="29" t="n">
        <v>15</v>
      </c>
      <c r="F12" s="29" t="n">
        <v>-20</v>
      </c>
      <c r="G12" s="29" t="n">
        <v>-8</v>
      </c>
      <c r="H12" s="31" t="s">
        <v>101</v>
      </c>
      <c r="I12" s="21" t="str">
        <f aca="false">IF(H12="Sim","Clip",IF(AND(F12="",G12=""),"",IF(AND(G12&lt;&gt;"",G12&gt;=$I$6),"Clip",IF(ROUND(IF(F12="",$I$5-G12,IF(G12="",$I$4-F12,MIN($I$4-F12,$I$5-G12))),0)&lt;-$I$7,"Alto",IF(ROUND(IF(F12="",$I$5-G12,IF(G12="",$I$4-F12,MIN($I$4-F12,$I$5-G12))),0)&gt;$I$7,"Baixo","OK")))))</f>
        <v>Baixo</v>
      </c>
      <c r="J12" s="22" t="str">
        <f aca="false">IF(I12="","",IF(I12="Clip","Baixe o ganho uns 6 dB e meça de novo. No mínimo: ligue o pad",IF(I12="Alto","Baixe o ganho cerca de "&amp;ABS(ROUND(IF(F12="",$I$5-G12,IF(G12="",$I$4-F12,MIN($I$4-F12,$I$5-G12))),0))&amp;" dB",IF(I12="Baixo","Suba o ganho cerca de "&amp;ROUND(IF(F12="",$I$5-G12,IF(G12="",$I$4-F12,MIN($I$4-F12,$I$5-G12))),0)&amp;" dB","Manter"))))</f>
        <v>Suba o ganho cerca de 14 dB</v>
      </c>
      <c r="K12" s="28"/>
    </row>
    <row r="13" customFormat="false" ht="30" hidden="false" customHeight="true" outlineLevel="0" collapsed="false">
      <c r="B13" s="18" t="n">
        <v>2</v>
      </c>
      <c r="C13" s="4" t="s">
        <v>74</v>
      </c>
      <c r="D13" s="6" t="s">
        <v>125</v>
      </c>
      <c r="E13" s="29" t="n">
        <v>0</v>
      </c>
      <c r="F13" s="17" t="s">
        <v>126</v>
      </c>
      <c r="G13" s="17" t="s">
        <v>126</v>
      </c>
      <c r="H13" s="17" t="s">
        <v>126</v>
      </c>
      <c r="I13" s="21" t="str">
        <f aca="false">IF(E13="","",IF(E13&lt;-10,"Fader baixo",IF(E13&gt;5,"Fader alto","OK")))</f>
        <v>OK</v>
      </c>
      <c r="J13" s="22" t="str">
        <f aca="false">IF(I13="","",IF(I13="Fader baixo","Sobra nível antes deste fader: confira o ganho dos canais",IF(I13="Fader alto","Falta nível antes deste fader: confira o ganho dos canais","Manter")))</f>
        <v>Manter</v>
      </c>
      <c r="K13" s="28"/>
    </row>
    <row r="14" customFormat="false" ht="30" hidden="false" customHeight="true" outlineLevel="0" collapsed="false">
      <c r="B14" s="18" t="n">
        <v>3</v>
      </c>
      <c r="C14" s="4" t="s">
        <v>127</v>
      </c>
      <c r="D14" s="6" t="s">
        <v>128</v>
      </c>
      <c r="E14" s="29"/>
      <c r="F14" s="17" t="s">
        <v>126</v>
      </c>
      <c r="G14" s="17" t="s">
        <v>126</v>
      </c>
      <c r="H14" s="17" t="s">
        <v>126</v>
      </c>
      <c r="I14" s="21" t="str">
        <f aca="false">IF(E14="","",IF(E14&lt;-10,"Fader baixo",IF(E14&gt;5,"Fader alto","OK")))</f>
        <v/>
      </c>
      <c r="J14" s="22" t="str">
        <f aca="false">IF(I14="","",IF(I14="Fader baixo","Sobra nível antes deste fader: confira o ganho dos canais",IF(I14="Fader alto","Falta nível antes deste fader: confira o ganho dos canais","Manter")))</f>
        <v/>
      </c>
      <c r="K14" s="28"/>
    </row>
    <row r="15" customFormat="false" ht="30" hidden="false" customHeight="true" outlineLevel="0" collapsed="false">
      <c r="B15" s="18" t="n">
        <v>4</v>
      </c>
      <c r="C15" s="4" t="s">
        <v>129</v>
      </c>
      <c r="D15" s="6" t="s">
        <v>130</v>
      </c>
      <c r="E15" s="29" t="n">
        <v>-5</v>
      </c>
      <c r="F15" s="29" t="n">
        <v>-25</v>
      </c>
      <c r="G15" s="29" t="n">
        <v>-13</v>
      </c>
      <c r="H15" s="31" t="s">
        <v>101</v>
      </c>
      <c r="I15" s="21" t="str">
        <f aca="false">IF(H15="Sim","Clip",IF(AND(G15&lt;&gt;"",G15&gt;=$I$6),"Clip",IF(AND(OR(F15&lt;&gt;"",G15&lt;&gt;""),ROUND(IF(F15="",$I$5-G15,IF(G15="",$I$4-F15,MIN($I$4-F15,$I$5-G15))),0)&lt;-$I$7),"Alto",IF(AND(E15&lt;&gt;"",E15&lt;-10),"Fader baixo",IF(AND(E15&lt;&gt;"",E15&gt;5),"Fader alto",IF(AND(OR(F15&lt;&gt;"",G15&lt;&gt;""),ROUND(IF(F15="",$I$5-G15,IF(G15="",$I$4-F15,MIN($I$4-F15,$I$5-G15))),0)&gt;10),"Baixo",IF(OR(E15&lt;&gt;"",OR(F15&lt;&gt;"",G15&lt;&gt;"")),"OK","")))))))</f>
        <v>Baixo</v>
      </c>
      <c r="J15" s="22" t="str">
        <f aca="false">IF(I15="","",IF(I15="Clip","Baixe os faders dos canais ou o master. Os ganhos ficam como estão",IF(I15="Alto","Mistura acima do nível nominal: baixe os faders dos canais ou o master",IF(I15="Fader baixo","Feche o amplificador ou a caixa e traga o master para perto de 0 dB",IF(I15="Fader alto","Confira os ganhos e os faders. Se estão certos, abra a caixa; no máximo, falta sistema",IF(I15="Baixo","Saída abaixo do nível nominal: confira os ganhos, suba a mistura e feche a caixa na mesma medida","Manter"))))))</f>
        <v>Saída abaixo do nível nominal: confira os ganhos, suba a mistura e feche a caixa na mesma medida</v>
      </c>
      <c r="K15" s="28"/>
    </row>
    <row r="16" customFormat="false" ht="30" hidden="false" customHeight="true" outlineLevel="0" collapsed="false">
      <c r="B16" s="18" t="n">
        <v>5</v>
      </c>
      <c r="C16" s="4" t="s">
        <v>131</v>
      </c>
      <c r="D16" s="6" t="s">
        <v>132</v>
      </c>
      <c r="E16" s="29"/>
      <c r="F16" s="17" t="s">
        <v>126</v>
      </c>
      <c r="G16" s="17" t="s">
        <v>126</v>
      </c>
      <c r="H16" s="31"/>
      <c r="I16" s="21" t="str">
        <f aca="false">IF(H16="Sim","Clip",IF(H16="Não","OK",""))</f>
        <v/>
      </c>
      <c r="J16" s="22" t="str">
        <f aca="false">IF(I16="","",IF(I16="Clip","Baixe o nível que chega ao processador","Manter"))</f>
        <v/>
      </c>
      <c r="K16" s="28"/>
    </row>
    <row r="17" customFormat="false" ht="30" hidden="false" customHeight="true" outlineLevel="0" collapsed="false">
      <c r="B17" s="18" t="n">
        <v>6</v>
      </c>
      <c r="C17" s="4" t="s">
        <v>133</v>
      </c>
      <c r="D17" s="6" t="s">
        <v>134</v>
      </c>
      <c r="E17" s="29" t="s">
        <v>283</v>
      </c>
      <c r="F17" s="17" t="s">
        <v>126</v>
      </c>
      <c r="G17" s="17" t="s">
        <v>126</v>
      </c>
      <c r="H17" s="31" t="s">
        <v>101</v>
      </c>
      <c r="I17" s="21" t="str">
        <f aca="false">IF(H17="Sim","Clip",IF(H17="Não","OK",""))</f>
        <v>OK</v>
      </c>
      <c r="J17" s="22" t="str">
        <f aca="false">IF(I17="","",IF(I17="Clip","O sistema chegou ao limite: baixe o master","Manter"))</f>
        <v>Manter</v>
      </c>
      <c r="K17" s="28"/>
    </row>
    <row r="19" customFormat="false" ht="21.75" hidden="false" customHeight="true" outlineLevel="0" collapsed="false">
      <c r="B19" s="13" t="s">
        <v>135</v>
      </c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9.5" hidden="false" customHeight="true" outlineLevel="0" collapsed="false">
      <c r="B20" s="23" t="s">
        <v>136</v>
      </c>
      <c r="C20" s="23"/>
      <c r="D20" s="23"/>
      <c r="E20" s="20" t="n">
        <f aca="false">IF(COUNT(E13:E15)=0,"",SUM(E13:E15))</f>
        <v>-5</v>
      </c>
    </row>
    <row r="21" customFormat="false" ht="21.75" hidden="false" customHeight="true" outlineLevel="0" collapsed="false">
      <c r="B21" s="23" t="s">
        <v>137</v>
      </c>
      <c r="C21" s="23"/>
      <c r="D21" s="23"/>
      <c r="E21" s="24" t="str">
        <f aca="false">IF(E20="","",IF(E20&lt;-20,"Faders muito baixos: sobra ganho no início, ou a caixa está aberta demais",IF(E20&gt;10,"Faders muito altos: falta ganho no início, ou falta sistema","OK")))</f>
        <v>OK</v>
      </c>
      <c r="F21" s="24"/>
      <c r="G21" s="24"/>
      <c r="H21" s="24"/>
      <c r="I21" s="24"/>
      <c r="J21" s="24"/>
    </row>
    <row r="22" customFormat="false" ht="19.5" hidden="false" customHeight="true" outlineLevel="0" collapsed="false">
      <c r="B22" s="23" t="s">
        <v>138</v>
      </c>
      <c r="C22" s="23"/>
      <c r="D22" s="23"/>
      <c r="E22" s="8" t="n">
        <f aca="false">COUNTIF(I12:I17,"Clip")</f>
        <v>0</v>
      </c>
    </row>
    <row r="23" customFormat="false" ht="19.5" hidden="false" customHeight="true" outlineLevel="0" collapsed="false">
      <c r="B23" s="23" t="s">
        <v>139</v>
      </c>
      <c r="C23" s="23"/>
      <c r="D23" s="23"/>
      <c r="E23" s="8" t="n">
        <f aca="false">COUNTIF(I12:I17,"Baixo")+COUNTIF(I12:I17,"Alto")+COUNTIF(I12:I17,"Fader baixo")+COUNTIF(I12:I17,"Fader alto")</f>
        <v>2</v>
      </c>
    </row>
    <row r="24" customFormat="false" ht="21.75" hidden="false" customHeight="true" outlineLevel="0" collapsed="false">
      <c r="B24" s="23" t="s">
        <v>111</v>
      </c>
      <c r="C24" s="23"/>
      <c r="D24" s="23"/>
      <c r="E24" s="24" t="str">
        <f aca="false">IF(COUNTIF(I12:I17,"OK")+E22+E23=0,"Preencha as etapas",IF(E22&gt;0,"Há etapa em clip: corrija da entrada para a saída",IF(E23&gt;0,"Há etapa fora da faixa: comece pela primeira da lista","OK")))</f>
        <v>Há etapa fora da faixa: comece pela primeira da lista</v>
      </c>
      <c r="F24" s="24"/>
      <c r="G24" s="24"/>
      <c r="H24" s="24"/>
      <c r="I24" s="24"/>
      <c r="J24" s="24"/>
    </row>
    <row r="25" customFormat="false" ht="15" hidden="false" customHeight="true" outlineLevel="0" collapsed="false">
      <c r="B25" s="10" t="s">
        <v>140</v>
      </c>
      <c r="C25" s="10"/>
      <c r="D25" s="10"/>
      <c r="E25" s="10"/>
      <c r="F25" s="10"/>
      <c r="G25" s="10"/>
      <c r="H25" s="10"/>
      <c r="I25" s="10"/>
      <c r="J25" s="10"/>
      <c r="K25" s="10"/>
    </row>
    <row r="27" customFormat="false" ht="21.75" hidden="false" customHeight="true" outlineLevel="0" collapsed="false">
      <c r="B27" s="13" t="s">
        <v>261</v>
      </c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21.75" hidden="false" customHeight="true" outlineLevel="0" collapsed="false">
      <c r="B28" s="8" t="s">
        <v>118</v>
      </c>
      <c r="C28" s="8"/>
      <c r="D28" s="8" t="s">
        <v>284</v>
      </c>
      <c r="E28" s="8"/>
      <c r="F28" s="8"/>
      <c r="G28" s="8"/>
      <c r="H28" s="8"/>
      <c r="I28" s="21" t="s">
        <v>285</v>
      </c>
      <c r="J28" s="21"/>
      <c r="K28" s="21"/>
    </row>
    <row r="29" customFormat="false" ht="21.75" hidden="false" customHeight="true" outlineLevel="0" collapsed="false">
      <c r="B29" s="4" t="s">
        <v>123</v>
      </c>
      <c r="C29" s="4"/>
      <c r="D29" s="7" t="s">
        <v>286</v>
      </c>
      <c r="E29" s="7"/>
      <c r="F29" s="7"/>
      <c r="G29" s="7"/>
      <c r="H29" s="7"/>
      <c r="I29" s="7" t="s">
        <v>287</v>
      </c>
      <c r="J29" s="7"/>
      <c r="K29" s="7"/>
    </row>
    <row r="30" customFormat="false" ht="21.75" hidden="false" customHeight="true" outlineLevel="0" collapsed="false">
      <c r="B30" s="4" t="s">
        <v>129</v>
      </c>
      <c r="C30" s="4"/>
      <c r="D30" s="7" t="s">
        <v>288</v>
      </c>
      <c r="E30" s="7"/>
      <c r="F30" s="7"/>
      <c r="G30" s="7"/>
      <c r="H30" s="7"/>
      <c r="I30" s="7" t="s">
        <v>289</v>
      </c>
      <c r="J30" s="7"/>
      <c r="K30" s="7"/>
    </row>
    <row r="31" customFormat="false" ht="21.75" hidden="false" customHeight="true" outlineLevel="0" collapsed="false">
      <c r="B31" s="4" t="s">
        <v>290</v>
      </c>
      <c r="C31" s="4"/>
      <c r="D31" s="7" t="s">
        <v>291</v>
      </c>
      <c r="E31" s="7"/>
      <c r="F31" s="7"/>
      <c r="G31" s="7"/>
      <c r="H31" s="7"/>
      <c r="I31" s="7" t="s">
        <v>292</v>
      </c>
      <c r="J31" s="7"/>
      <c r="K31" s="7"/>
    </row>
    <row r="32" customFormat="false" ht="21.75" hidden="false" customHeight="true" outlineLevel="0" collapsed="false">
      <c r="B32" s="4" t="s">
        <v>293</v>
      </c>
      <c r="C32" s="4"/>
      <c r="D32" s="7" t="s">
        <v>294</v>
      </c>
      <c r="E32" s="7"/>
      <c r="F32" s="7"/>
      <c r="G32" s="7"/>
      <c r="H32" s="7"/>
      <c r="I32" s="7" t="s">
        <v>295</v>
      </c>
      <c r="J32" s="7"/>
      <c r="K32" s="7"/>
    </row>
  </sheetData>
  <mergeCells count="44">
    <mergeCell ref="B1:K1"/>
    <mergeCell ref="B2:K2"/>
    <mergeCell ref="B4:C4"/>
    <mergeCell ref="D4:E4"/>
    <mergeCell ref="F4:H4"/>
    <mergeCell ref="J4:K4"/>
    <mergeCell ref="B5:C5"/>
    <mergeCell ref="D5:E5"/>
    <mergeCell ref="F5:H5"/>
    <mergeCell ref="J5:K5"/>
    <mergeCell ref="B6:C6"/>
    <mergeCell ref="D6:E6"/>
    <mergeCell ref="F6:H6"/>
    <mergeCell ref="J6:K6"/>
    <mergeCell ref="B7:C7"/>
    <mergeCell ref="D7:E7"/>
    <mergeCell ref="F7:H7"/>
    <mergeCell ref="J7:K7"/>
    <mergeCell ref="B9:K9"/>
    <mergeCell ref="B19:K19"/>
    <mergeCell ref="B20:D20"/>
    <mergeCell ref="B21:D21"/>
    <mergeCell ref="E21:J21"/>
    <mergeCell ref="B22:D22"/>
    <mergeCell ref="B23:D23"/>
    <mergeCell ref="B24:D24"/>
    <mergeCell ref="E24:J24"/>
    <mergeCell ref="B25:K25"/>
    <mergeCell ref="B27:K27"/>
    <mergeCell ref="B28:C28"/>
    <mergeCell ref="D28:H28"/>
    <mergeCell ref="I28:K28"/>
    <mergeCell ref="B29:C29"/>
    <mergeCell ref="D29:H29"/>
    <mergeCell ref="I29:K29"/>
    <mergeCell ref="B30:C30"/>
    <mergeCell ref="D30:H30"/>
    <mergeCell ref="I30:K30"/>
    <mergeCell ref="B31:C31"/>
    <mergeCell ref="D31:H31"/>
    <mergeCell ref="I31:K31"/>
    <mergeCell ref="B32:C32"/>
    <mergeCell ref="D32:H32"/>
    <mergeCell ref="I32:K32"/>
  </mergeCells>
  <conditionalFormatting sqref="I12:I1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"Baixo"</formula>
    </cfRule>
    <cfRule type="cellIs" priority="4" operator="equal" aboveAverage="0" equalAverage="0" bottom="0" percent="0" rank="0" text="" dxfId="1">
      <formula>"Alto"</formula>
    </cfRule>
    <cfRule type="cellIs" priority="5" operator="equal" aboveAverage="0" equalAverage="0" bottom="0" percent="0" rank="0" text="" dxfId="1">
      <formula>"Fader baixo"</formula>
    </cfRule>
    <cfRule type="cellIs" priority="6" operator="equal" aboveAverage="0" equalAverage="0" bottom="0" percent="0" rank="0" text="" dxfId="1">
      <formula>"Fader alto"</formula>
    </cfRule>
    <cfRule type="cellIs" priority="7" operator="equal" aboveAverage="0" equalAverage="0" bottom="0" percent="0" rank="0" text="" dxfId="2">
      <formula>"Clip"</formula>
    </cfRule>
  </conditionalFormatting>
  <conditionalFormatting sqref="E21:J21">
    <cfRule type="cellIs" priority="8" operator="equal" aboveAverage="0" equalAverage="0" bottom="0" percent="0" rank="0" text="" dxfId="0">
      <formula>"OK"</formula>
    </cfRule>
    <cfRule type="expression" priority="9" aboveAverage="0" equalAverage="0" bottom="0" percent="0" rank="0" text="" dxfId="1">
      <formula>AND(LEN($E$21)&gt;0,$E$21&lt;&gt;"OK")</formula>
    </cfRule>
  </conditionalFormatting>
  <conditionalFormatting sqref="E24:J24">
    <cfRule type="cellIs" priority="10" operator="equal" aboveAverage="0" equalAverage="0" bottom="0" percent="0" rank="0" text="" dxfId="0">
      <formula>"OK"</formula>
    </cfRule>
    <cfRule type="cellIs" priority="11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4:I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12:G16" type="decimal">
      <formula1>-1000000000</formula1>
      <formula2>1000000000</formula2>
    </dataValidation>
    <dataValidation allowBlank="true" error="Escolha uma das opções da lista." errorStyle="stop" errorTitle="Valor inválido" operator="between" prompt="A luz de clip acendeu?" promptTitle="Opções" showDropDown="false" showErrorMessage="true" showInputMessage="true" sqref="H12" type="list">
      <formula1>"Sim,Não"</formula1>
      <formula2>0</formula2>
    </dataValidation>
    <dataValidation allowBlank="true" error="Escolha uma das opções da lista." errorStyle="stop" errorTitle="Valor inválido" operator="between" prompt="A luz de clip ou de limite acendeu?" promptTitle="Opções" showDropDown="false" showErrorMessage="true" showInputMessage="true" sqref="H15:H17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2026-10-01T12:59:03Z</dcterms:created>
  <dc:creator>Estudos: Técnico em áudio e vídeo</dc:creator>
  <dc:description/>
  <dc:language>pt-BR</dc:language>
  <cp:lastModifiedBy/>
  <dcterms:modified xsi:type="dcterms:W3CDTF">2026-10-01T12:59:03Z</dcterms:modified>
  <cp:revision>0</cp:revision>
  <dc:subject/>
  <dc:title>Ganho e fader — modelo de registro de ganho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