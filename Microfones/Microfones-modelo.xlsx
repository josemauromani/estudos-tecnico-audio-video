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Inventário" sheetId="2" state="visible" r:id="rId4"/>
    <sheet name="Escolha por fonte" sheetId="3" state="visible" r:id="rId5"/>
    <sheet name="Regra 3 para 1" sheetId="4" state="visible" r:id="rId6"/>
    <sheet name="Referência" sheetId="5" state="visible" r:id="rId7"/>
    <sheet name="Checklist" sheetId="6" state="visible" r:id="rId8"/>
    <sheet name="Exemplo - Escolha" sheetId="7" state="visible" r:id="rId9"/>
  </sheets>
  <definedNames>
    <definedName function="false" hidden="false" localSheetId="5" name="_xlnm.Print_Area" vbProcedure="false">Checklist!$B$1:$F$20</definedName>
    <definedName function="false" hidden="false" localSheetId="2" name="_xlnm.Print_Area" vbProcedure="false">'Escolha por fonte'!$B$1:$N$40</definedName>
    <definedName function="false" hidden="false" localSheetId="6" name="_xlnm.Print_Area" vbProcedure="false">'Exemplo - Escolha'!$B$1:$N$60</definedName>
    <definedName function="false" hidden="false" localSheetId="0" name="_xlnm.Print_Area" vbProcedure="false">Instruções!$B$1:$C$37</definedName>
    <definedName function="false" hidden="false" localSheetId="1" name="_xlnm.Print_Area" vbProcedure="false">Inventário!$B$1:$N$52</definedName>
    <definedName function="false" hidden="false" localSheetId="4" name="_xlnm.Print_Area" vbProcedure="false">Referência!$B$1:$I$41</definedName>
    <definedName function="false" hidden="false" localSheetId="3" name="_xlnm.Print_Area" vbProcedure="false">'Regra 3 para 1'!$B$1:$N$32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F9" authorId="0">
      <text>
        <r>
          <rPr>
            <sz val="10"/>
            <rFont val="Arial"/>
            <family val="2"/>
          </rPr>
          <t xml:space="preserve">Procure no manual ou na ficha técnica do modelo. Dois microfones parecidos por fora podem ter padrões diferentes.</t>
        </r>
      </text>
    </comment>
    <comment ref="J9" authorId="0">
      <text>
        <r>
          <rPr>
            <sz val="10"/>
            <rFont val="Arial"/>
            <family val="2"/>
          </rPr>
          <t xml:space="preserve">Sim para condensador com fio. Microfone sem fio: quem alimenta a cápsula é o transmissor.
Microfone de fita: confira o manual antes de ligar o phantom.</t>
        </r>
      </text>
    </comment>
    <comment ref="M9" authorId="0">
      <text>
        <r>
          <rPr>
            <sz val="10"/>
            <rFont val="Arial"/>
            <family val="2"/>
          </rPr>
          <t xml:space="preserve">Defeito: separe para conserto. Testar: sem teste registrado. Incompleto: falta formato, tipo ou padrão.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C10" authorId="0">
      <text>
        <r>
          <rPr>
            <sz val="10"/>
            <rFont val="Arial"/>
            <family val="2"/>
          </rPr>
          <t xml:space="preserve">Escolha a categoria da fonte. Ela puxa a sugestão de microfone da aba Referência.</t>
        </r>
      </text>
    </comment>
    <comment ref="E10" authorId="0">
      <text>
        <r>
          <rPr>
            <sz val="10"/>
            <rFont val="Arial"/>
            <family val="2"/>
          </rPr>
          <t xml:space="preserve">Número do microfone na coluna B da aba Inventário.</t>
        </r>
      </text>
    </comment>
    <comment ref="L10" authorId="0">
      <text>
        <r>
          <rPr>
            <sz val="10"/>
            <rFont val="Arial"/>
            <family val="2"/>
          </rPr>
          <t xml:space="preserve">Ordem de conferência: Não cadastrado, Defeito, Repetido (já usado em canal anterior), Tipo diferente, Padrão diferente, Testar. OK quando nada disso acontece.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E9" authorId="0">
      <text>
        <r>
          <rPr>
            <sz val="10"/>
            <rFont val="Arial"/>
            <family val="2"/>
          </rPr>
          <t xml:space="preserve">Se nunca ficam abertos ao mesmo tempo (um fala, depois o outro), os dois não somam e a regra não se aplica.</t>
        </r>
      </text>
    </comment>
    <comment ref="L9" authorId="0">
      <text>
        <r>
          <rPr>
            <sz val="10"/>
            <rFont val="Arial"/>
            <family val="2"/>
          </rPr>
          <t xml:space="preserve">Quanto mais fraco o som de uma fonte chega ao microfone vizinho do que ao dela.
Estimativa em campo livre, com as fontes à frente dos microfones e os microfones lado a lado.</t>
        </r>
      </text>
    </comment>
  </commentList>
</comments>
</file>

<file path=xl/sharedStrings.xml><?xml version="1.0" encoding="utf-8"?>
<sst xmlns="http://schemas.openxmlformats.org/spreadsheetml/2006/main" count="552" uniqueCount="330">
  <si>
    <t xml:space="preserve">Microfones — como usar esta planilha</t>
  </si>
  <si>
    <t xml:space="preserve">Inventário dos microfones, escolha do microfone de cada fonte e conferência da regra 3:1.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</si>
  <si>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</si>
  <si>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</si>
  <si>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</si>
  <si>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</si>
  <si>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contas, avisos). Não altere.</t>
  </si>
  <si>
    <t xml:space="preserve">Cinza em itálico</t>
  </si>
  <si>
    <t xml:space="preserve">Linha de exemplo (marcada com “Ex.”) e dicas de preenchimento. Não entram nas contas.</t>
  </si>
  <si>
    <t xml:space="preserve">Listas suspensas</t>
  </si>
  <si>
    <t xml:space="preserve">Formato, tipo, padrão, ligação, teste e tipo de fonte aceitam só as opções da lista.</t>
  </si>
  <si>
    <t xml:space="preserve">Números</t>
  </si>
  <si>
    <t xml:space="preserve">Distâncias em centímetros, só o número: 30, e não “30 cm”.</t>
  </si>
  <si>
    <t xml:space="preserve">Comentários</t>
  </si>
  <si>
    <t xml:space="preserve">Células com triângulo vermelho no canto trazem uma dica. Passe o mouse sobre elas.</t>
  </si>
  <si>
    <t xml:space="preserve">Ordem de preenchimento</t>
  </si>
  <si>
    <t xml:space="preserve">1</t>
  </si>
  <si>
    <t xml:space="preserve">Aba Inventário: cadastre cada microfone, com o padrão tirado do manual do modelo, e o resultado do teste.</t>
  </si>
  <si>
    <t xml:space="preserve">2</t>
  </si>
  <si>
    <t xml:space="preserve">Aba Escolha por fonte: liste as fontes do evento, escolha o tipo de fonte e o número do microfone.</t>
  </si>
  <si>
    <t xml:space="preserve">3</t>
  </si>
  <si>
    <t xml:space="preserve">Veja a situação e o que fazer. Troque o microfone ou confira a escolha até tudo ficar OK.</t>
  </si>
  <si>
    <t xml:space="preserve">4</t>
  </si>
  <si>
    <t xml:space="preserve">Na montagem: posicione cada microfone pela distância e pela posição de partida, e ligue o phantom onde indicado.</t>
  </si>
  <si>
    <t xml:space="preserve">5</t>
  </si>
  <si>
    <t xml:space="preserve">Aba Regra 3 para 1: meça os microfones que ficam abertos juntos e corrija os pares fora da regra.</t>
  </si>
  <si>
    <t xml:space="preserve">6</t>
  </si>
  <si>
    <t xml:space="preserve">Aba Checklist: confira os doze itens antes do ajuste de ganho.</t>
  </si>
  <si>
    <t xml:space="preserve">Abas da planilha</t>
  </si>
  <si>
    <t xml:space="preserve">Inventário</t>
  </si>
  <si>
    <t xml:space="preserve">Até 30 microfones, com phantom, maior rejeição, lugar do retorno e situação calculados.</t>
  </si>
  <si>
    <t xml:space="preserve">Escolha por fonte</t>
  </si>
  <si>
    <t xml:space="preserve">Até 20 fontes, com a sugestão de microfone e a conferência do microfone escolhido.</t>
  </si>
  <si>
    <t xml:space="preserve">Regra 3 para 1</t>
  </si>
  <si>
    <t xml:space="preserve">Até 12 pares de microfones, com razão, vazamento estimado e o que fazer.</t>
  </si>
  <si>
    <t xml:space="preserve">Referência</t>
  </si>
  <si>
    <t xml:space="preserve">Ponto de partida por fonte, padrões polares, dinâmico e condensador, distância e nível.</t>
  </si>
  <si>
    <t xml:space="preserve">Checklist</t>
  </si>
  <si>
    <t xml:space="preserve">Os doze itens do treinamento, com percentual atendido.</t>
  </si>
  <si>
    <t xml:space="preserve">Exemplo - Escolha</t>
  </si>
  <si>
    <t xml:space="preserve">O culto do exemplo 1 do treinamento: nove fontes como foram planejadas, com o inventário de dez microfones.</t>
  </si>
  <si>
    <t xml:space="preserve">Regras e premissas do modelo</t>
  </si>
  <si>
    <t xml:space="preserve">Phantom</t>
  </si>
  <si>
    <t xml:space="preserve">Sim para condensador com fio. Não para dinâmico e para microfone sem fio. Fita: confira o manual.</t>
  </si>
  <si>
    <t xml:space="preserve">Sugestão por fonte</t>
  </si>
  <si>
    <t xml:space="preserve">Vem da tabela da aba Referência. Ela é ponto de partida, e não regra: a decisão final é pelo ouvido.</t>
  </si>
  <si>
    <t xml:space="preserve">Tipo e padrão</t>
  </si>
  <si>
    <t xml:space="preserve">“Tipo diferente” aparece quando a fonte pede um tipo e o microfone é de outro. “Padrão diferente”, quando a fonte pede padrão direcional e o microfone é omni ou figura de 8.</t>
  </si>
  <si>
    <t xml:space="preserve">Repetido</t>
  </si>
  <si>
    <t xml:space="preserve">O mesmo número de microfone em dois canais. A marcação aparece no segundo canal em que ele foi usado.</t>
  </si>
  <si>
    <t xml:space="preserve">Razão = distância entre os microfones ÷ maior distância até a fonte. OK a partir de 3; Perto do limite de 2 a 3.</t>
  </si>
  <si>
    <t xml:space="preserve">Vazamento estimado</t>
  </si>
  <si>
    <t xml:space="preserve">Conta de campo livre (cerca de 6 dB a cada vez que a distância dobra). Em sala reverberante, o vazamento real é maior.</t>
  </si>
  <si>
    <t xml:space="preserve">Exemplos</t>
  </si>
  <si>
    <t xml:space="preserve">Os dados das abas e da linha Ex. são ilustrativos, criados para este material.</t>
  </si>
  <si>
    <t xml:space="preserve">Inventário de microfones</t>
  </si>
  <si>
    <t xml:space="preserve">Cadastre cada microfone com o formato, o tipo e o padrão do manual. As células cinza são calculadas.</t>
  </si>
  <si>
    <t xml:space="preserve">Igreja ou equipe</t>
  </si>
  <si>
    <t xml:space="preserve">Identifique cada microfone com uma fita ou etiqueta, e use o mesmo nome aqui e na aba Escolha por fonte.</t>
  </si>
  <si>
    <t xml:space="preserve">Responsável</t>
  </si>
  <si>
    <t xml:space="preserve">Data da conferência</t>
  </si>
  <si>
    <t xml:space="preserve">Microfones</t>
  </si>
  <si>
    <t xml:space="preserve">Nº</t>
  </si>
  <si>
    <t xml:space="preserve">Identificação</t>
  </si>
  <si>
    <t xml:space="preserve">Formato</t>
  </si>
  <si>
    <t xml:space="preserve">Tipo</t>
  </si>
  <si>
    <t xml:space="preserve">Padrão polar</t>
  </si>
  <si>
    <t xml:space="preserve">Ligação</t>
  </si>
  <si>
    <t xml:space="preserve">Teste</t>
  </si>
  <si>
    <t xml:space="preserve">Última limpeza</t>
  </si>
  <si>
    <t xml:space="preserve">Maior rejeição</t>
  </si>
  <si>
    <t xml:space="preserve">Onde pôr o retorno</t>
  </si>
  <si>
    <t xml:space="preserve">Situação</t>
  </si>
  <si>
    <t xml:space="preserve">Observação</t>
  </si>
  <si>
    <t xml:space="preserve">nome ou fita</t>
  </si>
  <si>
    <t xml:space="preserve">lista</t>
  </si>
  <si>
    <t xml:space="preserve">do manual</t>
  </si>
  <si>
    <t xml:space="preserve">com a voz</t>
  </si>
  <si>
    <t xml:space="preserve">data</t>
  </si>
  <si>
    <t xml:space="preserve">precisa?</t>
  </si>
  <si>
    <t xml:space="preserve">direção</t>
  </si>
  <si>
    <t xml:space="preserve">Ex.</t>
  </si>
  <si>
    <t xml:space="preserve">Mão 3 (fita amarela)</t>
  </si>
  <si>
    <t xml:space="preserve">De mão</t>
  </si>
  <si>
    <t xml:space="preserve">Dinâmico</t>
  </si>
  <si>
    <t xml:space="preserve">Supercardioide</t>
  </si>
  <si>
    <t xml:space="preserve">Com fio</t>
  </si>
  <si>
    <t xml:space="preserve">OK</t>
  </si>
  <si>
    <t xml:space="preserve">04/10/2026</t>
  </si>
  <si>
    <t xml:space="preserve">Não</t>
  </si>
  <si>
    <t xml:space="preserve">cerca de 125°</t>
  </si>
  <si>
    <t xml:space="preserve">Em diagonal, nunca bem atrás</t>
  </si>
  <si>
    <t xml:space="preserve">Uma linha por microfone. O número da coluna B é o que você escolhe na aba Escolha por fonte.</t>
  </si>
  <si>
    <t xml:space="preserve">Resumo automático</t>
  </si>
  <si>
    <t xml:space="preserve">Microfones cadastrados</t>
  </si>
  <si>
    <t xml:space="preserve">Dinâmicos</t>
  </si>
  <si>
    <t xml:space="preserve">Condensadores</t>
  </si>
  <si>
    <t xml:space="preserve">Precisam de phantom</t>
  </si>
  <si>
    <t xml:space="preserve">Sem fio</t>
  </si>
  <si>
    <t xml:space="preserve">Com defeito</t>
  </si>
  <si>
    <t xml:space="preserve">A testar ou incompletos</t>
  </si>
  <si>
    <t xml:space="preserve">Aviso</t>
  </si>
  <si>
    <t xml:space="preserve">Escolha de microfone por fonte</t>
  </si>
  <si>
    <t xml:space="preserve">Para cada canal, escolha o tipo de fonte e o número do microfone do inventário. As células cinza são calculadas.</t>
  </si>
  <si>
    <t xml:space="preserve">Evento</t>
  </si>
  <si>
    <t xml:space="preserve">A sugestão de cada fonte vem da aba Referência e é ponto de partida. “Tipo diferente” ou “Padrão diferente” pedem conferência, e não troca obrigatória.</t>
  </si>
  <si>
    <t xml:space="preserve">Local</t>
  </si>
  <si>
    <t xml:space="preserve">Data</t>
  </si>
  <si>
    <t xml:space="preserve">Operador</t>
  </si>
  <si>
    <t xml:space="preserve">Fontes do evento</t>
  </si>
  <si>
    <t xml:space="preserve">Canal</t>
  </si>
  <si>
    <t xml:space="preserve">Tipo de fonte</t>
  </si>
  <si>
    <t xml:space="preserve">Descrição</t>
  </si>
  <si>
    <t xml:space="preserve">Microfone nº</t>
  </si>
  <si>
    <t xml:space="preserve">Padrão</t>
  </si>
  <si>
    <t xml:space="preserve">Sugestão: tipo e padrão</t>
  </si>
  <si>
    <t xml:space="preserve">Distância de partida</t>
  </si>
  <si>
    <t xml:space="preserve">O que fazer</t>
  </si>
  <si>
    <t xml:space="preserve">Posição de partida</t>
  </si>
  <si>
    <t xml:space="preserve">nº</t>
  </si>
  <si>
    <t xml:space="preserve">quem ou o quê</t>
  </si>
  <si>
    <t xml:space="preserve">do inventário</t>
  </si>
  <si>
    <t xml:space="preserve">no canal</t>
  </si>
  <si>
    <t xml:space="preserve">da Referência</t>
  </si>
  <si>
    <t xml:space="preserve">Coral</t>
  </si>
  <si>
    <t xml:space="preserve">Coral, lado esquerdo</t>
  </si>
  <si>
    <t xml:space="preserve">Condensador, Cardioide</t>
  </si>
  <si>
    <t xml:space="preserve">60 a 90 cm à frente da 1ª fila</t>
  </si>
  <si>
    <t xml:space="preserve">Tipo diferente</t>
  </si>
  <si>
    <t xml:space="preserve">Sugestão: Condensador. Confira se este serve</t>
  </si>
  <si>
    <t xml:space="preserve">Fontes listadas</t>
  </si>
  <si>
    <t xml:space="preserve">Com microfone OK</t>
  </si>
  <si>
    <t xml:space="preserve">Canais com phantom</t>
  </si>
  <si>
    <t xml:space="preserve">Defeito, repetido ou não cadastrado</t>
  </si>
  <si>
    <t xml:space="preserve">A conferir</t>
  </si>
  <si>
    <t xml:space="preserve">Regra 3 para 1 — distância entre microfones abertos juntos</t>
  </si>
  <si>
    <t xml:space="preserve">Meça as distâncias em centímetros. As células cinza são calculadas.</t>
  </si>
  <si>
    <t xml:space="preserve">A distância entre dois microfones abertos juntos deve ser pelo menos três vezes a distância de cada um até a sua fonte. Assim, o som de uma fonte chega ao microfone vizinho cerca de 10 dB mais fraco.</t>
  </si>
  <si>
    <t xml:space="preserve">Medido por</t>
  </si>
  <si>
    <t xml:space="preserve">Pares de microfones</t>
  </si>
  <si>
    <t xml:space="preserve">Par</t>
  </si>
  <si>
    <t xml:space="preserve">Microfone A</t>
  </si>
  <si>
    <t xml:space="preserve">Microfone B</t>
  </si>
  <si>
    <t xml:space="preserve">Abertos juntos?</t>
  </si>
  <si>
    <t xml:space="preserve">A até a fonte</t>
  </si>
  <si>
    <t xml:space="preserve">B até a fonte</t>
  </si>
  <si>
    <t xml:space="preserve">Entre os microfones</t>
  </si>
  <si>
    <t xml:space="preserve">Maior até a fonte</t>
  </si>
  <si>
    <t xml:space="preserve">Mínimo entre eles</t>
  </si>
  <si>
    <t xml:space="preserve">Razão</t>
  </si>
  <si>
    <t xml:space="preserve">quem usa</t>
  </si>
  <si>
    <t xml:space="preserve">Sim / Não</t>
  </si>
  <si>
    <t xml:space="preserve">cm</t>
  </si>
  <si>
    <t xml:space="preserve">cm = 3 × maior</t>
  </si>
  <si>
    <t xml:space="preserve">entre ÷ maior</t>
  </si>
  <si>
    <t xml:space="preserve">dB abaixo</t>
  </si>
  <si>
    <t xml:space="preserve">Debatedor 1</t>
  </si>
  <si>
    <t xml:space="preserve">Debatedor 2</t>
  </si>
  <si>
    <t xml:space="preserve">Sim</t>
  </si>
  <si>
    <t xml:space="preserve">Fora da regra</t>
  </si>
  <si>
    <t xml:space="preserve">Aproxime cada microfone a até 20 cm da fonte, ou afaste os microfones para 150 cm</t>
  </si>
  <si>
    <t xml:space="preserve">A linha Ex. é o exemplo 2 do treinamento, antes da correção: a mesa de debate com som oco.</t>
  </si>
  <si>
    <t xml:space="preserve">Pares avaliados</t>
  </si>
  <si>
    <t xml:space="preserve">Dentro da regra</t>
  </si>
  <si>
    <t xml:space="preserve">Perto do limite</t>
  </si>
  <si>
    <t xml:space="preserve">O corte de 2 para “Perto do limite” é regra prática deste material. Dois microfones na mesma boca (dois goosenecks no púlpito) nunca cumprem a regra: use um só.</t>
  </si>
  <si>
    <t xml:space="preserve">Referência — microfones</t>
  </si>
  <si>
    <t xml:space="preserve">Valores de referência, para servir de ponto de partida. Confira o manual do seu equipamento.</t>
  </si>
  <si>
    <t xml:space="preserve">Ponto de partida por fonte (consultada pela aba Escolha por fonte: não mude a ordem das colunas)</t>
  </si>
  <si>
    <t xml:space="preserve">Fonte</t>
  </si>
  <si>
    <t xml:space="preserve">Distância</t>
  </si>
  <si>
    <t xml:space="preserve">Posição e direção</t>
  </si>
  <si>
    <t xml:space="preserve">Tipo aceito</t>
  </si>
  <si>
    <t xml:space="preserve">Padrão aceito</t>
  </si>
  <si>
    <t xml:space="preserve">Voz cantada</t>
  </si>
  <si>
    <t xml:space="preserve">Cardioide ou supercardioide</t>
  </si>
  <si>
    <t xml:space="preserve">2 a 5 cm</t>
  </si>
  <si>
    <t xml:space="preserve">Apontado para a boca. Retorno na direção de maior rejeição do padrão.</t>
  </si>
  <si>
    <t xml:space="preserve">Qualquer</t>
  </si>
  <si>
    <t xml:space="preserve">Direcional</t>
  </si>
  <si>
    <t xml:space="preserve">Voz falada</t>
  </si>
  <si>
    <t xml:space="preserve">Dinâmico ou condensador</t>
  </si>
  <si>
    <t xml:space="preserve">Conforme o formato</t>
  </si>
  <si>
    <t xml:space="preserve">De mão, headset, gooseneck ou lapela</t>
  </si>
  <si>
    <t xml:space="preserve">O mais perto que o formato permite</t>
  </si>
  <si>
    <t xml:space="preserve">Um microfone por pessoa que fala, e só o dela aberto.</t>
  </si>
  <si>
    <t xml:space="preserve">Condensador</t>
  </si>
  <si>
    <t xml:space="preserve">Cardioide</t>
  </si>
  <si>
    <t xml:space="preserve">Coral suspenso ou pedestal alto</t>
  </si>
  <si>
    <t xml:space="preserve">Acima das cabeças, apontado para a última fila. Um para cada 15 a 20 vozes.</t>
  </si>
  <si>
    <t xml:space="preserve">Violão</t>
  </si>
  <si>
    <t xml:space="preserve">Lápis</t>
  </si>
  <si>
    <t xml:space="preserve">15 a 30 cm</t>
  </si>
  <si>
    <t xml:space="preserve">Apontado para a junção do braço com o corpo, e não para a boca do violão.</t>
  </si>
  <si>
    <t xml:space="preserve">Amplificador</t>
  </si>
  <si>
    <t xml:space="preserve">De mão ou instrumento</t>
  </si>
  <si>
    <t xml:space="preserve">2 a 10 cm da tela</t>
  </si>
  <si>
    <t xml:space="preserve">Apontado para o alto-falante: no centro, mais brilho; perto da borda, mais corpo.</t>
  </si>
  <si>
    <t xml:space="preserve">Bumbo</t>
  </si>
  <si>
    <t xml:space="preserve">Instrumento (próprio para graves)</t>
  </si>
  <si>
    <t xml:space="preserve">Dentro do casco ou no furo da pele</t>
  </si>
  <si>
    <t xml:space="preserve">Perto da pele batida, mais ataque. No furo, mais corpo.</t>
  </si>
  <si>
    <t xml:space="preserve">Caixa e tons</t>
  </si>
  <si>
    <t xml:space="preserve">De mão ou clip</t>
  </si>
  <si>
    <t xml:space="preserve">3 a 5 cm acima da pele</t>
  </si>
  <si>
    <t xml:space="preserve">Junto ao aro, apontado para o centro da pele. Na caixa, ponto surdo para o chimbal.</t>
  </si>
  <si>
    <t xml:space="preserve">Chimbal e pratos</t>
  </si>
  <si>
    <t xml:space="preserve">Chimbal: 10 a 15 cm. Pratos: 60 a 100 cm</t>
  </si>
  <si>
    <t xml:space="preserve">Chimbal de cima, do lado oposto à caixa. Pratos: um ou dois apontados para baixo.</t>
  </si>
  <si>
    <t xml:space="preserve">Piano</t>
  </si>
  <si>
    <t xml:space="preserve">15 a 30 cm das cordas</t>
  </si>
  <si>
    <t xml:space="preserve">Tampa aberta. Com dois: um sobre as cordas agudas, outro sobre as graves.</t>
  </si>
  <si>
    <t xml:space="preserve">Ambiente</t>
  </si>
  <si>
    <t xml:space="preserve">Longe das caixas do PA</t>
  </si>
  <si>
    <t xml:space="preserve">Voltado para o público. Só para a transmissão ou a gravação, fechado no PA.</t>
  </si>
  <si>
    <t xml:space="preserve">Tipo aceito e Padrão aceito definem quando a aba Escolha por fonte marca “Tipo diferente” ou “Padrão diferente”. Direcional = cardioide, supercardioide ou hipercardioide.</t>
  </si>
  <si>
    <t xml:space="preserve">Padrões polares (valores do padrão ideal, em relação à frente)</t>
  </si>
  <si>
    <t xml:space="preserve">Lados (90°)</t>
  </si>
  <si>
    <t xml:space="preserve">Atrás (180°)</t>
  </si>
  <si>
    <t xml:space="preserve">Uso típico</t>
  </si>
  <si>
    <t xml:space="preserve">−6 dB</t>
  </si>
  <si>
    <t xml:space="preserve">quase nada</t>
  </si>
  <si>
    <t xml:space="preserve">180°, bem atrás</t>
  </si>
  <si>
    <t xml:space="preserve">Bem atrás do microfone</t>
  </si>
  <si>
    <t xml:space="preserve">O mais comum: voz de mão, púlpito, coral, instrumentos.</t>
  </si>
  <si>
    <t xml:space="preserve">−9 dB</t>
  </si>
  <si>
    <t xml:space="preserve">−12 dB</t>
  </si>
  <si>
    <t xml:space="preserve">Voz em palco com volume alto, gooseneck, caixa e tons.</t>
  </si>
  <si>
    <t xml:space="preserve">Hipercardioide</t>
  </si>
  <si>
    <t xml:space="preserve">cerca de 110°</t>
  </si>
  <si>
    <t xml:space="preserve">Em diagonal, mais para o lado</t>
  </si>
  <si>
    <t xml:space="preserve">Quando o que atrapalha está dos lados.</t>
  </si>
  <si>
    <t xml:space="preserve">Omni</t>
  </si>
  <si>
    <t xml:space="preserve">0 dB</t>
  </si>
  <si>
    <t xml:space="preserve">não tem</t>
  </si>
  <si>
    <t xml:space="preserve">Longe: não ajuda a rejeitar</t>
  </si>
  <si>
    <t xml:space="preserve">Lapela e headset, sempre muito perto da boca. Sem efeito de proximidade.</t>
  </si>
  <si>
    <t xml:space="preserve">Figura de 8</t>
  </si>
  <si>
    <t xml:space="preserve">90°, nos dois lados</t>
  </si>
  <si>
    <t xml:space="preserve">Em um dos lados</t>
  </si>
  <si>
    <t xml:space="preserve">Raro ao vivo. Padrão natural do microfone de fita.</t>
  </si>
  <si>
    <t xml:space="preserve">Dinâmico e condensador</t>
  </si>
  <si>
    <t xml:space="preserve">Energia</t>
  </si>
  <si>
    <t xml:space="preserve">Não precisa</t>
  </si>
  <si>
    <t xml:space="preserve">Phantom, pilha ou transmissor</t>
  </si>
  <si>
    <t xml:space="preserve">Nível de saída</t>
  </si>
  <si>
    <t xml:space="preserve">1 a 3 mV/Pa</t>
  </si>
  <si>
    <t xml:space="preserve">5 a 30 mV/Pa</t>
  </si>
  <si>
    <t xml:space="preserve">Robustez</t>
  </si>
  <si>
    <t xml:space="preserve">Alta</t>
  </si>
  <si>
    <t xml:space="preserve">Menor</t>
  </si>
  <si>
    <t xml:space="preserve">Voz de mão, bateria, amplificador</t>
  </si>
  <si>
    <t xml:space="preserve">Coral, púlpito, lapela, violão, pratos</t>
  </si>
  <si>
    <t xml:space="preserve">Distância até a fonte e nível no microfone (campo livre, em relação a 5 cm)</t>
  </si>
  <si>
    <t xml:space="preserve">Nível</t>
  </si>
  <si>
    <t xml:space="preserve">Formato típico</t>
  </si>
  <si>
    <t xml:space="preserve">2,5 cm</t>
  </si>
  <si>
    <t xml:space="preserve">+6 dB</t>
  </si>
  <si>
    <t xml:space="preserve">Headset, canto de perto</t>
  </si>
  <si>
    <t xml:space="preserve">5 cm</t>
  </si>
  <si>
    <t xml:space="preserve">De mão (canto e fala)</t>
  </si>
  <si>
    <t xml:space="preserve">10 cm</t>
  </si>
  <si>
    <t xml:space="preserve">De mão (fala)</t>
  </si>
  <si>
    <t xml:space="preserve">20 cm</t>
  </si>
  <si>
    <t xml:space="preserve">Lapela, gooseneck de perto</t>
  </si>
  <si>
    <t xml:space="preserve">40 cm</t>
  </si>
  <si>
    <t xml:space="preserve">−18 dB</t>
  </si>
  <si>
    <t xml:space="preserve">Gooseneck de longe</t>
  </si>
  <si>
    <t xml:space="preserve">80 cm</t>
  </si>
  <si>
    <t xml:space="preserve">−24 dB</t>
  </si>
  <si>
    <t xml:space="preserve">Coral suspenso</t>
  </si>
  <si>
    <t xml:space="preserve">Faixas típicas, que variam com o modelo, a fonte e a sala. Confira o manual e a ficha técnica do seu microfone.</t>
  </si>
  <si>
    <t xml:space="preserve">Checklist dos microfones</t>
  </si>
  <si>
    <t xml:space="preserve">Confira na montagem, antes do ajuste de ganho, e de novo ao guardar o equipamento.</t>
  </si>
  <si>
    <t xml:space="preserve">#</t>
  </si>
  <si>
    <t xml:space="preserve">Grupo</t>
  </si>
  <si>
    <t xml:space="preserve">Item</t>
  </si>
  <si>
    <t xml:space="preserve">Escolha</t>
  </si>
  <si>
    <t xml:space="preserve">Cada fonte tem um microfone definido, com tipo e formato adequados a ela.</t>
  </si>
  <si>
    <t xml:space="preserve">O padrão polar de cada microfone é conhecido, e cada retorno está na direção de maior rejeição do microfone à frente dele.</t>
  </si>
  <si>
    <t xml:space="preserve">O phantom está ligado só nos canais que precisam dele, e foi ligado com o canal fechado.</t>
  </si>
  <si>
    <t xml:space="preserve">Todos os microfones foram testados com a voz, um por vez, com o cabo e o canal que vão usar.</t>
  </si>
  <si>
    <t xml:space="preserve">Posição</t>
  </si>
  <si>
    <t xml:space="preserve">Cada microfone está o mais perto da fonte que o formato permite, e apontado para ela.</t>
  </si>
  <si>
    <t xml:space="preserve">Os microfones que ficam abertos juntos respeitam a regra 3:1.</t>
  </si>
  <si>
    <t xml:space="preserve">Nenhum microfone fica à frente das caixas do PA nem apontado para um retorno.</t>
  </si>
  <si>
    <t xml:space="preserve">A lapela e o headset estão firmes, na posição certa, com a cápsula descoberta e o cabo preso.</t>
  </si>
  <si>
    <t xml:space="preserve">Uso</t>
  </si>
  <si>
    <t xml:space="preserve">Quem usa microfone de mão foi orientado: perto da boca, apontado para ela, mão no corpo.</t>
  </si>
  <si>
    <t xml:space="preserve">Há espuma ou protetor de vento onde é preciso, e o filtro passa-altas está ligado nos canais de voz.</t>
  </si>
  <si>
    <t xml:space="preserve">Só ficam abertos os microfones em uso, e há um microfone reserva com fio, testado.</t>
  </si>
  <si>
    <t xml:space="preserve">Depois</t>
  </si>
  <si>
    <t xml:space="preserve">Depois do evento, os microfones foram limpos, secos e guardados no estojo, e os defeitos foram anotados no inventário.</t>
  </si>
  <si>
    <t xml:space="preserve">Itens respondidos</t>
  </si>
  <si>
    <t xml:space="preserve">Percentual atendido (Parcial vale metade)</t>
  </si>
  <si>
    <t xml:space="preserve">Exemplo preenchido, para consulta. Use a aba Escolha por fonte para o seu evento.</t>
  </si>
  <si>
    <t xml:space="preserve">Culto de domingo, 19 h</t>
  </si>
  <si>
    <t xml:space="preserve">Igreja de 200 lugares</t>
  </si>
  <si>
    <t xml:space="preserve">Operador de som da escala</t>
  </si>
  <si>
    <t xml:space="preserve">As fontes como foram planejadas, antes da conferência. O inventário do exemplo está mais abaixo.</t>
  </si>
  <si>
    <t xml:space="preserve">Pastor</t>
  </si>
  <si>
    <t xml:space="preserve">Cantora</t>
  </si>
  <si>
    <t xml:space="preserve">Voz de apoio 1</t>
  </si>
  <si>
    <t xml:space="preserve">Voz de apoio 2</t>
  </si>
  <si>
    <t xml:space="preserve">Coral, lado direito</t>
  </si>
  <si>
    <t xml:space="preserve">Violão sem captação</t>
  </si>
  <si>
    <t xml:space="preserve">Púlpito</t>
  </si>
  <si>
    <t xml:space="preserve">O que foi ajustado</t>
  </si>
  <si>
    <t xml:space="preserve">O que foi feito</t>
  </si>
  <si>
    <t xml:space="preserve">Microfone nº 4 com defeito: entrou o nº 3, supercardioide, e o retorno dessa voz foi para a diagonal.</t>
  </si>
  <si>
    <t xml:space="preserve">Trocado pelo condensador suspenso nº 6, a 80 cm da primeira fila. Phantom ligado.</t>
  </si>
  <si>
    <t xml:space="preserve">Trocado pelo condensador suspenso nº 7, a 2,7 m do nº 6. Phantom ligado.</t>
  </si>
  <si>
    <t xml:space="preserve">Todos</t>
  </si>
  <si>
    <t xml:space="preserve">Depois das trocas: nove fontes com microfone certo, phantom em quatro canais (5, 6, 7 e 9), nº 4 separado para conserto.</t>
  </si>
  <si>
    <t xml:space="preserve">Inventário do exemplo (os microfones que as fórmulas acima consultam)</t>
  </si>
  <si>
    <t xml:space="preserve">Mão 1 (fita azul)</t>
  </si>
  <si>
    <t xml:space="preserve">Mão 2 (fita verde)</t>
  </si>
  <si>
    <t xml:space="preserve">Retorno em diagonal</t>
  </si>
  <si>
    <t xml:space="preserve">Mão 4 (sem fita)</t>
  </si>
  <si>
    <t xml:space="preserve">Defeito</t>
  </si>
  <si>
    <t xml:space="preserve">Falha ao mexer no conector</t>
  </si>
  <si>
    <t xml:space="preserve">Headset do pastor</t>
  </si>
  <si>
    <t xml:space="preserve">Headset</t>
  </si>
  <si>
    <t xml:space="preserve">Pilhas novas a cada culto</t>
  </si>
  <si>
    <t xml:space="preserve">Coral 1</t>
  </si>
  <si>
    <t xml:space="preserve">Coral 2</t>
  </si>
  <si>
    <t xml:space="preserve">Lápis 1</t>
  </si>
  <si>
    <t xml:space="preserve">Instrumento</t>
  </si>
  <si>
    <t xml:space="preserve">Próprio para graves</t>
  </si>
  <si>
    <t xml:space="preserve">Gooseneck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</si>
</sst>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"/>
    <numFmt numFmtId="168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FFF9DB"/>
      </patternFill>
    </fill>
    <fill>
      <patternFill patternType="solid">
        <fgColor rgb="FFFFF9DB"/>
        <bgColor rgb="FFFBEBC8"/>
      </patternFill>
    </fill>
    <fill>
      <patternFill patternType="solid">
        <fgColor rgb="FF2B5C8A"/>
        <bgColor rgb="FF1E7B73"/>
      </patternFill>
    </fill>
    <fill>
      <patternFill patternType="solid">
        <fgColor rgb="FFA96A12"/>
        <bgColor rgb="FF993300"/>
      </patternFill>
    </fill>
    <fill>
      <patternFill patternType="solid">
        <fgColor rgb="FF1E7B73"/>
        <bgColor rgb="FF008080"/>
      </patternFill>
    </fill>
    <fill>
      <patternFill patternType="solid">
        <fgColor rgb="FFFFFFFF"/>
        <bgColor rgb="FFFFF9DB"/>
      </patternFill>
    </fill>
    <fill>
      <patternFill patternType="solid">
        <fgColor rgb="FF5B6B76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F6D9D7"/>
        </patternFill>
      </fill>
    </dxf>
    <dxf>
      <fill>
        <patternFill>
          <bgColor rgb="FFF6E8C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C0C0C0"/>
      <rgbColor rgb="FF808080"/>
      <rgbColor rgb="FF9999FF"/>
      <rgbColor rgb="FF7A4A9A"/>
      <rgbColor rgb="FFFFF9DB"/>
      <rgbColor rgb="FFEEF1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E8CF"/>
      <rgbColor rgb="FFD8EFDD"/>
      <rgbColor rgb="FFFBEBC8"/>
      <rgbColor rgb="FF99CCFF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993366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6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19.5" hidden="false" customHeight="true" outlineLevel="0" collapsed="false">
      <c r="B8" s="4" t="s">
        <v>9</v>
      </c>
      <c r="C8" s="7" t="s">
        <v>10</v>
      </c>
    </row>
    <row r="9" customFormat="false" ht="19.5" hidden="false" customHeight="true" outlineLevel="0" collapsed="false">
      <c r="B9" s="4" t="s">
        <v>11</v>
      </c>
      <c r="C9" s="7" t="s">
        <v>12</v>
      </c>
    </row>
    <row r="10" customFormat="false" ht="19.5" hidden="false" customHeight="true" outlineLevel="0" collapsed="false">
      <c r="B10" s="4" t="s">
        <v>13</v>
      </c>
      <c r="C10" s="7" t="s">
        <v>14</v>
      </c>
    </row>
    <row r="12" customFormat="false" ht="21.75" hidden="false" customHeight="true" outlineLevel="0" collapsed="false">
      <c r="B12" s="3" t="s">
        <v>15</v>
      </c>
      <c r="C12" s="3"/>
    </row>
    <row r="13" customFormat="false" ht="31.5" hidden="false" customHeight="true" outlineLevel="0" collapsed="false">
      <c r="B13" s="8" t="s">
        <v>16</v>
      </c>
      <c r="C13" s="7" t="s">
        <v>17</v>
      </c>
    </row>
    <row r="14" customFormat="false" ht="19.5" hidden="false" customHeight="true" outlineLevel="0" collapsed="false">
      <c r="B14" s="8" t="s">
        <v>18</v>
      </c>
      <c r="C14" s="7" t="s">
        <v>19</v>
      </c>
    </row>
    <row r="15" customFormat="false" ht="19.5" hidden="false" customHeight="true" outlineLevel="0" collapsed="false">
      <c r="B15" s="8" t="s">
        <v>20</v>
      </c>
      <c r="C15" s="7" t="s">
        <v>21</v>
      </c>
    </row>
    <row r="16" customFormat="false" ht="31.5" hidden="false" customHeight="true" outlineLevel="0" collapsed="false">
      <c r="B16" s="8" t="s">
        <v>22</v>
      </c>
      <c r="C16" s="7" t="s">
        <v>23</v>
      </c>
    </row>
    <row r="17" customFormat="false" ht="19.5" hidden="false" customHeight="true" outlineLevel="0" collapsed="false">
      <c r="B17" s="8" t="s">
        <v>24</v>
      </c>
      <c r="C17" s="7" t="s">
        <v>25</v>
      </c>
    </row>
    <row r="18" customFormat="false" ht="19.5" hidden="false" customHeight="true" outlineLevel="0" collapsed="false">
      <c r="B18" s="8" t="s">
        <v>26</v>
      </c>
      <c r="C18" s="7" t="s">
        <v>27</v>
      </c>
    </row>
    <row r="20" customFormat="false" ht="21.75" hidden="false" customHeight="true" outlineLevel="0" collapsed="false">
      <c r="B20" s="3" t="s">
        <v>28</v>
      </c>
      <c r="C20" s="3"/>
    </row>
    <row r="21" customFormat="false" ht="19.5" hidden="false" customHeight="true" outlineLevel="0" collapsed="false">
      <c r="B21" s="4" t="s">
        <v>29</v>
      </c>
      <c r="C21" s="7" t="s">
        <v>30</v>
      </c>
    </row>
    <row r="22" customFormat="false" ht="19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5" customFormat="false" ht="19.5" hidden="false" customHeight="true" outlineLevel="0" collapsed="false">
      <c r="B25" s="4" t="s">
        <v>37</v>
      </c>
      <c r="C25" s="7" t="s">
        <v>38</v>
      </c>
    </row>
    <row r="26" customFormat="false" ht="31.5" hidden="false" customHeight="true" outlineLevel="0" collapsed="false">
      <c r="B26" s="4" t="s">
        <v>39</v>
      </c>
      <c r="C26" s="7" t="s">
        <v>40</v>
      </c>
    </row>
    <row r="28" customFormat="false" ht="21.75" hidden="false" customHeight="true" outlineLevel="0" collapsed="false">
      <c r="B28" s="3" t="s">
        <v>41</v>
      </c>
      <c r="C28" s="3"/>
    </row>
    <row r="29" customFormat="false" ht="19.5" hidden="false" customHeight="true" outlineLevel="0" collapsed="false">
      <c r="B29" s="4" t="s">
        <v>42</v>
      </c>
      <c r="C29" s="7" t="s">
        <v>43</v>
      </c>
    </row>
    <row r="30" customFormat="false" ht="19.5" hidden="false" customHeight="true" outlineLevel="0" collapsed="false">
      <c r="B30" s="4" t="s">
        <v>44</v>
      </c>
      <c r="C30" s="7" t="s">
        <v>45</v>
      </c>
    </row>
    <row r="31" customFormat="false" ht="31.5" hidden="false" customHeight="true" outlineLevel="0" collapsed="false">
      <c r="B31" s="4" t="s">
        <v>46</v>
      </c>
      <c r="C31" s="7" t="s">
        <v>47</v>
      </c>
    </row>
    <row r="32" customFormat="false" ht="31.5" hidden="false" customHeight="true" outlineLevel="0" collapsed="false">
      <c r="B32" s="4" t="s">
        <v>48</v>
      </c>
      <c r="C32" s="7" t="s">
        <v>49</v>
      </c>
    </row>
    <row r="33" customFormat="false" ht="31.5" hidden="false" customHeight="true" outlineLevel="0" collapsed="false">
      <c r="B33" s="4" t="s">
        <v>33</v>
      </c>
      <c r="C33" s="7" t="s">
        <v>50</v>
      </c>
    </row>
    <row r="34" customFormat="false" ht="31.5" hidden="false" customHeight="true" outlineLevel="0" collapsed="false">
      <c r="B34" s="4" t="s">
        <v>51</v>
      </c>
      <c r="C34" s="7" t="s">
        <v>52</v>
      </c>
    </row>
    <row r="35" customFormat="false" ht="19.5" hidden="false" customHeight="true" outlineLevel="0" collapsed="false">
      <c r="B35" s="4" t="s">
        <v>53</v>
      </c>
      <c r="C35" s="7" t="s">
        <v>54</v>
      </c>
    </row>
  </sheetData>
  <mergeCells count="6">
    <mergeCell ref="B1:C1"/>
    <mergeCell ref="B2:C2"/>
    <mergeCell ref="B4:C4"/>
    <mergeCell ref="B12:C12"/>
    <mergeCell ref="B20:C20"/>
    <mergeCell ref="B28:C28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N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10" min="8" style="0" width="12"/>
    <col collapsed="false" customWidth="true" hidden="false" outlineLevel="0" max="11" min="11" style="0" width="15"/>
    <col collapsed="false" customWidth="true" hidden="false" outlineLevel="0" max="12" min="12" style="0" width="26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2"/>
  </cols>
  <sheetData>
    <row r="1" customFormat="false" ht="31.5" hidden="false" customHeight="true" outlineLevel="0" collapsed="false">
      <c r="B1" s="1" t="s">
        <v>55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B2" s="2" t="s">
        <v>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1.75" hidden="false" customHeight="true" outlineLevel="0" collapsed="false">
      <c r="B4" s="4" t="s">
        <v>57</v>
      </c>
      <c r="C4" s="4"/>
      <c r="D4" s="5"/>
      <c r="E4" s="5"/>
      <c r="F4" s="5"/>
      <c r="G4" s="5"/>
      <c r="I4" s="9" t="s">
        <v>58</v>
      </c>
      <c r="J4" s="9"/>
      <c r="K4" s="9"/>
      <c r="L4" s="9"/>
      <c r="M4" s="9"/>
      <c r="N4" s="9"/>
    </row>
    <row r="5" customFormat="false" ht="21.75" hidden="false" customHeight="true" outlineLevel="0" collapsed="false">
      <c r="B5" s="4" t="s">
        <v>59</v>
      </c>
      <c r="C5" s="4"/>
      <c r="D5" s="5"/>
      <c r="E5" s="5"/>
      <c r="F5" s="5"/>
      <c r="G5" s="5"/>
      <c r="I5" s="9"/>
      <c r="J5" s="9"/>
      <c r="K5" s="9"/>
      <c r="L5" s="9"/>
      <c r="M5" s="9"/>
      <c r="N5" s="9"/>
    </row>
    <row r="6" customFormat="false" ht="21.75" hidden="false" customHeight="true" outlineLevel="0" collapsed="false">
      <c r="B6" s="4" t="s">
        <v>60</v>
      </c>
      <c r="C6" s="4"/>
      <c r="D6" s="10"/>
      <c r="E6" s="10"/>
      <c r="F6" s="10"/>
      <c r="G6" s="10"/>
    </row>
    <row r="8" customFormat="false" ht="21.75" hidden="false" customHeight="true" outlineLevel="0" collapsed="false">
      <c r="B8" s="11" t="s">
        <v>61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customFormat="false" ht="30" hidden="false" customHeight="true" outlineLevel="0" collapsed="false">
      <c r="B9" s="12" t="s">
        <v>62</v>
      </c>
      <c r="C9" s="12" t="s">
        <v>63</v>
      </c>
      <c r="D9" s="13" t="s">
        <v>64</v>
      </c>
      <c r="E9" s="13" t="s">
        <v>65</v>
      </c>
      <c r="F9" s="13" t="s">
        <v>66</v>
      </c>
      <c r="G9" s="13" t="s">
        <v>67</v>
      </c>
      <c r="H9" s="14" t="s">
        <v>68</v>
      </c>
      <c r="I9" s="14" t="s">
        <v>69</v>
      </c>
      <c r="J9" s="15" t="s">
        <v>42</v>
      </c>
      <c r="K9" s="15" t="s">
        <v>70</v>
      </c>
      <c r="L9" s="15" t="s">
        <v>71</v>
      </c>
      <c r="M9" s="15" t="s">
        <v>72</v>
      </c>
      <c r="N9" s="12" t="s">
        <v>73</v>
      </c>
    </row>
    <row r="10" customFormat="false" ht="21.75" hidden="false" customHeight="true" outlineLevel="0" collapsed="false">
      <c r="B10" s="16"/>
      <c r="C10" s="16" t="s">
        <v>74</v>
      </c>
      <c r="D10" s="16" t="s">
        <v>75</v>
      </c>
      <c r="E10" s="16" t="s">
        <v>75</v>
      </c>
      <c r="F10" s="16" t="s">
        <v>76</v>
      </c>
      <c r="G10" s="16" t="s">
        <v>75</v>
      </c>
      <c r="H10" s="16" t="s">
        <v>77</v>
      </c>
      <c r="I10" s="16" t="s">
        <v>78</v>
      </c>
      <c r="J10" s="16" t="s">
        <v>79</v>
      </c>
      <c r="K10" s="16" t="s">
        <v>80</v>
      </c>
      <c r="L10" s="16"/>
      <c r="M10" s="16"/>
      <c r="N10" s="16"/>
    </row>
    <row r="11" customFormat="false" ht="21.75" hidden="false" customHeight="true" outlineLevel="0" collapsed="false">
      <c r="B11" s="16" t="s">
        <v>81</v>
      </c>
      <c r="C11" s="9" t="s">
        <v>82</v>
      </c>
      <c r="D11" s="16" t="s">
        <v>83</v>
      </c>
      <c r="E11" s="16" t="s">
        <v>84</v>
      </c>
      <c r="F11" s="16" t="s">
        <v>85</v>
      </c>
      <c r="G11" s="16" t="s">
        <v>86</v>
      </c>
      <c r="H11" s="16" t="s">
        <v>87</v>
      </c>
      <c r="I11" s="16" t="s">
        <v>88</v>
      </c>
      <c r="J11" s="16" t="s">
        <v>89</v>
      </c>
      <c r="K11" s="16" t="s">
        <v>90</v>
      </c>
      <c r="L11" s="9" t="s">
        <v>91</v>
      </c>
      <c r="M11" s="16" t="s">
        <v>87</v>
      </c>
      <c r="N11" s="9"/>
    </row>
    <row r="12" customFormat="false" ht="15" hidden="false" customHeight="true" outlineLevel="0" collapsed="false">
      <c r="B12" s="9" t="s">
        <v>92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customFormat="false" ht="21.75" hidden="false" customHeight="true" outlineLevel="0" collapsed="false">
      <c r="B13" s="17" t="n">
        <v>1</v>
      </c>
      <c r="C13" s="5"/>
      <c r="D13" s="18"/>
      <c r="E13" s="18"/>
      <c r="F13" s="18"/>
      <c r="G13" s="18"/>
      <c r="H13" s="18"/>
      <c r="I13" s="19"/>
      <c r="J13" s="20" t="str">
        <f aca="false">IF(E13="","",IF(G13="Sem fio","Não",IF(E13="Condensador","Sim",IF(E13="Fita","Não: veja o manual","Não"))))</f>
        <v/>
      </c>
      <c r="K13" s="21" t="str">
        <f aca="false">IF(F13="","",IF(F13="Cardioide","180°, bem atrás",IF(F13="Supercardioide","cerca de 125°",IF(F13="Hipercardioide","cerca de 110°",IF(F13="Omni","não rejeita","90°, nos lados")))))</f>
        <v/>
      </c>
      <c r="L13" s="22" t="str">
        <f aca="false">IF(F13="","",IF(F13="Cardioide","Bem atrás do microfone",IF(OR(F13="Supercardioide",F13="Hipercardioide"),"Em diagonal, nunca bem atrás",IF(F13="Omni","Longe: o microfone não rejeita","Em um dos lados"))))</f>
        <v/>
      </c>
      <c r="M13" s="20" t="str">
        <f aca="false">IF(AND(C13="",D13="",E13="",F13=""),"",IF(H13="Defeito","Defeito",IF(OR(H13="",H13="Não testado"),"Testar",IF(OR(D13="",E13="",F13=""),"Incompleto","OK"))))</f>
        <v/>
      </c>
      <c r="N13" s="5"/>
    </row>
    <row r="14" customFormat="false" ht="21.75" hidden="false" customHeight="true" outlineLevel="0" collapsed="false">
      <c r="B14" s="17" t="n">
        <v>2</v>
      </c>
      <c r="C14" s="5"/>
      <c r="D14" s="18"/>
      <c r="E14" s="18"/>
      <c r="F14" s="18"/>
      <c r="G14" s="18"/>
      <c r="H14" s="18"/>
      <c r="I14" s="19"/>
      <c r="J14" s="20" t="str">
        <f aca="false">IF(E14="","",IF(G14="Sem fio","Não",IF(E14="Condensador","Sim",IF(E14="Fita","Não: veja o manual","Não"))))</f>
        <v/>
      </c>
      <c r="K14" s="21" t="str">
        <f aca="false">IF(F14="","",IF(F14="Cardioide","180°, bem atrás",IF(F14="Supercardioide","cerca de 125°",IF(F14="Hipercardioide","cerca de 110°",IF(F14="Omni","não rejeita","90°, nos lados")))))</f>
        <v/>
      </c>
      <c r="L14" s="22" t="str">
        <f aca="false">IF(F14="","",IF(F14="Cardioide","Bem atrás do microfone",IF(OR(F14="Supercardioide",F14="Hipercardioide"),"Em diagonal, nunca bem atrás",IF(F14="Omni","Longe: o microfone não rejeita","Em um dos lados"))))</f>
        <v/>
      </c>
      <c r="M14" s="20" t="str">
        <f aca="false">IF(AND(C14="",D14="",E14="",F14=""),"",IF(H14="Defeito","Defeito",IF(OR(H14="",H14="Não testado"),"Testar",IF(OR(D14="",E14="",F14=""),"Incompleto","OK"))))</f>
        <v/>
      </c>
      <c r="N14" s="5"/>
    </row>
    <row r="15" customFormat="false" ht="21.75" hidden="false" customHeight="true" outlineLevel="0" collapsed="false">
      <c r="B15" s="17" t="n">
        <v>3</v>
      </c>
      <c r="C15" s="5"/>
      <c r="D15" s="18"/>
      <c r="E15" s="18"/>
      <c r="F15" s="18"/>
      <c r="G15" s="18"/>
      <c r="H15" s="18"/>
      <c r="I15" s="19"/>
      <c r="J15" s="20" t="str">
        <f aca="false">IF(E15="","",IF(G15="Sem fio","Não",IF(E15="Condensador","Sim",IF(E15="Fita","Não: veja o manual","Não"))))</f>
        <v/>
      </c>
      <c r="K15" s="21" t="str">
        <f aca="false">IF(F15="","",IF(F15="Cardioide","180°, bem atrás",IF(F15="Supercardioide","cerca de 125°",IF(F15="Hipercardioide","cerca de 110°",IF(F15="Omni","não rejeita","90°, nos lados")))))</f>
        <v/>
      </c>
      <c r="L15" s="22" t="str">
        <f aca="false">IF(F15="","",IF(F15="Cardioide","Bem atrás do microfone",IF(OR(F15="Supercardioide",F15="Hipercardioide"),"Em diagonal, nunca bem atrás",IF(F15="Omni","Longe: o microfone não rejeita","Em um dos lados"))))</f>
        <v/>
      </c>
      <c r="M15" s="20" t="str">
        <f aca="false">IF(AND(C15="",D15="",E15="",F15=""),"",IF(H15="Defeito","Defeito",IF(OR(H15="",H15="Não testado"),"Testar",IF(OR(D15="",E15="",F15=""),"Incompleto","OK"))))</f>
        <v/>
      </c>
      <c r="N15" s="5"/>
    </row>
    <row r="16" customFormat="false" ht="21.75" hidden="false" customHeight="true" outlineLevel="0" collapsed="false">
      <c r="B16" s="17" t="n">
        <v>4</v>
      </c>
      <c r="C16" s="5"/>
      <c r="D16" s="18"/>
      <c r="E16" s="18"/>
      <c r="F16" s="18"/>
      <c r="G16" s="18"/>
      <c r="H16" s="18"/>
      <c r="I16" s="19"/>
      <c r="J16" s="20" t="str">
        <f aca="false">IF(E16="","",IF(G16="Sem fio","Não",IF(E16="Condensador","Sim",IF(E16="Fita","Não: veja o manual","Não"))))</f>
        <v/>
      </c>
      <c r="K16" s="21" t="str">
        <f aca="false">IF(F16="","",IF(F16="Cardioide","180°, bem atrás",IF(F16="Supercardioide","cerca de 125°",IF(F16="Hipercardioide","cerca de 110°",IF(F16="Omni","não rejeita","90°, nos lados")))))</f>
        <v/>
      </c>
      <c r="L16" s="22" t="str">
        <f aca="false">IF(F16="","",IF(F16="Cardioide","Bem atrás do microfone",IF(OR(F16="Supercardioide",F16="Hipercardioide"),"Em diagonal, nunca bem atrás",IF(F16="Omni","Longe: o microfone não rejeita","Em um dos lados"))))</f>
        <v/>
      </c>
      <c r="M16" s="20" t="str">
        <f aca="false">IF(AND(C16="",D16="",E16="",F16=""),"",IF(H16="Defeito","Defeito",IF(OR(H16="",H16="Não testado"),"Testar",IF(OR(D16="",E16="",F16=""),"Incompleto","OK"))))</f>
        <v/>
      </c>
      <c r="N16" s="5"/>
    </row>
    <row r="17" customFormat="false" ht="21.75" hidden="false" customHeight="true" outlineLevel="0" collapsed="false">
      <c r="B17" s="17" t="n">
        <v>5</v>
      </c>
      <c r="C17" s="5"/>
      <c r="D17" s="18"/>
      <c r="E17" s="18"/>
      <c r="F17" s="18"/>
      <c r="G17" s="18"/>
      <c r="H17" s="18"/>
      <c r="I17" s="19"/>
      <c r="J17" s="20" t="str">
        <f aca="false">IF(E17="","",IF(G17="Sem fio","Não",IF(E17="Condensador","Sim",IF(E17="Fita","Não: veja o manual","Não"))))</f>
        <v/>
      </c>
      <c r="K17" s="21" t="str">
        <f aca="false">IF(F17="","",IF(F17="Cardioide","180°, bem atrás",IF(F17="Supercardioide","cerca de 125°",IF(F17="Hipercardioide","cerca de 110°",IF(F17="Omni","não rejeita","90°, nos lados")))))</f>
        <v/>
      </c>
      <c r="L17" s="22" t="str">
        <f aca="false">IF(F17="","",IF(F17="Cardioide","Bem atrás do microfone",IF(OR(F17="Supercardioide",F17="Hipercardioide"),"Em diagonal, nunca bem atrás",IF(F17="Omni","Longe: o microfone não rejeita","Em um dos lados"))))</f>
        <v/>
      </c>
      <c r="M17" s="20" t="str">
        <f aca="false">IF(AND(C17="",D17="",E17="",F17=""),"",IF(H17="Defeito","Defeito",IF(OR(H17="",H17="Não testado"),"Testar",IF(OR(D17="",E17="",F17=""),"Incompleto","OK"))))</f>
        <v/>
      </c>
      <c r="N17" s="5"/>
    </row>
    <row r="18" customFormat="false" ht="21.75" hidden="false" customHeight="true" outlineLevel="0" collapsed="false">
      <c r="B18" s="17" t="n">
        <v>6</v>
      </c>
      <c r="C18" s="5"/>
      <c r="D18" s="18"/>
      <c r="E18" s="18"/>
      <c r="F18" s="18"/>
      <c r="G18" s="18"/>
      <c r="H18" s="18"/>
      <c r="I18" s="19"/>
      <c r="J18" s="20" t="str">
        <f aca="false">IF(E18="","",IF(G18="Sem fio","Não",IF(E18="Condensador","Sim",IF(E18="Fita","Não: veja o manual","Não"))))</f>
        <v/>
      </c>
      <c r="K18" s="21" t="str">
        <f aca="false">IF(F18="","",IF(F18="Cardioide","180°, bem atrás",IF(F18="Supercardioide","cerca de 125°",IF(F18="Hipercardioide","cerca de 110°",IF(F18="Omni","não rejeita","90°, nos lados")))))</f>
        <v/>
      </c>
      <c r="L18" s="22" t="str">
        <f aca="false">IF(F18="","",IF(F18="Cardioide","Bem atrás do microfone",IF(OR(F18="Supercardioide",F18="Hipercardioide"),"Em diagonal, nunca bem atrás",IF(F18="Omni","Longe: o microfone não rejeita","Em um dos lados"))))</f>
        <v/>
      </c>
      <c r="M18" s="20" t="str">
        <f aca="false">IF(AND(C18="",D18="",E18="",F18=""),"",IF(H18="Defeito","Defeito",IF(OR(H18="",H18="Não testado"),"Testar",IF(OR(D18="",E18="",F18=""),"Incompleto","OK"))))</f>
        <v/>
      </c>
      <c r="N18" s="5"/>
    </row>
    <row r="19" customFormat="false" ht="21.75" hidden="false" customHeight="true" outlineLevel="0" collapsed="false">
      <c r="B19" s="17" t="n">
        <v>7</v>
      </c>
      <c r="C19" s="5"/>
      <c r="D19" s="18"/>
      <c r="E19" s="18"/>
      <c r="F19" s="18"/>
      <c r="G19" s="18"/>
      <c r="H19" s="18"/>
      <c r="I19" s="19"/>
      <c r="J19" s="20" t="str">
        <f aca="false">IF(E19="","",IF(G19="Sem fio","Não",IF(E19="Condensador","Sim",IF(E19="Fita","Não: veja o manual","Não"))))</f>
        <v/>
      </c>
      <c r="K19" s="21" t="str">
        <f aca="false">IF(F19="","",IF(F19="Cardioide","180°, bem atrás",IF(F19="Supercardioide","cerca de 125°",IF(F19="Hipercardioide","cerca de 110°",IF(F19="Omni","não rejeita","90°, nos lados")))))</f>
        <v/>
      </c>
      <c r="L19" s="22" t="str">
        <f aca="false">IF(F19="","",IF(F19="Cardioide","Bem atrás do microfone",IF(OR(F19="Supercardioide",F19="Hipercardioide"),"Em diagonal, nunca bem atrás",IF(F19="Omni","Longe: o microfone não rejeita","Em um dos lados"))))</f>
        <v/>
      </c>
      <c r="M19" s="20" t="str">
        <f aca="false">IF(AND(C19="",D19="",E19="",F19=""),"",IF(H19="Defeito","Defeito",IF(OR(H19="",H19="Não testado"),"Testar",IF(OR(D19="",E19="",F19=""),"Incompleto","OK"))))</f>
        <v/>
      </c>
      <c r="N19" s="5"/>
    </row>
    <row r="20" customFormat="false" ht="21.75" hidden="false" customHeight="true" outlineLevel="0" collapsed="false">
      <c r="B20" s="17" t="n">
        <v>8</v>
      </c>
      <c r="C20" s="5"/>
      <c r="D20" s="18"/>
      <c r="E20" s="18"/>
      <c r="F20" s="18"/>
      <c r="G20" s="18"/>
      <c r="H20" s="18"/>
      <c r="I20" s="19"/>
      <c r="J20" s="20" t="str">
        <f aca="false">IF(E20="","",IF(G20="Sem fio","Não",IF(E20="Condensador","Sim",IF(E20="Fita","Não: veja o manual","Não"))))</f>
        <v/>
      </c>
      <c r="K20" s="21" t="str">
        <f aca="false">IF(F20="","",IF(F20="Cardioide","180°, bem atrás",IF(F20="Supercardioide","cerca de 125°",IF(F20="Hipercardioide","cerca de 110°",IF(F20="Omni","não rejeita","90°, nos lados")))))</f>
        <v/>
      </c>
      <c r="L20" s="22" t="str">
        <f aca="false">IF(F20="","",IF(F20="Cardioide","Bem atrás do microfone",IF(OR(F20="Supercardioide",F20="Hipercardioide"),"Em diagonal, nunca bem atrás",IF(F20="Omni","Longe: o microfone não rejeita","Em um dos lados"))))</f>
        <v/>
      </c>
      <c r="M20" s="20" t="str">
        <f aca="false">IF(AND(C20="",D20="",E20="",F20=""),"",IF(H20="Defeito","Defeito",IF(OR(H20="",H20="Não testado"),"Testar",IF(OR(D20="",E20="",F20=""),"Incompleto","OK"))))</f>
        <v/>
      </c>
      <c r="N20" s="5"/>
    </row>
    <row r="21" customFormat="false" ht="21.75" hidden="false" customHeight="true" outlineLevel="0" collapsed="false">
      <c r="B21" s="17" t="n">
        <v>9</v>
      </c>
      <c r="C21" s="5"/>
      <c r="D21" s="18"/>
      <c r="E21" s="18"/>
      <c r="F21" s="18"/>
      <c r="G21" s="18"/>
      <c r="H21" s="18"/>
      <c r="I21" s="19"/>
      <c r="J21" s="20" t="str">
        <f aca="false">IF(E21="","",IF(G21="Sem fio","Não",IF(E21="Condensador","Sim",IF(E21="Fita","Não: veja o manual","Não"))))</f>
        <v/>
      </c>
      <c r="K21" s="21" t="str">
        <f aca="false">IF(F21="","",IF(F21="Cardioide","180°, bem atrás",IF(F21="Supercardioide","cerca de 125°",IF(F21="Hipercardioide","cerca de 110°",IF(F21="Omni","não rejeita","90°, nos lados")))))</f>
        <v/>
      </c>
      <c r="L21" s="22" t="str">
        <f aca="false">IF(F21="","",IF(F21="Cardioide","Bem atrás do microfone",IF(OR(F21="Supercardioide",F21="Hipercardioide"),"Em diagonal, nunca bem atrás",IF(F21="Omni","Longe: o microfone não rejeita","Em um dos lados"))))</f>
        <v/>
      </c>
      <c r="M21" s="20" t="str">
        <f aca="false">IF(AND(C21="",D21="",E21="",F21=""),"",IF(H21="Defeito","Defeito",IF(OR(H21="",H21="Não testado"),"Testar",IF(OR(D21="",E21="",F21=""),"Incompleto","OK"))))</f>
        <v/>
      </c>
      <c r="N21" s="5"/>
    </row>
    <row r="22" customFormat="false" ht="21.75" hidden="false" customHeight="true" outlineLevel="0" collapsed="false">
      <c r="B22" s="17" t="n">
        <v>10</v>
      </c>
      <c r="C22" s="5"/>
      <c r="D22" s="18"/>
      <c r="E22" s="18"/>
      <c r="F22" s="18"/>
      <c r="G22" s="18"/>
      <c r="H22" s="18"/>
      <c r="I22" s="19"/>
      <c r="J22" s="20" t="str">
        <f aca="false">IF(E22="","",IF(G22="Sem fio","Não",IF(E22="Condensador","Sim",IF(E22="Fita","Não: veja o manual","Não"))))</f>
        <v/>
      </c>
      <c r="K22" s="21" t="str">
        <f aca="false">IF(F22="","",IF(F22="Cardioide","180°, bem atrás",IF(F22="Supercardioide","cerca de 125°",IF(F22="Hipercardioide","cerca de 110°",IF(F22="Omni","não rejeita","90°, nos lados")))))</f>
        <v/>
      </c>
      <c r="L22" s="22" t="str">
        <f aca="false">IF(F22="","",IF(F22="Cardioide","Bem atrás do microfone",IF(OR(F22="Supercardioide",F22="Hipercardioide"),"Em diagonal, nunca bem atrás",IF(F22="Omni","Longe: o microfone não rejeita","Em um dos lados"))))</f>
        <v/>
      </c>
      <c r="M22" s="20" t="str">
        <f aca="false">IF(AND(C22="",D22="",E22="",F22=""),"",IF(H22="Defeito","Defeito",IF(OR(H22="",H22="Não testado"),"Testar",IF(OR(D22="",E22="",F22=""),"Incompleto","OK"))))</f>
        <v/>
      </c>
      <c r="N22" s="5"/>
    </row>
    <row r="23" customFormat="false" ht="21.75" hidden="false" customHeight="true" outlineLevel="0" collapsed="false">
      <c r="B23" s="17" t="n">
        <v>11</v>
      </c>
      <c r="C23" s="5"/>
      <c r="D23" s="18"/>
      <c r="E23" s="18"/>
      <c r="F23" s="18"/>
      <c r="G23" s="18"/>
      <c r="H23" s="18"/>
      <c r="I23" s="19"/>
      <c r="J23" s="20" t="str">
        <f aca="false">IF(E23="","",IF(G23="Sem fio","Não",IF(E23="Condensador","Sim",IF(E23="Fita","Não: veja o manual","Não"))))</f>
        <v/>
      </c>
      <c r="K23" s="21" t="str">
        <f aca="false">IF(F23="","",IF(F23="Cardioide","180°, bem atrás",IF(F23="Supercardioide","cerca de 125°",IF(F23="Hipercardioide","cerca de 110°",IF(F23="Omni","não rejeita","90°, nos lados")))))</f>
        <v/>
      </c>
      <c r="L23" s="22" t="str">
        <f aca="false">IF(F23="","",IF(F23="Cardioide","Bem atrás do microfone",IF(OR(F23="Supercardioide",F23="Hipercardioide"),"Em diagonal, nunca bem atrás",IF(F23="Omni","Longe: o microfone não rejeita","Em um dos lados"))))</f>
        <v/>
      </c>
      <c r="M23" s="20" t="str">
        <f aca="false">IF(AND(C23="",D23="",E23="",F23=""),"",IF(H23="Defeito","Defeito",IF(OR(H23="",H23="Não testado"),"Testar",IF(OR(D23="",E23="",F23=""),"Incompleto","OK"))))</f>
        <v/>
      </c>
      <c r="N23" s="5"/>
    </row>
    <row r="24" customFormat="false" ht="21.75" hidden="false" customHeight="true" outlineLevel="0" collapsed="false">
      <c r="B24" s="17" t="n">
        <v>12</v>
      </c>
      <c r="C24" s="5"/>
      <c r="D24" s="18"/>
      <c r="E24" s="18"/>
      <c r="F24" s="18"/>
      <c r="G24" s="18"/>
      <c r="H24" s="18"/>
      <c r="I24" s="19"/>
      <c r="J24" s="20" t="str">
        <f aca="false">IF(E24="","",IF(G24="Sem fio","Não",IF(E24="Condensador","Sim",IF(E24="Fita","Não: veja o manual","Não"))))</f>
        <v/>
      </c>
      <c r="K24" s="21" t="str">
        <f aca="false">IF(F24="","",IF(F24="Cardioide","180°, bem atrás",IF(F24="Supercardioide","cerca de 125°",IF(F24="Hipercardioide","cerca de 110°",IF(F24="Omni","não rejeita","90°, nos lados")))))</f>
        <v/>
      </c>
      <c r="L24" s="22" t="str">
        <f aca="false">IF(F24="","",IF(F24="Cardioide","Bem atrás do microfone",IF(OR(F24="Supercardioide",F24="Hipercardioide"),"Em diagonal, nunca bem atrás",IF(F24="Omni","Longe: o microfone não rejeita","Em um dos lados"))))</f>
        <v/>
      </c>
      <c r="M24" s="20" t="str">
        <f aca="false">IF(AND(C24="",D24="",E24="",F24=""),"",IF(H24="Defeito","Defeito",IF(OR(H24="",H24="Não testado"),"Testar",IF(OR(D24="",E24="",F24=""),"Incompleto","OK"))))</f>
        <v/>
      </c>
      <c r="N24" s="5"/>
    </row>
    <row r="25" customFormat="false" ht="21.75" hidden="false" customHeight="true" outlineLevel="0" collapsed="false">
      <c r="B25" s="17" t="n">
        <v>13</v>
      </c>
      <c r="C25" s="5"/>
      <c r="D25" s="18"/>
      <c r="E25" s="18"/>
      <c r="F25" s="18"/>
      <c r="G25" s="18"/>
      <c r="H25" s="18"/>
      <c r="I25" s="19"/>
      <c r="J25" s="20" t="str">
        <f aca="false">IF(E25="","",IF(G25="Sem fio","Não",IF(E25="Condensador","Sim",IF(E25="Fita","Não: veja o manual","Não"))))</f>
        <v/>
      </c>
      <c r="K25" s="21" t="str">
        <f aca="false">IF(F25="","",IF(F25="Cardioide","180°, bem atrás",IF(F25="Supercardioide","cerca de 125°",IF(F25="Hipercardioide","cerca de 110°",IF(F25="Omni","não rejeita","90°, nos lados")))))</f>
        <v/>
      </c>
      <c r="L25" s="22" t="str">
        <f aca="false">IF(F25="","",IF(F25="Cardioide","Bem atrás do microfone",IF(OR(F25="Supercardioide",F25="Hipercardioide"),"Em diagonal, nunca bem atrás",IF(F25="Omni","Longe: o microfone não rejeita","Em um dos lados"))))</f>
        <v/>
      </c>
      <c r="M25" s="20" t="str">
        <f aca="false">IF(AND(C25="",D25="",E25="",F25=""),"",IF(H25="Defeito","Defeito",IF(OR(H25="",H25="Não testado"),"Testar",IF(OR(D25="",E25="",F25=""),"Incompleto","OK"))))</f>
        <v/>
      </c>
      <c r="N25" s="5"/>
    </row>
    <row r="26" customFormat="false" ht="21.75" hidden="false" customHeight="true" outlineLevel="0" collapsed="false">
      <c r="B26" s="17" t="n">
        <v>14</v>
      </c>
      <c r="C26" s="5"/>
      <c r="D26" s="18"/>
      <c r="E26" s="18"/>
      <c r="F26" s="18"/>
      <c r="G26" s="18"/>
      <c r="H26" s="18"/>
      <c r="I26" s="19"/>
      <c r="J26" s="20" t="str">
        <f aca="false">IF(E26="","",IF(G26="Sem fio","Não",IF(E26="Condensador","Sim",IF(E26="Fita","Não: veja o manual","Não"))))</f>
        <v/>
      </c>
      <c r="K26" s="21" t="str">
        <f aca="false">IF(F26="","",IF(F26="Cardioide","180°, bem atrás",IF(F26="Supercardioide","cerca de 125°",IF(F26="Hipercardioide","cerca de 110°",IF(F26="Omni","não rejeita","90°, nos lados")))))</f>
        <v/>
      </c>
      <c r="L26" s="22" t="str">
        <f aca="false">IF(F26="","",IF(F26="Cardioide","Bem atrás do microfone",IF(OR(F26="Supercardioide",F26="Hipercardioide"),"Em diagonal, nunca bem atrás",IF(F26="Omni","Longe: o microfone não rejeita","Em um dos lados"))))</f>
        <v/>
      </c>
      <c r="M26" s="20" t="str">
        <f aca="false">IF(AND(C26="",D26="",E26="",F26=""),"",IF(H26="Defeito","Defeito",IF(OR(H26="",H26="Não testado"),"Testar",IF(OR(D26="",E26="",F26=""),"Incompleto","OK"))))</f>
        <v/>
      </c>
      <c r="N26" s="5"/>
    </row>
    <row r="27" customFormat="false" ht="21.75" hidden="false" customHeight="true" outlineLevel="0" collapsed="false">
      <c r="B27" s="17" t="n">
        <v>15</v>
      </c>
      <c r="C27" s="5"/>
      <c r="D27" s="18"/>
      <c r="E27" s="18"/>
      <c r="F27" s="18"/>
      <c r="G27" s="18"/>
      <c r="H27" s="18"/>
      <c r="I27" s="19"/>
      <c r="J27" s="20" t="str">
        <f aca="false">IF(E27="","",IF(G27="Sem fio","Não",IF(E27="Condensador","Sim",IF(E27="Fita","Não: veja o manual","Não"))))</f>
        <v/>
      </c>
      <c r="K27" s="21" t="str">
        <f aca="false">IF(F27="","",IF(F27="Cardioide","180°, bem atrás",IF(F27="Supercardioide","cerca de 125°",IF(F27="Hipercardioide","cerca de 110°",IF(F27="Omni","não rejeita","90°, nos lados")))))</f>
        <v/>
      </c>
      <c r="L27" s="22" t="str">
        <f aca="false">IF(F27="","",IF(F27="Cardioide","Bem atrás do microfone",IF(OR(F27="Supercardioide",F27="Hipercardioide"),"Em diagonal, nunca bem atrás",IF(F27="Omni","Longe: o microfone não rejeita","Em um dos lados"))))</f>
        <v/>
      </c>
      <c r="M27" s="20" t="str">
        <f aca="false">IF(AND(C27="",D27="",E27="",F27=""),"",IF(H27="Defeito","Defeito",IF(OR(H27="",H27="Não testado"),"Testar",IF(OR(D27="",E27="",F27=""),"Incompleto","OK"))))</f>
        <v/>
      </c>
      <c r="N27" s="5"/>
    </row>
    <row r="28" customFormat="false" ht="21.75" hidden="false" customHeight="true" outlineLevel="0" collapsed="false">
      <c r="B28" s="17" t="n">
        <v>16</v>
      </c>
      <c r="C28" s="5"/>
      <c r="D28" s="18"/>
      <c r="E28" s="18"/>
      <c r="F28" s="18"/>
      <c r="G28" s="18"/>
      <c r="H28" s="18"/>
      <c r="I28" s="19"/>
      <c r="J28" s="20" t="str">
        <f aca="false">IF(E28="","",IF(G28="Sem fio","Não",IF(E28="Condensador","Sim",IF(E28="Fita","Não: veja o manual","Não"))))</f>
        <v/>
      </c>
      <c r="K28" s="21" t="str">
        <f aca="false">IF(F28="","",IF(F28="Cardioide","180°, bem atrás",IF(F28="Supercardioide","cerca de 125°",IF(F28="Hipercardioide","cerca de 110°",IF(F28="Omni","não rejeita","90°, nos lados")))))</f>
        <v/>
      </c>
      <c r="L28" s="22" t="str">
        <f aca="false">IF(F28="","",IF(F28="Cardioide","Bem atrás do microfone",IF(OR(F28="Supercardioide",F28="Hipercardioide"),"Em diagonal, nunca bem atrás",IF(F28="Omni","Longe: o microfone não rejeita","Em um dos lados"))))</f>
        <v/>
      </c>
      <c r="M28" s="20" t="str">
        <f aca="false">IF(AND(C28="",D28="",E28="",F28=""),"",IF(H28="Defeito","Defeito",IF(OR(H28="",H28="Não testado"),"Testar",IF(OR(D28="",E28="",F28=""),"Incompleto","OK"))))</f>
        <v/>
      </c>
      <c r="N28" s="5"/>
    </row>
    <row r="29" customFormat="false" ht="21.75" hidden="false" customHeight="true" outlineLevel="0" collapsed="false">
      <c r="B29" s="17" t="n">
        <v>17</v>
      </c>
      <c r="C29" s="5"/>
      <c r="D29" s="18"/>
      <c r="E29" s="18"/>
      <c r="F29" s="18"/>
      <c r="G29" s="18"/>
      <c r="H29" s="18"/>
      <c r="I29" s="19"/>
      <c r="J29" s="20" t="str">
        <f aca="false">IF(E29="","",IF(G29="Sem fio","Não",IF(E29="Condensador","Sim",IF(E29="Fita","Não: veja o manual","Não"))))</f>
        <v/>
      </c>
      <c r="K29" s="21" t="str">
        <f aca="false">IF(F29="","",IF(F29="Cardioide","180°, bem atrás",IF(F29="Supercardioide","cerca de 125°",IF(F29="Hipercardioide","cerca de 110°",IF(F29="Omni","não rejeita","90°, nos lados")))))</f>
        <v/>
      </c>
      <c r="L29" s="22" t="str">
        <f aca="false">IF(F29="","",IF(F29="Cardioide","Bem atrás do microfone",IF(OR(F29="Supercardioide",F29="Hipercardioide"),"Em diagonal, nunca bem atrás",IF(F29="Omni","Longe: o microfone não rejeita","Em um dos lados"))))</f>
        <v/>
      </c>
      <c r="M29" s="20" t="str">
        <f aca="false">IF(AND(C29="",D29="",E29="",F29=""),"",IF(H29="Defeito","Defeito",IF(OR(H29="",H29="Não testado"),"Testar",IF(OR(D29="",E29="",F29=""),"Incompleto","OK"))))</f>
        <v/>
      </c>
      <c r="N29" s="5"/>
    </row>
    <row r="30" customFormat="false" ht="21.75" hidden="false" customHeight="true" outlineLevel="0" collapsed="false">
      <c r="B30" s="17" t="n">
        <v>18</v>
      </c>
      <c r="C30" s="5"/>
      <c r="D30" s="18"/>
      <c r="E30" s="18"/>
      <c r="F30" s="18"/>
      <c r="G30" s="18"/>
      <c r="H30" s="18"/>
      <c r="I30" s="19"/>
      <c r="J30" s="20" t="str">
        <f aca="false">IF(E30="","",IF(G30="Sem fio","Não",IF(E30="Condensador","Sim",IF(E30="Fita","Não: veja o manual","Não"))))</f>
        <v/>
      </c>
      <c r="K30" s="21" t="str">
        <f aca="false">IF(F30="","",IF(F30="Cardioide","180°, bem atrás",IF(F30="Supercardioide","cerca de 125°",IF(F30="Hipercardioide","cerca de 110°",IF(F30="Omni","não rejeita","90°, nos lados")))))</f>
        <v/>
      </c>
      <c r="L30" s="22" t="str">
        <f aca="false">IF(F30="","",IF(F30="Cardioide","Bem atrás do microfone",IF(OR(F30="Supercardioide",F30="Hipercardioide"),"Em diagonal, nunca bem atrás",IF(F30="Omni","Longe: o microfone não rejeita","Em um dos lados"))))</f>
        <v/>
      </c>
      <c r="M30" s="20" t="str">
        <f aca="false">IF(AND(C30="",D30="",E30="",F30=""),"",IF(H30="Defeito","Defeito",IF(OR(H30="",H30="Não testado"),"Testar",IF(OR(D30="",E30="",F30=""),"Incompleto","OK"))))</f>
        <v/>
      </c>
      <c r="N30" s="5"/>
    </row>
    <row r="31" customFormat="false" ht="21.75" hidden="false" customHeight="true" outlineLevel="0" collapsed="false">
      <c r="B31" s="17" t="n">
        <v>19</v>
      </c>
      <c r="C31" s="5"/>
      <c r="D31" s="18"/>
      <c r="E31" s="18"/>
      <c r="F31" s="18"/>
      <c r="G31" s="18"/>
      <c r="H31" s="18"/>
      <c r="I31" s="19"/>
      <c r="J31" s="20" t="str">
        <f aca="false">IF(E31="","",IF(G31="Sem fio","Não",IF(E31="Condensador","Sim",IF(E31="Fita","Não: veja o manual","Não"))))</f>
        <v/>
      </c>
      <c r="K31" s="21" t="str">
        <f aca="false">IF(F31="","",IF(F31="Cardioide","180°, bem atrás",IF(F31="Supercardioide","cerca de 125°",IF(F31="Hipercardioide","cerca de 110°",IF(F31="Omni","não rejeita","90°, nos lados")))))</f>
        <v/>
      </c>
      <c r="L31" s="22" t="str">
        <f aca="false">IF(F31="","",IF(F31="Cardioide","Bem atrás do microfone",IF(OR(F31="Supercardioide",F31="Hipercardioide"),"Em diagonal, nunca bem atrás",IF(F31="Omni","Longe: o microfone não rejeita","Em um dos lados"))))</f>
        <v/>
      </c>
      <c r="M31" s="20" t="str">
        <f aca="false">IF(AND(C31="",D31="",E31="",F31=""),"",IF(H31="Defeito","Defeito",IF(OR(H31="",H31="Não testado"),"Testar",IF(OR(D31="",E31="",F31=""),"Incompleto","OK"))))</f>
        <v/>
      </c>
      <c r="N31" s="5"/>
    </row>
    <row r="32" customFormat="false" ht="21.75" hidden="false" customHeight="true" outlineLevel="0" collapsed="false">
      <c r="B32" s="17" t="n">
        <v>20</v>
      </c>
      <c r="C32" s="5"/>
      <c r="D32" s="18"/>
      <c r="E32" s="18"/>
      <c r="F32" s="18"/>
      <c r="G32" s="18"/>
      <c r="H32" s="18"/>
      <c r="I32" s="19"/>
      <c r="J32" s="20" t="str">
        <f aca="false">IF(E32="","",IF(G32="Sem fio","Não",IF(E32="Condensador","Sim",IF(E32="Fita","Não: veja o manual","Não"))))</f>
        <v/>
      </c>
      <c r="K32" s="21" t="str">
        <f aca="false">IF(F32="","",IF(F32="Cardioide","180°, bem atrás",IF(F32="Supercardioide","cerca de 125°",IF(F32="Hipercardioide","cerca de 110°",IF(F32="Omni","não rejeita","90°, nos lados")))))</f>
        <v/>
      </c>
      <c r="L32" s="22" t="str">
        <f aca="false">IF(F32="","",IF(F32="Cardioide","Bem atrás do microfone",IF(OR(F32="Supercardioide",F32="Hipercardioide"),"Em diagonal, nunca bem atrás",IF(F32="Omni","Longe: o microfone não rejeita","Em um dos lados"))))</f>
        <v/>
      </c>
      <c r="M32" s="20" t="str">
        <f aca="false">IF(AND(C32="",D32="",E32="",F32=""),"",IF(H32="Defeito","Defeito",IF(OR(H32="",H32="Não testado"),"Testar",IF(OR(D32="",E32="",F32=""),"Incompleto","OK"))))</f>
        <v/>
      </c>
      <c r="N32" s="5"/>
    </row>
    <row r="33" customFormat="false" ht="21.75" hidden="false" customHeight="true" outlineLevel="0" collapsed="false">
      <c r="B33" s="17" t="n">
        <v>21</v>
      </c>
      <c r="C33" s="5"/>
      <c r="D33" s="18"/>
      <c r="E33" s="18"/>
      <c r="F33" s="18"/>
      <c r="G33" s="18"/>
      <c r="H33" s="18"/>
      <c r="I33" s="19"/>
      <c r="J33" s="20" t="str">
        <f aca="false">IF(E33="","",IF(G33="Sem fio","Não",IF(E33="Condensador","Sim",IF(E33="Fita","Não: veja o manual","Não"))))</f>
        <v/>
      </c>
      <c r="K33" s="21" t="str">
        <f aca="false">IF(F33="","",IF(F33="Cardioide","180°, bem atrás",IF(F33="Supercardioide","cerca de 125°",IF(F33="Hipercardioide","cerca de 110°",IF(F33="Omni","não rejeita","90°, nos lados")))))</f>
        <v/>
      </c>
      <c r="L33" s="22" t="str">
        <f aca="false">IF(F33="","",IF(F33="Cardioide","Bem atrás do microfone",IF(OR(F33="Supercardioide",F33="Hipercardioide"),"Em diagonal, nunca bem atrás",IF(F33="Omni","Longe: o microfone não rejeita","Em um dos lados"))))</f>
        <v/>
      </c>
      <c r="M33" s="20" t="str">
        <f aca="false">IF(AND(C33="",D33="",E33="",F33=""),"",IF(H33="Defeito","Defeito",IF(OR(H33="",H33="Não testado"),"Testar",IF(OR(D33="",E33="",F33=""),"Incompleto","OK"))))</f>
        <v/>
      </c>
      <c r="N33" s="5"/>
    </row>
    <row r="34" customFormat="false" ht="21.75" hidden="false" customHeight="true" outlineLevel="0" collapsed="false">
      <c r="B34" s="17" t="n">
        <v>22</v>
      </c>
      <c r="C34" s="5"/>
      <c r="D34" s="18"/>
      <c r="E34" s="18"/>
      <c r="F34" s="18"/>
      <c r="G34" s="18"/>
      <c r="H34" s="18"/>
      <c r="I34" s="19"/>
      <c r="J34" s="20" t="str">
        <f aca="false">IF(E34="","",IF(G34="Sem fio","Não",IF(E34="Condensador","Sim",IF(E34="Fita","Não: veja o manual","Não"))))</f>
        <v/>
      </c>
      <c r="K34" s="21" t="str">
        <f aca="false">IF(F34="","",IF(F34="Cardioide","180°, bem atrás",IF(F34="Supercardioide","cerca de 125°",IF(F34="Hipercardioide","cerca de 110°",IF(F34="Omni","não rejeita","90°, nos lados")))))</f>
        <v/>
      </c>
      <c r="L34" s="22" t="str">
        <f aca="false">IF(F34="","",IF(F34="Cardioide","Bem atrás do microfone",IF(OR(F34="Supercardioide",F34="Hipercardioide"),"Em diagonal, nunca bem atrás",IF(F34="Omni","Longe: o microfone não rejeita","Em um dos lados"))))</f>
        <v/>
      </c>
      <c r="M34" s="20" t="str">
        <f aca="false">IF(AND(C34="",D34="",E34="",F34=""),"",IF(H34="Defeito","Defeito",IF(OR(H34="",H34="Não testado"),"Testar",IF(OR(D34="",E34="",F34=""),"Incompleto","OK"))))</f>
        <v/>
      </c>
      <c r="N34" s="5"/>
    </row>
    <row r="35" customFormat="false" ht="21.75" hidden="false" customHeight="true" outlineLevel="0" collapsed="false">
      <c r="B35" s="17" t="n">
        <v>23</v>
      </c>
      <c r="C35" s="5"/>
      <c r="D35" s="18"/>
      <c r="E35" s="18"/>
      <c r="F35" s="18"/>
      <c r="G35" s="18"/>
      <c r="H35" s="18"/>
      <c r="I35" s="19"/>
      <c r="J35" s="20" t="str">
        <f aca="false">IF(E35="","",IF(G35="Sem fio","Não",IF(E35="Condensador","Sim",IF(E35="Fita","Não: veja o manual","Não"))))</f>
        <v/>
      </c>
      <c r="K35" s="21" t="str">
        <f aca="false">IF(F35="","",IF(F35="Cardioide","180°, bem atrás",IF(F35="Supercardioide","cerca de 125°",IF(F35="Hipercardioide","cerca de 110°",IF(F35="Omni","não rejeita","90°, nos lados")))))</f>
        <v/>
      </c>
      <c r="L35" s="22" t="str">
        <f aca="false">IF(F35="","",IF(F35="Cardioide","Bem atrás do microfone",IF(OR(F35="Supercardioide",F35="Hipercardioide"),"Em diagonal, nunca bem atrás",IF(F35="Omni","Longe: o microfone não rejeita","Em um dos lados"))))</f>
        <v/>
      </c>
      <c r="M35" s="20" t="str">
        <f aca="false">IF(AND(C35="",D35="",E35="",F35=""),"",IF(H35="Defeito","Defeito",IF(OR(H35="",H35="Não testado"),"Testar",IF(OR(D35="",E35="",F35=""),"Incompleto","OK"))))</f>
        <v/>
      </c>
      <c r="N35" s="5"/>
    </row>
    <row r="36" customFormat="false" ht="21.75" hidden="false" customHeight="true" outlineLevel="0" collapsed="false">
      <c r="B36" s="17" t="n">
        <v>24</v>
      </c>
      <c r="C36" s="5"/>
      <c r="D36" s="18"/>
      <c r="E36" s="18"/>
      <c r="F36" s="18"/>
      <c r="G36" s="18"/>
      <c r="H36" s="18"/>
      <c r="I36" s="19"/>
      <c r="J36" s="20" t="str">
        <f aca="false">IF(E36="","",IF(G36="Sem fio","Não",IF(E36="Condensador","Sim",IF(E36="Fita","Não: veja o manual","Não"))))</f>
        <v/>
      </c>
      <c r="K36" s="21" t="str">
        <f aca="false">IF(F36="","",IF(F36="Cardioide","180°, bem atrás",IF(F36="Supercardioide","cerca de 125°",IF(F36="Hipercardioide","cerca de 110°",IF(F36="Omni","não rejeita","90°, nos lados")))))</f>
        <v/>
      </c>
      <c r="L36" s="22" t="str">
        <f aca="false">IF(F36="","",IF(F36="Cardioide","Bem atrás do microfone",IF(OR(F36="Supercardioide",F36="Hipercardioide"),"Em diagonal, nunca bem atrás",IF(F36="Omni","Longe: o microfone não rejeita","Em um dos lados"))))</f>
        <v/>
      </c>
      <c r="M36" s="20" t="str">
        <f aca="false">IF(AND(C36="",D36="",E36="",F36=""),"",IF(H36="Defeito","Defeito",IF(OR(H36="",H36="Não testado"),"Testar",IF(OR(D36="",E36="",F36=""),"Incompleto","OK"))))</f>
        <v/>
      </c>
      <c r="N36" s="5"/>
    </row>
    <row r="37" customFormat="false" ht="21.75" hidden="false" customHeight="true" outlineLevel="0" collapsed="false">
      <c r="B37" s="17" t="n">
        <v>25</v>
      </c>
      <c r="C37" s="5"/>
      <c r="D37" s="18"/>
      <c r="E37" s="18"/>
      <c r="F37" s="18"/>
      <c r="G37" s="18"/>
      <c r="H37" s="18"/>
      <c r="I37" s="19"/>
      <c r="J37" s="20" t="str">
        <f aca="false">IF(E37="","",IF(G37="Sem fio","Não",IF(E37="Condensador","Sim",IF(E37="Fita","Não: veja o manual","Não"))))</f>
        <v/>
      </c>
      <c r="K37" s="21" t="str">
        <f aca="false">IF(F37="","",IF(F37="Cardioide","180°, bem atrás",IF(F37="Supercardioide","cerca de 125°",IF(F37="Hipercardioide","cerca de 110°",IF(F37="Omni","não rejeita","90°, nos lados")))))</f>
        <v/>
      </c>
      <c r="L37" s="22" t="str">
        <f aca="false">IF(F37="","",IF(F37="Cardioide","Bem atrás do microfone",IF(OR(F37="Supercardioide",F37="Hipercardioide"),"Em diagonal, nunca bem atrás",IF(F37="Omni","Longe: o microfone não rejeita","Em um dos lados"))))</f>
        <v/>
      </c>
      <c r="M37" s="20" t="str">
        <f aca="false">IF(AND(C37="",D37="",E37="",F37=""),"",IF(H37="Defeito","Defeito",IF(OR(H37="",H37="Não testado"),"Testar",IF(OR(D37="",E37="",F37=""),"Incompleto","OK"))))</f>
        <v/>
      </c>
      <c r="N37" s="5"/>
    </row>
    <row r="38" customFormat="false" ht="21.75" hidden="false" customHeight="true" outlineLevel="0" collapsed="false">
      <c r="B38" s="17" t="n">
        <v>26</v>
      </c>
      <c r="C38" s="5"/>
      <c r="D38" s="18"/>
      <c r="E38" s="18"/>
      <c r="F38" s="18"/>
      <c r="G38" s="18"/>
      <c r="H38" s="18"/>
      <c r="I38" s="19"/>
      <c r="J38" s="20" t="str">
        <f aca="false">IF(E38="","",IF(G38="Sem fio","Não",IF(E38="Condensador","Sim",IF(E38="Fita","Não: veja o manual","Não"))))</f>
        <v/>
      </c>
      <c r="K38" s="21" t="str">
        <f aca="false">IF(F38="","",IF(F38="Cardioide","180°, bem atrás",IF(F38="Supercardioide","cerca de 125°",IF(F38="Hipercardioide","cerca de 110°",IF(F38="Omni","não rejeita","90°, nos lados")))))</f>
        <v/>
      </c>
      <c r="L38" s="22" t="str">
        <f aca="false">IF(F38="","",IF(F38="Cardioide","Bem atrás do microfone",IF(OR(F38="Supercardioide",F38="Hipercardioide"),"Em diagonal, nunca bem atrás",IF(F38="Omni","Longe: o microfone não rejeita","Em um dos lados"))))</f>
        <v/>
      </c>
      <c r="M38" s="20" t="str">
        <f aca="false">IF(AND(C38="",D38="",E38="",F38=""),"",IF(H38="Defeito","Defeito",IF(OR(H38="",H38="Não testado"),"Testar",IF(OR(D38="",E38="",F38=""),"Incompleto","OK"))))</f>
        <v/>
      </c>
      <c r="N38" s="5"/>
    </row>
    <row r="39" customFormat="false" ht="21.75" hidden="false" customHeight="true" outlineLevel="0" collapsed="false">
      <c r="B39" s="17" t="n">
        <v>27</v>
      </c>
      <c r="C39" s="5"/>
      <c r="D39" s="18"/>
      <c r="E39" s="18"/>
      <c r="F39" s="18"/>
      <c r="G39" s="18"/>
      <c r="H39" s="18"/>
      <c r="I39" s="19"/>
      <c r="J39" s="20" t="str">
        <f aca="false">IF(E39="","",IF(G39="Sem fio","Não",IF(E39="Condensador","Sim",IF(E39="Fita","Não: veja o manual","Não"))))</f>
        <v/>
      </c>
      <c r="K39" s="21" t="str">
        <f aca="false">IF(F39="","",IF(F39="Cardioide","180°, bem atrás",IF(F39="Supercardioide","cerca de 125°",IF(F39="Hipercardioide","cerca de 110°",IF(F39="Omni","não rejeita","90°, nos lados")))))</f>
        <v/>
      </c>
      <c r="L39" s="22" t="str">
        <f aca="false">IF(F39="","",IF(F39="Cardioide","Bem atrás do microfone",IF(OR(F39="Supercardioide",F39="Hipercardioide"),"Em diagonal, nunca bem atrás",IF(F39="Omni","Longe: o microfone não rejeita","Em um dos lados"))))</f>
        <v/>
      </c>
      <c r="M39" s="20" t="str">
        <f aca="false">IF(AND(C39="",D39="",E39="",F39=""),"",IF(H39="Defeito","Defeito",IF(OR(H39="",H39="Não testado"),"Testar",IF(OR(D39="",E39="",F39=""),"Incompleto","OK"))))</f>
        <v/>
      </c>
      <c r="N39" s="5"/>
    </row>
    <row r="40" customFormat="false" ht="21.75" hidden="false" customHeight="true" outlineLevel="0" collapsed="false">
      <c r="B40" s="17" t="n">
        <v>28</v>
      </c>
      <c r="C40" s="5"/>
      <c r="D40" s="18"/>
      <c r="E40" s="18"/>
      <c r="F40" s="18"/>
      <c r="G40" s="18"/>
      <c r="H40" s="18"/>
      <c r="I40" s="19"/>
      <c r="J40" s="20" t="str">
        <f aca="false">IF(E40="","",IF(G40="Sem fio","Não",IF(E40="Condensador","Sim",IF(E40="Fita","Não: veja o manual","Não"))))</f>
        <v/>
      </c>
      <c r="K40" s="21" t="str">
        <f aca="false">IF(F40="","",IF(F40="Cardioide","180°, bem atrás",IF(F40="Supercardioide","cerca de 125°",IF(F40="Hipercardioide","cerca de 110°",IF(F40="Omni","não rejeita","90°, nos lados")))))</f>
        <v/>
      </c>
      <c r="L40" s="22" t="str">
        <f aca="false">IF(F40="","",IF(F40="Cardioide","Bem atrás do microfone",IF(OR(F40="Supercardioide",F40="Hipercardioide"),"Em diagonal, nunca bem atrás",IF(F40="Omni","Longe: o microfone não rejeita","Em um dos lados"))))</f>
        <v/>
      </c>
      <c r="M40" s="20" t="str">
        <f aca="false">IF(AND(C40="",D40="",E40="",F40=""),"",IF(H40="Defeito","Defeito",IF(OR(H40="",H40="Não testado"),"Testar",IF(OR(D40="",E40="",F40=""),"Incompleto","OK"))))</f>
        <v/>
      </c>
      <c r="N40" s="5"/>
    </row>
    <row r="41" customFormat="false" ht="21.75" hidden="false" customHeight="true" outlineLevel="0" collapsed="false">
      <c r="B41" s="17" t="n">
        <v>29</v>
      </c>
      <c r="C41" s="5"/>
      <c r="D41" s="18"/>
      <c r="E41" s="18"/>
      <c r="F41" s="18"/>
      <c r="G41" s="18"/>
      <c r="H41" s="18"/>
      <c r="I41" s="19"/>
      <c r="J41" s="20" t="str">
        <f aca="false">IF(E41="","",IF(G41="Sem fio","Não",IF(E41="Condensador","Sim",IF(E41="Fita","Não: veja o manual","Não"))))</f>
        <v/>
      </c>
      <c r="K41" s="21" t="str">
        <f aca="false">IF(F41="","",IF(F41="Cardioide","180°, bem atrás",IF(F41="Supercardioide","cerca de 125°",IF(F41="Hipercardioide","cerca de 110°",IF(F41="Omni","não rejeita","90°, nos lados")))))</f>
        <v/>
      </c>
      <c r="L41" s="22" t="str">
        <f aca="false">IF(F41="","",IF(F41="Cardioide","Bem atrás do microfone",IF(OR(F41="Supercardioide",F41="Hipercardioide"),"Em diagonal, nunca bem atrás",IF(F41="Omni","Longe: o microfone não rejeita","Em um dos lados"))))</f>
        <v/>
      </c>
      <c r="M41" s="20" t="str">
        <f aca="false">IF(AND(C41="",D41="",E41="",F41=""),"",IF(H41="Defeito","Defeito",IF(OR(H41="",H41="Não testado"),"Testar",IF(OR(D41="",E41="",F41=""),"Incompleto","OK"))))</f>
        <v/>
      </c>
      <c r="N41" s="5"/>
    </row>
    <row r="42" customFormat="false" ht="21.75" hidden="false" customHeight="true" outlineLevel="0" collapsed="false">
      <c r="B42" s="17" t="n">
        <v>30</v>
      </c>
      <c r="C42" s="5"/>
      <c r="D42" s="18"/>
      <c r="E42" s="18"/>
      <c r="F42" s="18"/>
      <c r="G42" s="18"/>
      <c r="H42" s="18"/>
      <c r="I42" s="19"/>
      <c r="J42" s="20" t="str">
        <f aca="false">IF(E42="","",IF(G42="Sem fio","Não",IF(E42="Condensador","Sim",IF(E42="Fita","Não: veja o manual","Não"))))</f>
        <v/>
      </c>
      <c r="K42" s="21" t="str">
        <f aca="false">IF(F42="","",IF(F42="Cardioide","180°, bem atrás",IF(F42="Supercardioide","cerca de 125°",IF(F42="Hipercardioide","cerca de 110°",IF(F42="Omni","não rejeita","90°, nos lados")))))</f>
        <v/>
      </c>
      <c r="L42" s="22" t="str">
        <f aca="false">IF(F42="","",IF(F42="Cardioide","Bem atrás do microfone",IF(OR(F42="Supercardioide",F42="Hipercardioide"),"Em diagonal, nunca bem atrás",IF(F42="Omni","Longe: o microfone não rejeita","Em um dos lados"))))</f>
        <v/>
      </c>
      <c r="M42" s="20" t="str">
        <f aca="false">IF(AND(C42="",D42="",E42="",F42=""),"",IF(H42="Defeito","Defeito",IF(OR(H42="",H42="Não testado"),"Testar",IF(OR(D42="",E42="",F42=""),"Incompleto","OK"))))</f>
        <v/>
      </c>
      <c r="N42" s="5"/>
    </row>
    <row r="44" customFormat="false" ht="21.75" hidden="false" customHeight="true" outlineLevel="0" collapsed="false">
      <c r="B44" s="11" t="s">
        <v>93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</row>
    <row r="45" customFormat="false" ht="19.5" hidden="false" customHeight="true" outlineLevel="0" collapsed="false">
      <c r="B45" s="23" t="s">
        <v>94</v>
      </c>
      <c r="C45" s="23"/>
      <c r="D45" s="23"/>
      <c r="E45" s="23"/>
      <c r="F45" s="8" t="n">
        <f aca="false">COUNTA(D13:D42)</f>
        <v>0</v>
      </c>
    </row>
    <row r="46" customFormat="false" ht="19.5" hidden="false" customHeight="true" outlineLevel="0" collapsed="false">
      <c r="B46" s="23" t="s">
        <v>95</v>
      </c>
      <c r="C46" s="23"/>
      <c r="D46" s="23"/>
      <c r="E46" s="23"/>
      <c r="F46" s="8" t="n">
        <f aca="false">COUNTIF(E13:E42,"Dinâmico")</f>
        <v>0</v>
      </c>
    </row>
    <row r="47" customFormat="false" ht="19.5" hidden="false" customHeight="true" outlineLevel="0" collapsed="false">
      <c r="B47" s="23" t="s">
        <v>96</v>
      </c>
      <c r="C47" s="23"/>
      <c r="D47" s="23"/>
      <c r="E47" s="23"/>
      <c r="F47" s="8" t="n">
        <f aca="false">COUNTIF(E13:E42,"Condensador")</f>
        <v>0</v>
      </c>
    </row>
    <row r="48" customFormat="false" ht="19.5" hidden="false" customHeight="true" outlineLevel="0" collapsed="false">
      <c r="B48" s="23" t="s">
        <v>97</v>
      </c>
      <c r="C48" s="23"/>
      <c r="D48" s="23"/>
      <c r="E48" s="23"/>
      <c r="F48" s="8" t="n">
        <f aca="false">COUNTIF(J13:J42,"Sim")</f>
        <v>0</v>
      </c>
    </row>
    <row r="49" customFormat="false" ht="19.5" hidden="false" customHeight="true" outlineLevel="0" collapsed="false">
      <c r="B49" s="23" t="s">
        <v>98</v>
      </c>
      <c r="C49" s="23"/>
      <c r="D49" s="23"/>
      <c r="E49" s="23"/>
      <c r="F49" s="8" t="n">
        <f aca="false">COUNTIF(G13:G42,"Sem fio")</f>
        <v>0</v>
      </c>
    </row>
    <row r="50" customFormat="false" ht="19.5" hidden="false" customHeight="true" outlineLevel="0" collapsed="false">
      <c r="B50" s="23" t="s">
        <v>99</v>
      </c>
      <c r="C50" s="23"/>
      <c r="D50" s="23"/>
      <c r="E50" s="23"/>
      <c r="F50" s="8" t="n">
        <f aca="false">COUNTIF(M13:M42,"Defeito")</f>
        <v>0</v>
      </c>
    </row>
    <row r="51" customFormat="false" ht="19.5" hidden="false" customHeight="true" outlineLevel="0" collapsed="false">
      <c r="B51" s="23" t="s">
        <v>100</v>
      </c>
      <c r="C51" s="23"/>
      <c r="D51" s="23"/>
      <c r="E51" s="23"/>
      <c r="F51" s="8" t="n">
        <f aca="false">COUNTIF(M13:M42,"Testar")+COUNTIF(M13:M42,"Incompleto")</f>
        <v>0</v>
      </c>
    </row>
    <row r="52" customFormat="false" ht="21.75" hidden="false" customHeight="true" outlineLevel="0" collapsed="false">
      <c r="B52" s="23" t="s">
        <v>101</v>
      </c>
      <c r="C52" s="23"/>
      <c r="D52" s="23"/>
      <c r="E52" s="23"/>
      <c r="F52" s="24" t="str">
        <f aca="false">IF(F45=0,"Cadastre os microfones",IF(F50&gt;0,"Há microfone com defeito: separe para conserto",IF(F51&gt;0,"Há microfone sem teste ou com cadastro incompleto","OK")))</f>
        <v>Cadastre os microfones</v>
      </c>
      <c r="G52" s="24"/>
      <c r="H52" s="24"/>
      <c r="I52" s="24"/>
      <c r="J52" s="24"/>
      <c r="K52" s="24"/>
      <c r="L52" s="24"/>
      <c r="M52" s="24"/>
      <c r="N52" s="24"/>
    </row>
  </sheetData>
  <mergeCells count="21">
    <mergeCell ref="B1:N1"/>
    <mergeCell ref="B2:N2"/>
    <mergeCell ref="B4:C4"/>
    <mergeCell ref="D4:G4"/>
    <mergeCell ref="I4:N5"/>
    <mergeCell ref="B5:C5"/>
    <mergeCell ref="D5:G5"/>
    <mergeCell ref="B6:C6"/>
    <mergeCell ref="D6:G6"/>
    <mergeCell ref="B8:N8"/>
    <mergeCell ref="B12:N12"/>
    <mergeCell ref="B44:N44"/>
    <mergeCell ref="B45:E45"/>
    <mergeCell ref="B46:E46"/>
    <mergeCell ref="B47:E47"/>
    <mergeCell ref="B48:E48"/>
    <mergeCell ref="B49:E49"/>
    <mergeCell ref="B50:E50"/>
    <mergeCell ref="B51:E51"/>
    <mergeCell ref="B52:E52"/>
    <mergeCell ref="F52:N52"/>
  </mergeCells>
  <conditionalFormatting sqref="M13:M42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"Testar"</formula>
    </cfRule>
    <cfRule type="cellIs" priority="4" operator="equal" aboveAverage="0" equalAverage="0" bottom="0" percent="0" rank="0" text="" dxfId="1">
      <formula>"Incompleto"</formula>
    </cfRule>
    <cfRule type="cellIs" priority="5" operator="equal" aboveAverage="0" equalAverage="0" bottom="0" percent="0" rank="0" text="" dxfId="2">
      <formula>"Defeito"</formula>
    </cfRule>
  </conditionalFormatting>
  <conditionalFormatting sqref="J13:J42">
    <cfRule type="cellIs" priority="6" operator="equal" aboveAverage="0" equalAverage="0" bottom="0" percent="0" rank="0" text="" dxfId="3">
      <formula>"Sim"</formula>
    </cfRule>
  </conditionalFormatting>
  <conditionalFormatting sqref="F52:N52">
    <cfRule type="cellIs" priority="7" operator="equal" aboveAverage="0" equalAverage="0" bottom="0" percent="0" rank="0" text="" dxfId="0">
      <formula>"OK"</formula>
    </cfRule>
    <cfRule type="cellIs" priority="8" operator="notEqual" aboveAverage="0" equalAverage="0" bottom="0" percent="0" rank="0" text="" dxfId="1">
      <formula>"OK"</formula>
    </cfRule>
  </conditionalFormatting>
  <dataValidations count="6">
    <dataValidation allowBlank="true" error="Digite uma data no formato dia/mês/ano." errorStyle="stop" errorTitle="Data inválida" operator="greaterThanOrEqual" showDropDown="false" showErrorMessage="true" showInputMessage="false" sqref="D6 I13:I42" type="date">
      <formula1>36526</formula1>
      <formula2>0</formula2>
    </dataValidation>
    <dataValidation allowBlank="true" error="Escolha uma das opções da lista." errorStyle="stop" errorTitle="Valor inválido" operator="between" prompt="Formato do microfone." promptTitle="Opções" showDropDown="false" showErrorMessage="true" showInputMessage="true" sqref="D13:D42" type="list">
      <formula1>"De mão,Lapela,Headset,Gooseneck,Coral suspenso,Lápis,Clip,Contato,Instrumento"</formula1>
      <formula2>0</formula2>
    </dataValidation>
    <dataValidation allowBlank="true" error="Escolha uma das opções da lista." errorStyle="stop" errorTitle="Valor inválido" operator="between" prompt="Dinâmico, Condensador ou Fita." promptTitle="Opções" showDropDown="false" showErrorMessage="true" showInputMessage="true" sqref="E13:E42" type="list">
      <formula1>"Dinâmico,Condensador,Fita"</formula1>
      <formula2>0</formula2>
    </dataValidation>
    <dataValidation allowBlank="true" error="Escolha uma das opções da lista." errorStyle="stop" errorTitle="Valor inválido" operator="between" prompt="Padrão polar, conforme o manual do modelo." promptTitle="Opções" showDropDown="false" showErrorMessage="true" showInputMessage="true" sqref="F13:F42" type="list">
      <formula1>"Cardioide,Supercardioide,Hipercardioide,Omni,Figura de 8"</formula1>
      <formula2>0</formula2>
    </dataValidation>
    <dataValidation allowBlank="true" error="Escolha uma das opções da lista." errorStyle="stop" errorTitle="Valor inválido" operator="between" prompt="Com fio ou Sem fio." promptTitle="Opções" showDropDown="false" showErrorMessage="true" showInputMessage="true" sqref="G13:G42" type="list">
      <formula1>"Com fio,Sem fio"</formula1>
      <formula2>0</formula2>
    </dataValidation>
    <dataValidation allowBlank="true" error="Escolha uma das opções da lista." errorStyle="stop" errorTitle="Valor inválido" operator="between" prompt="Resultado do último teste com a voz." promptTitle="Opções" showDropDown="false" showErrorMessage="true" showInputMessage="true" sqref="H13:H42" type="list">
      <formula1>"OK,Defeito,Não testado"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N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17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0"/>
    <col collapsed="false" customWidth="true" hidden="false" outlineLevel="0" max="11" min="10" style="0" width="22"/>
    <col collapsed="false" customWidth="true" hidden="false" outlineLevel="0" max="12" min="12" style="0" width="15"/>
    <col collapsed="false" customWidth="true" hidden="false" outlineLevel="0" max="13" min="13" style="0" width="32"/>
    <col collapsed="false" customWidth="true" hidden="false" outlineLevel="0" max="14" min="14" style="0" width="42"/>
    <col collapsed="false" customWidth="true" hidden="false" outlineLevel="0" max="15" min="15" style="0" width="2"/>
  </cols>
  <sheetData>
    <row r="1" customFormat="false" ht="31.5" hidden="false" customHeight="true" outlineLevel="0" collapsed="false">
      <c r="B1" s="1" t="s">
        <v>102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B2" s="2" t="s">
        <v>103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1.75" hidden="false" customHeight="true" outlineLevel="0" collapsed="false">
      <c r="B4" s="4" t="s">
        <v>104</v>
      </c>
      <c r="C4" s="4"/>
      <c r="D4" s="5"/>
      <c r="E4" s="5"/>
      <c r="F4" s="5"/>
      <c r="G4" s="5"/>
      <c r="I4" s="9" t="s">
        <v>105</v>
      </c>
      <c r="J4" s="9"/>
      <c r="K4" s="9"/>
      <c r="L4" s="9"/>
      <c r="M4" s="9"/>
      <c r="N4" s="9"/>
    </row>
    <row r="5" customFormat="false" ht="21.75" hidden="false" customHeight="true" outlineLevel="0" collapsed="false">
      <c r="B5" s="4" t="s">
        <v>106</v>
      </c>
      <c r="C5" s="4"/>
      <c r="D5" s="5"/>
      <c r="E5" s="5"/>
      <c r="F5" s="5"/>
      <c r="G5" s="5"/>
      <c r="I5" s="9"/>
      <c r="J5" s="9"/>
      <c r="K5" s="9"/>
      <c r="L5" s="9"/>
      <c r="M5" s="9"/>
      <c r="N5" s="9"/>
    </row>
    <row r="6" customFormat="false" ht="21.75" hidden="false" customHeight="true" outlineLevel="0" collapsed="false">
      <c r="B6" s="4" t="s">
        <v>107</v>
      </c>
      <c r="C6" s="4"/>
      <c r="D6" s="10"/>
      <c r="E6" s="10"/>
      <c r="F6" s="10"/>
      <c r="G6" s="10"/>
      <c r="I6" s="9"/>
      <c r="J6" s="9"/>
      <c r="K6" s="9"/>
      <c r="L6" s="9"/>
      <c r="M6" s="9"/>
      <c r="N6" s="9"/>
    </row>
    <row r="7" customFormat="false" ht="21.75" hidden="false" customHeight="true" outlineLevel="0" collapsed="false">
      <c r="B7" s="4" t="s">
        <v>108</v>
      </c>
      <c r="C7" s="4"/>
      <c r="D7" s="5"/>
      <c r="E7" s="5"/>
      <c r="F7" s="5"/>
      <c r="G7" s="5"/>
    </row>
    <row r="9" customFormat="false" ht="21.75" hidden="false" customHeight="true" outlineLevel="0" collapsed="false">
      <c r="B9" s="11" t="s">
        <v>109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customFormat="false" ht="30" hidden="false" customHeight="true" outlineLevel="0" collapsed="false">
      <c r="B10" s="12" t="s">
        <v>110</v>
      </c>
      <c r="C10" s="12" t="s">
        <v>111</v>
      </c>
      <c r="D10" s="12" t="s">
        <v>112</v>
      </c>
      <c r="E10" s="14" t="s">
        <v>113</v>
      </c>
      <c r="F10" s="13" t="s">
        <v>64</v>
      </c>
      <c r="G10" s="13" t="s">
        <v>65</v>
      </c>
      <c r="H10" s="13" t="s">
        <v>114</v>
      </c>
      <c r="I10" s="13" t="s">
        <v>42</v>
      </c>
      <c r="J10" s="15" t="s">
        <v>115</v>
      </c>
      <c r="K10" s="15" t="s">
        <v>116</v>
      </c>
      <c r="L10" s="15" t="s">
        <v>72</v>
      </c>
      <c r="M10" s="15" t="s">
        <v>117</v>
      </c>
      <c r="N10" s="15" t="s">
        <v>118</v>
      </c>
    </row>
    <row r="11" customFormat="false" ht="21.75" hidden="false" customHeight="true" outlineLevel="0" collapsed="false">
      <c r="B11" s="16" t="s">
        <v>119</v>
      </c>
      <c r="C11" s="16" t="s">
        <v>75</v>
      </c>
      <c r="D11" s="16" t="s">
        <v>120</v>
      </c>
      <c r="E11" s="16" t="s">
        <v>121</v>
      </c>
      <c r="F11" s="16" t="s">
        <v>121</v>
      </c>
      <c r="G11" s="16" t="s">
        <v>121</v>
      </c>
      <c r="H11" s="16" t="s">
        <v>121</v>
      </c>
      <c r="I11" s="16" t="s">
        <v>122</v>
      </c>
      <c r="J11" s="16" t="s">
        <v>123</v>
      </c>
      <c r="K11" s="16" t="s">
        <v>123</v>
      </c>
      <c r="L11" s="16"/>
      <c r="M11" s="16"/>
      <c r="N11" s="16" t="s">
        <v>123</v>
      </c>
    </row>
    <row r="12" customFormat="false" ht="24" hidden="false" customHeight="true" outlineLevel="0" collapsed="false">
      <c r="B12" s="16" t="s">
        <v>81</v>
      </c>
      <c r="C12" s="16" t="s">
        <v>124</v>
      </c>
      <c r="D12" s="9" t="s">
        <v>125</v>
      </c>
      <c r="E12" s="16" t="n">
        <v>3</v>
      </c>
      <c r="F12" s="16" t="s">
        <v>83</v>
      </c>
      <c r="G12" s="16" t="s">
        <v>84</v>
      </c>
      <c r="H12" s="16" t="s">
        <v>85</v>
      </c>
      <c r="I12" s="16" t="s">
        <v>89</v>
      </c>
      <c r="J12" s="9" t="s">
        <v>126</v>
      </c>
      <c r="K12" s="9" t="s">
        <v>127</v>
      </c>
      <c r="L12" s="16" t="s">
        <v>128</v>
      </c>
      <c r="M12" s="9" t="s">
        <v>129</v>
      </c>
      <c r="N12" s="9"/>
    </row>
    <row r="13" customFormat="false" ht="30" hidden="false" customHeight="true" outlineLevel="0" collapsed="false">
      <c r="B13" s="17" t="n">
        <v>1</v>
      </c>
      <c r="C13" s="18"/>
      <c r="D13" s="5"/>
      <c r="E13" s="18"/>
      <c r="F13" s="21" t="str">
        <f aca="false">IF(E13="","",IFERROR(""&amp;VLOOKUP(E13,Inventário!$B$13:$J$42,3,FALSE()),""))</f>
        <v/>
      </c>
      <c r="G13" s="21" t="str">
        <f aca="false">IF(E13="","",IFERROR(""&amp;VLOOKUP(E13,Inventário!$B$13:$J$42,4,FALSE()),""))</f>
        <v/>
      </c>
      <c r="H13" s="21" t="str">
        <f aca="false">IF(E13="","",IFERROR(""&amp;VLOOKUP(E13,Inventário!$B$13:$J$42,5,FALSE()),""))</f>
        <v/>
      </c>
      <c r="I13" s="20" t="str">
        <f aca="false">IF(E13="","",IFERROR(""&amp;VLOOKUP(E13,Inventário!$B$13:$J$42,9,FALSE()),""))</f>
        <v/>
      </c>
      <c r="J13" s="22" t="str">
        <f aca="false">IF(C13="","",IFERROR(VLOOKUP(C13,Referência!$B$6:$I$15,2,FALSE()),"")&amp;", "&amp;IFERROR(VLOOKUP(C13,Referência!$B$6:$I$15,3,FALSE()),""))</f>
        <v/>
      </c>
      <c r="K13" s="22" t="str">
        <f aca="false">IF(C13="","",IFERROR(VLOOKUP(C13,Referência!$B$6:$I$15,5,FALSE()),""))</f>
        <v/>
      </c>
      <c r="L13" s="20" t="str">
        <f aca="false">IF(E13="",IF(C13="","","Sem microfone"),IF(IFERROR(""&amp;VLOOKUP(E13,Inventário!$B$13:$J$42,3,FALSE()),"")&amp;IFERROR(""&amp;VLOOKUP(E13,Inventário!$B$13:$J$42,4,FALSE()),"")&amp;IFERROR(""&amp;VLOOKUP(E13,Inventário!$B$13:$J$42,7,FALSE()),"")="","Não cadastrado",IF(IFERROR(""&amp;VLOOKUP(E13,Inventário!$B$13:$J$42,7,FALSE()),"")="Defeito","Defeito",IF(COUNTIF($E$13:E13,E13)&gt;1,"Repetido",IF(C13="","Sem fonte",IF(AND(IFERROR(VLOOKUP(C13,Referência!$B$6:$I$15,7,FALSE()),"")&lt;&gt;"Qualquer",G13&lt;&gt;IFERROR(VLOOKUP(C13,Referência!$B$6:$I$15,7,FALSE()),"")),"Tipo diferente",IF(NOT(OR(IFERROR(VLOOKUP(C13,Referência!$B$6:$I$15,8,FALSE()),"")="Qualquer",AND(IFERROR(VLOOKUP(C13,Referência!$B$6:$I$15,8,FALSE()),"")="Direcional",OR(H13="Cardioide",H13="Supercardioide",H13="Hipercardioide")),IFERROR(VLOOKUP(C13,Referência!$B$6:$I$15,8,FALSE()),"")=H13)),"Padrão diferente",IF(IFERROR(""&amp;VLOOKUP(E13,Inventário!$B$13:$J$42,7,FALSE()),"")&lt;&gt;"OK","Testar","OK"))))))))</f>
        <v/>
      </c>
      <c r="M13" s="22" t="str">
        <f aca="false">IF(L13="","",IF(L13="Sem microfone","Escolha um microfone do inventário",IF(L13="Não cadastrado","Cadastre o microfone na aba Inventário",IF(L13="Defeito","Troque de microfone e separe este para conserto",IF(L13="Repetido","Já está em um canal anterior: escolha outro",IF(L13="Sem fonte","Escolha o tipo de fonte",IF(L13="Tipo diferente","Sugestão: "&amp;IFERROR(VLOOKUP(C13,Referência!$B$6:$I$15,7,FALSE()),"")&amp;". Confira se este serve",IF(L13="Padrão diferente","Confira o padrão e o lugar do retorno",IF(L13="Testar","Teste com a voz antes do evento",IF(I13="Sim","Ligue o phantom com o canal fechado","Manter"))))))))))</f>
        <v/>
      </c>
      <c r="N13" s="22" t="str">
        <f aca="false">IF(C13="","",IFERROR(VLOOKUP(C13,Referência!$B$6:$I$15,6,FALSE()),""))</f>
        <v/>
      </c>
    </row>
    <row r="14" customFormat="false" ht="30" hidden="false" customHeight="true" outlineLevel="0" collapsed="false">
      <c r="B14" s="17" t="n">
        <v>2</v>
      </c>
      <c r="C14" s="18"/>
      <c r="D14" s="5"/>
      <c r="E14" s="18"/>
      <c r="F14" s="21" t="str">
        <f aca="false">IF(E14="","",IFERROR(""&amp;VLOOKUP(E14,Inventário!$B$13:$J$42,3,FALSE()),""))</f>
        <v/>
      </c>
      <c r="G14" s="21" t="str">
        <f aca="false">IF(E14="","",IFERROR(""&amp;VLOOKUP(E14,Inventário!$B$13:$J$42,4,FALSE()),""))</f>
        <v/>
      </c>
      <c r="H14" s="21" t="str">
        <f aca="false">IF(E14="","",IFERROR(""&amp;VLOOKUP(E14,Inventário!$B$13:$J$42,5,FALSE()),""))</f>
        <v/>
      </c>
      <c r="I14" s="20" t="str">
        <f aca="false">IF(E14="","",IFERROR(""&amp;VLOOKUP(E14,Inventário!$B$13:$J$42,9,FALSE()),""))</f>
        <v/>
      </c>
      <c r="J14" s="22" t="str">
        <f aca="false">IF(C14="","",IFERROR(VLOOKUP(C14,Referência!$B$6:$I$15,2,FALSE()),"")&amp;", "&amp;IFERROR(VLOOKUP(C14,Referência!$B$6:$I$15,3,FALSE()),""))</f>
        <v/>
      </c>
      <c r="K14" s="22" t="str">
        <f aca="false">IF(C14="","",IFERROR(VLOOKUP(C14,Referência!$B$6:$I$15,5,FALSE()),""))</f>
        <v/>
      </c>
      <c r="L14" s="20" t="str">
        <f aca="false">IF(E14="",IF(C14="","","Sem microfone"),IF(IFERROR(""&amp;VLOOKUP(E14,Inventário!$B$13:$J$42,3,FALSE()),"")&amp;IFERROR(""&amp;VLOOKUP(E14,Inventário!$B$13:$J$42,4,FALSE()),"")&amp;IFERROR(""&amp;VLOOKUP(E14,Inventário!$B$13:$J$42,7,FALSE()),"")="","Não cadastrado",IF(IFERROR(""&amp;VLOOKUP(E14,Inventário!$B$13:$J$42,7,FALSE()),"")="Defeito","Defeito",IF(COUNTIF($E$13:E14,E14)&gt;1,"Repetido",IF(C14="","Sem fonte",IF(AND(IFERROR(VLOOKUP(C14,Referência!$B$6:$I$15,7,FALSE()),"")&lt;&gt;"Qualquer",G14&lt;&gt;IFERROR(VLOOKUP(C14,Referência!$B$6:$I$15,7,FALSE()),"")),"Tipo diferente",IF(NOT(OR(IFERROR(VLOOKUP(C14,Referência!$B$6:$I$15,8,FALSE()),"")="Qualquer",AND(IFERROR(VLOOKUP(C14,Referência!$B$6:$I$15,8,FALSE()),"")="Direcional",OR(H14="Cardioide",H14="Supercardioide",H14="Hipercardioide")),IFERROR(VLOOKUP(C14,Referência!$B$6:$I$15,8,FALSE()),"")=H14)),"Padrão diferente",IF(IFERROR(""&amp;VLOOKUP(E14,Inventário!$B$13:$J$42,7,FALSE()),"")&lt;&gt;"OK","Testar","OK"))))))))</f>
        <v/>
      </c>
      <c r="M14" s="22" t="str">
        <f aca="false">IF(L14="","",IF(L14="Sem microfone","Escolha um microfone do inventário",IF(L14="Não cadastrado","Cadastre o microfone na aba Inventário",IF(L14="Defeito","Troque de microfone e separe este para conserto",IF(L14="Repetido","Já está em um canal anterior: escolha outro",IF(L14="Sem fonte","Escolha o tipo de fonte",IF(L14="Tipo diferente","Sugestão: "&amp;IFERROR(VLOOKUP(C14,Referência!$B$6:$I$15,7,FALSE()),"")&amp;". Confira se este serve",IF(L14="Padrão diferente","Confira o padrão e o lugar do retorno",IF(L14="Testar","Teste com a voz antes do evento",IF(I14="Sim","Ligue o phantom com o canal fechado","Manter"))))))))))</f>
        <v/>
      </c>
      <c r="N14" s="22" t="str">
        <f aca="false">IF(C14="","",IFERROR(VLOOKUP(C14,Referência!$B$6:$I$15,6,FALSE()),""))</f>
        <v/>
      </c>
    </row>
    <row r="15" customFormat="false" ht="30" hidden="false" customHeight="true" outlineLevel="0" collapsed="false">
      <c r="B15" s="17" t="n">
        <v>3</v>
      </c>
      <c r="C15" s="18"/>
      <c r="D15" s="5"/>
      <c r="E15" s="18"/>
      <c r="F15" s="21" t="str">
        <f aca="false">IF(E15="","",IFERROR(""&amp;VLOOKUP(E15,Inventário!$B$13:$J$42,3,FALSE()),""))</f>
        <v/>
      </c>
      <c r="G15" s="21" t="str">
        <f aca="false">IF(E15="","",IFERROR(""&amp;VLOOKUP(E15,Inventário!$B$13:$J$42,4,FALSE()),""))</f>
        <v/>
      </c>
      <c r="H15" s="21" t="str">
        <f aca="false">IF(E15="","",IFERROR(""&amp;VLOOKUP(E15,Inventário!$B$13:$J$42,5,FALSE()),""))</f>
        <v/>
      </c>
      <c r="I15" s="20" t="str">
        <f aca="false">IF(E15="","",IFERROR(""&amp;VLOOKUP(E15,Inventário!$B$13:$J$42,9,FALSE()),""))</f>
        <v/>
      </c>
      <c r="J15" s="22" t="str">
        <f aca="false">IF(C15="","",IFERROR(VLOOKUP(C15,Referência!$B$6:$I$15,2,FALSE()),"")&amp;", "&amp;IFERROR(VLOOKUP(C15,Referência!$B$6:$I$15,3,FALSE()),""))</f>
        <v/>
      </c>
      <c r="K15" s="22" t="str">
        <f aca="false">IF(C15="","",IFERROR(VLOOKUP(C15,Referência!$B$6:$I$15,5,FALSE()),""))</f>
        <v/>
      </c>
      <c r="L15" s="20" t="str">
        <f aca="false">IF(E15="",IF(C15="","","Sem microfone"),IF(IFERROR(""&amp;VLOOKUP(E15,Inventário!$B$13:$J$42,3,FALSE()),"")&amp;IFERROR(""&amp;VLOOKUP(E15,Inventário!$B$13:$J$42,4,FALSE()),"")&amp;IFERROR(""&amp;VLOOKUP(E15,Inventário!$B$13:$J$42,7,FALSE()),"")="","Não cadastrado",IF(IFERROR(""&amp;VLOOKUP(E15,Inventário!$B$13:$J$42,7,FALSE()),"")="Defeito","Defeito",IF(COUNTIF($E$13:E15,E15)&gt;1,"Repetido",IF(C15="","Sem fonte",IF(AND(IFERROR(VLOOKUP(C15,Referência!$B$6:$I$15,7,FALSE()),"")&lt;&gt;"Qualquer",G15&lt;&gt;IFERROR(VLOOKUP(C15,Referência!$B$6:$I$15,7,FALSE()),"")),"Tipo diferente",IF(NOT(OR(IFERROR(VLOOKUP(C15,Referência!$B$6:$I$15,8,FALSE()),"")="Qualquer",AND(IFERROR(VLOOKUP(C15,Referência!$B$6:$I$15,8,FALSE()),"")="Direcional",OR(H15="Cardioide",H15="Supercardioide",H15="Hipercardioide")),IFERROR(VLOOKUP(C15,Referência!$B$6:$I$15,8,FALSE()),"")=H15)),"Padrão diferente",IF(IFERROR(""&amp;VLOOKUP(E15,Inventário!$B$13:$J$42,7,FALSE()),"")&lt;&gt;"OK","Testar","OK"))))))))</f>
        <v/>
      </c>
      <c r="M15" s="22" t="str">
        <f aca="false">IF(L15="","",IF(L15="Sem microfone","Escolha um microfone do inventário",IF(L15="Não cadastrado","Cadastre o microfone na aba Inventário",IF(L15="Defeito","Troque de microfone e separe este para conserto",IF(L15="Repetido","Já está em um canal anterior: escolha outro",IF(L15="Sem fonte","Escolha o tipo de fonte",IF(L15="Tipo diferente","Sugestão: "&amp;IFERROR(VLOOKUP(C15,Referência!$B$6:$I$15,7,FALSE()),"")&amp;". Confira se este serve",IF(L15="Padrão diferente","Confira o padrão e o lugar do retorno",IF(L15="Testar","Teste com a voz antes do evento",IF(I15="Sim","Ligue o phantom com o canal fechado","Manter"))))))))))</f>
        <v/>
      </c>
      <c r="N15" s="22" t="str">
        <f aca="false">IF(C15="","",IFERROR(VLOOKUP(C15,Referência!$B$6:$I$15,6,FALSE()),""))</f>
        <v/>
      </c>
    </row>
    <row r="16" customFormat="false" ht="30" hidden="false" customHeight="true" outlineLevel="0" collapsed="false">
      <c r="B16" s="17" t="n">
        <v>4</v>
      </c>
      <c r="C16" s="18"/>
      <c r="D16" s="5"/>
      <c r="E16" s="18"/>
      <c r="F16" s="21" t="str">
        <f aca="false">IF(E16="","",IFERROR(""&amp;VLOOKUP(E16,Inventário!$B$13:$J$42,3,FALSE()),""))</f>
        <v/>
      </c>
      <c r="G16" s="21" t="str">
        <f aca="false">IF(E16="","",IFERROR(""&amp;VLOOKUP(E16,Inventário!$B$13:$J$42,4,FALSE()),""))</f>
        <v/>
      </c>
      <c r="H16" s="21" t="str">
        <f aca="false">IF(E16="","",IFERROR(""&amp;VLOOKUP(E16,Inventário!$B$13:$J$42,5,FALSE()),""))</f>
        <v/>
      </c>
      <c r="I16" s="20" t="str">
        <f aca="false">IF(E16="","",IFERROR(""&amp;VLOOKUP(E16,Inventário!$B$13:$J$42,9,FALSE()),""))</f>
        <v/>
      </c>
      <c r="J16" s="22" t="str">
        <f aca="false">IF(C16="","",IFERROR(VLOOKUP(C16,Referência!$B$6:$I$15,2,FALSE()),"")&amp;", "&amp;IFERROR(VLOOKUP(C16,Referência!$B$6:$I$15,3,FALSE()),""))</f>
        <v/>
      </c>
      <c r="K16" s="22" t="str">
        <f aca="false">IF(C16="","",IFERROR(VLOOKUP(C16,Referência!$B$6:$I$15,5,FALSE()),""))</f>
        <v/>
      </c>
      <c r="L16" s="20" t="str">
        <f aca="false">IF(E16="",IF(C16="","","Sem microfone"),IF(IFERROR(""&amp;VLOOKUP(E16,Inventário!$B$13:$J$42,3,FALSE()),"")&amp;IFERROR(""&amp;VLOOKUP(E16,Inventário!$B$13:$J$42,4,FALSE()),"")&amp;IFERROR(""&amp;VLOOKUP(E16,Inventário!$B$13:$J$42,7,FALSE()),"")="","Não cadastrado",IF(IFERROR(""&amp;VLOOKUP(E16,Inventário!$B$13:$J$42,7,FALSE()),"")="Defeito","Defeito",IF(COUNTIF($E$13:E16,E16)&gt;1,"Repetido",IF(C16="","Sem fonte",IF(AND(IFERROR(VLOOKUP(C16,Referência!$B$6:$I$15,7,FALSE()),"")&lt;&gt;"Qualquer",G16&lt;&gt;IFERROR(VLOOKUP(C16,Referência!$B$6:$I$15,7,FALSE()),"")),"Tipo diferente",IF(NOT(OR(IFERROR(VLOOKUP(C16,Referência!$B$6:$I$15,8,FALSE()),"")="Qualquer",AND(IFERROR(VLOOKUP(C16,Referência!$B$6:$I$15,8,FALSE()),"")="Direcional",OR(H16="Cardioide",H16="Supercardioide",H16="Hipercardioide")),IFERROR(VLOOKUP(C16,Referência!$B$6:$I$15,8,FALSE()),"")=H16)),"Padrão diferente",IF(IFERROR(""&amp;VLOOKUP(E16,Inventário!$B$13:$J$42,7,FALSE()),"")&lt;&gt;"OK","Testar","OK"))))))))</f>
        <v/>
      </c>
      <c r="M16" s="22" t="str">
        <f aca="false">IF(L16="","",IF(L16="Sem microfone","Escolha um microfone do inventário",IF(L16="Não cadastrado","Cadastre o microfone na aba Inventário",IF(L16="Defeito","Troque de microfone e separe este para conserto",IF(L16="Repetido","Já está em um canal anterior: escolha outro",IF(L16="Sem fonte","Escolha o tipo de fonte",IF(L16="Tipo diferente","Sugestão: "&amp;IFERROR(VLOOKUP(C16,Referência!$B$6:$I$15,7,FALSE()),"")&amp;". Confira se este serve",IF(L16="Padrão diferente","Confira o padrão e o lugar do retorno",IF(L16="Testar","Teste com a voz antes do evento",IF(I16="Sim","Ligue o phantom com o canal fechado","Manter"))))))))))</f>
        <v/>
      </c>
      <c r="N16" s="22" t="str">
        <f aca="false">IF(C16="","",IFERROR(VLOOKUP(C16,Referência!$B$6:$I$15,6,FALSE()),""))</f>
        <v/>
      </c>
    </row>
    <row r="17" customFormat="false" ht="30" hidden="false" customHeight="true" outlineLevel="0" collapsed="false">
      <c r="B17" s="17" t="n">
        <v>5</v>
      </c>
      <c r="C17" s="18"/>
      <c r="D17" s="5"/>
      <c r="E17" s="18"/>
      <c r="F17" s="21" t="str">
        <f aca="false">IF(E17="","",IFERROR(""&amp;VLOOKUP(E17,Inventário!$B$13:$J$42,3,FALSE()),""))</f>
        <v/>
      </c>
      <c r="G17" s="21" t="str">
        <f aca="false">IF(E17="","",IFERROR(""&amp;VLOOKUP(E17,Inventário!$B$13:$J$42,4,FALSE()),""))</f>
        <v/>
      </c>
      <c r="H17" s="21" t="str">
        <f aca="false">IF(E17="","",IFERROR(""&amp;VLOOKUP(E17,Inventário!$B$13:$J$42,5,FALSE()),""))</f>
        <v/>
      </c>
      <c r="I17" s="20" t="str">
        <f aca="false">IF(E17="","",IFERROR(""&amp;VLOOKUP(E17,Inventário!$B$13:$J$42,9,FALSE()),""))</f>
        <v/>
      </c>
      <c r="J17" s="22" t="str">
        <f aca="false">IF(C17="","",IFERROR(VLOOKUP(C17,Referência!$B$6:$I$15,2,FALSE()),"")&amp;", "&amp;IFERROR(VLOOKUP(C17,Referência!$B$6:$I$15,3,FALSE()),""))</f>
        <v/>
      </c>
      <c r="K17" s="22" t="str">
        <f aca="false">IF(C17="","",IFERROR(VLOOKUP(C17,Referência!$B$6:$I$15,5,FALSE()),""))</f>
        <v/>
      </c>
      <c r="L17" s="20" t="str">
        <f aca="false">IF(E17="",IF(C17="","","Sem microfone"),IF(IFERROR(""&amp;VLOOKUP(E17,Inventário!$B$13:$J$42,3,FALSE()),"")&amp;IFERROR(""&amp;VLOOKUP(E17,Inventário!$B$13:$J$42,4,FALSE()),"")&amp;IFERROR(""&amp;VLOOKUP(E17,Inventário!$B$13:$J$42,7,FALSE()),"")="","Não cadastrado",IF(IFERROR(""&amp;VLOOKUP(E17,Inventário!$B$13:$J$42,7,FALSE()),"")="Defeito","Defeito",IF(COUNTIF($E$13:E17,E17)&gt;1,"Repetido",IF(C17="","Sem fonte",IF(AND(IFERROR(VLOOKUP(C17,Referência!$B$6:$I$15,7,FALSE()),"")&lt;&gt;"Qualquer",G17&lt;&gt;IFERROR(VLOOKUP(C17,Referência!$B$6:$I$15,7,FALSE()),"")),"Tipo diferente",IF(NOT(OR(IFERROR(VLOOKUP(C17,Referência!$B$6:$I$15,8,FALSE()),"")="Qualquer",AND(IFERROR(VLOOKUP(C17,Referência!$B$6:$I$15,8,FALSE()),"")="Direcional",OR(H17="Cardioide",H17="Supercardioide",H17="Hipercardioide")),IFERROR(VLOOKUP(C17,Referência!$B$6:$I$15,8,FALSE()),"")=H17)),"Padrão diferente",IF(IFERROR(""&amp;VLOOKUP(E17,Inventário!$B$13:$J$42,7,FALSE()),"")&lt;&gt;"OK","Testar","OK"))))))))</f>
        <v/>
      </c>
      <c r="M17" s="22" t="str">
        <f aca="false">IF(L17="","",IF(L17="Sem microfone","Escolha um microfone do inventário",IF(L17="Não cadastrado","Cadastre o microfone na aba Inventário",IF(L17="Defeito","Troque de microfone e separe este para conserto",IF(L17="Repetido","Já está em um canal anterior: escolha outro",IF(L17="Sem fonte","Escolha o tipo de fonte",IF(L17="Tipo diferente","Sugestão: "&amp;IFERROR(VLOOKUP(C17,Referência!$B$6:$I$15,7,FALSE()),"")&amp;". Confira se este serve",IF(L17="Padrão diferente","Confira o padrão e o lugar do retorno",IF(L17="Testar","Teste com a voz antes do evento",IF(I17="Sim","Ligue o phantom com o canal fechado","Manter"))))))))))</f>
        <v/>
      </c>
      <c r="N17" s="22" t="str">
        <f aca="false">IF(C17="","",IFERROR(VLOOKUP(C17,Referência!$B$6:$I$15,6,FALSE()),""))</f>
        <v/>
      </c>
    </row>
    <row r="18" customFormat="false" ht="30" hidden="false" customHeight="true" outlineLevel="0" collapsed="false">
      <c r="B18" s="17" t="n">
        <v>6</v>
      </c>
      <c r="C18" s="18"/>
      <c r="D18" s="5"/>
      <c r="E18" s="18"/>
      <c r="F18" s="21" t="str">
        <f aca="false">IF(E18="","",IFERROR(""&amp;VLOOKUP(E18,Inventário!$B$13:$J$42,3,FALSE()),""))</f>
        <v/>
      </c>
      <c r="G18" s="21" t="str">
        <f aca="false">IF(E18="","",IFERROR(""&amp;VLOOKUP(E18,Inventário!$B$13:$J$42,4,FALSE()),""))</f>
        <v/>
      </c>
      <c r="H18" s="21" t="str">
        <f aca="false">IF(E18="","",IFERROR(""&amp;VLOOKUP(E18,Inventário!$B$13:$J$42,5,FALSE()),""))</f>
        <v/>
      </c>
      <c r="I18" s="20" t="str">
        <f aca="false">IF(E18="","",IFERROR(""&amp;VLOOKUP(E18,Inventário!$B$13:$J$42,9,FALSE()),""))</f>
        <v/>
      </c>
      <c r="J18" s="22" t="str">
        <f aca="false">IF(C18="","",IFERROR(VLOOKUP(C18,Referência!$B$6:$I$15,2,FALSE()),"")&amp;", "&amp;IFERROR(VLOOKUP(C18,Referência!$B$6:$I$15,3,FALSE()),""))</f>
        <v/>
      </c>
      <c r="K18" s="22" t="str">
        <f aca="false">IF(C18="","",IFERROR(VLOOKUP(C18,Referência!$B$6:$I$15,5,FALSE()),""))</f>
        <v/>
      </c>
      <c r="L18" s="20" t="str">
        <f aca="false">IF(E18="",IF(C18="","","Sem microfone"),IF(IFERROR(""&amp;VLOOKUP(E18,Inventário!$B$13:$J$42,3,FALSE()),"")&amp;IFERROR(""&amp;VLOOKUP(E18,Inventário!$B$13:$J$42,4,FALSE()),"")&amp;IFERROR(""&amp;VLOOKUP(E18,Inventário!$B$13:$J$42,7,FALSE()),"")="","Não cadastrado",IF(IFERROR(""&amp;VLOOKUP(E18,Inventário!$B$13:$J$42,7,FALSE()),"")="Defeito","Defeito",IF(COUNTIF($E$13:E18,E18)&gt;1,"Repetido",IF(C18="","Sem fonte",IF(AND(IFERROR(VLOOKUP(C18,Referência!$B$6:$I$15,7,FALSE()),"")&lt;&gt;"Qualquer",G18&lt;&gt;IFERROR(VLOOKUP(C18,Referência!$B$6:$I$15,7,FALSE()),"")),"Tipo diferente",IF(NOT(OR(IFERROR(VLOOKUP(C18,Referência!$B$6:$I$15,8,FALSE()),"")="Qualquer",AND(IFERROR(VLOOKUP(C18,Referência!$B$6:$I$15,8,FALSE()),"")="Direcional",OR(H18="Cardioide",H18="Supercardioide",H18="Hipercardioide")),IFERROR(VLOOKUP(C18,Referência!$B$6:$I$15,8,FALSE()),"")=H18)),"Padrão diferente",IF(IFERROR(""&amp;VLOOKUP(E18,Inventário!$B$13:$J$42,7,FALSE()),"")&lt;&gt;"OK","Testar","OK"))))))))</f>
        <v/>
      </c>
      <c r="M18" s="22" t="str">
        <f aca="false">IF(L18="","",IF(L18="Sem microfone","Escolha um microfone do inventário",IF(L18="Não cadastrado","Cadastre o microfone na aba Inventário",IF(L18="Defeito","Troque de microfone e separe este para conserto",IF(L18="Repetido","Já está em um canal anterior: escolha outro",IF(L18="Sem fonte","Escolha o tipo de fonte",IF(L18="Tipo diferente","Sugestão: "&amp;IFERROR(VLOOKUP(C18,Referência!$B$6:$I$15,7,FALSE()),"")&amp;". Confira se este serve",IF(L18="Padrão diferente","Confira o padrão e o lugar do retorno",IF(L18="Testar","Teste com a voz antes do evento",IF(I18="Sim","Ligue o phantom com o canal fechado","Manter"))))))))))</f>
        <v/>
      </c>
      <c r="N18" s="22" t="str">
        <f aca="false">IF(C18="","",IFERROR(VLOOKUP(C18,Referência!$B$6:$I$15,6,FALSE()),""))</f>
        <v/>
      </c>
    </row>
    <row r="19" customFormat="false" ht="30" hidden="false" customHeight="true" outlineLevel="0" collapsed="false">
      <c r="B19" s="17" t="n">
        <v>7</v>
      </c>
      <c r="C19" s="18"/>
      <c r="D19" s="5"/>
      <c r="E19" s="18"/>
      <c r="F19" s="21" t="str">
        <f aca="false">IF(E19="","",IFERROR(""&amp;VLOOKUP(E19,Inventário!$B$13:$J$42,3,FALSE()),""))</f>
        <v/>
      </c>
      <c r="G19" s="21" t="str">
        <f aca="false">IF(E19="","",IFERROR(""&amp;VLOOKUP(E19,Inventário!$B$13:$J$42,4,FALSE()),""))</f>
        <v/>
      </c>
      <c r="H19" s="21" t="str">
        <f aca="false">IF(E19="","",IFERROR(""&amp;VLOOKUP(E19,Inventário!$B$13:$J$42,5,FALSE()),""))</f>
        <v/>
      </c>
      <c r="I19" s="20" t="str">
        <f aca="false">IF(E19="","",IFERROR(""&amp;VLOOKUP(E19,Inventário!$B$13:$J$42,9,FALSE()),""))</f>
        <v/>
      </c>
      <c r="J19" s="22" t="str">
        <f aca="false">IF(C19="","",IFERROR(VLOOKUP(C19,Referência!$B$6:$I$15,2,FALSE()),"")&amp;", "&amp;IFERROR(VLOOKUP(C19,Referência!$B$6:$I$15,3,FALSE()),""))</f>
        <v/>
      </c>
      <c r="K19" s="22" t="str">
        <f aca="false">IF(C19="","",IFERROR(VLOOKUP(C19,Referência!$B$6:$I$15,5,FALSE()),""))</f>
        <v/>
      </c>
      <c r="L19" s="20" t="str">
        <f aca="false">IF(E19="",IF(C19="","","Sem microfone"),IF(IFERROR(""&amp;VLOOKUP(E19,Inventário!$B$13:$J$42,3,FALSE()),"")&amp;IFERROR(""&amp;VLOOKUP(E19,Inventário!$B$13:$J$42,4,FALSE()),"")&amp;IFERROR(""&amp;VLOOKUP(E19,Inventário!$B$13:$J$42,7,FALSE()),"")="","Não cadastrado",IF(IFERROR(""&amp;VLOOKUP(E19,Inventário!$B$13:$J$42,7,FALSE()),"")="Defeito","Defeito",IF(COUNTIF($E$13:E19,E19)&gt;1,"Repetido",IF(C19="","Sem fonte",IF(AND(IFERROR(VLOOKUP(C19,Referência!$B$6:$I$15,7,FALSE()),"")&lt;&gt;"Qualquer",G19&lt;&gt;IFERROR(VLOOKUP(C19,Referência!$B$6:$I$15,7,FALSE()),"")),"Tipo diferente",IF(NOT(OR(IFERROR(VLOOKUP(C19,Referência!$B$6:$I$15,8,FALSE()),"")="Qualquer",AND(IFERROR(VLOOKUP(C19,Referência!$B$6:$I$15,8,FALSE()),"")="Direcional",OR(H19="Cardioide",H19="Supercardioide",H19="Hipercardioide")),IFERROR(VLOOKUP(C19,Referência!$B$6:$I$15,8,FALSE()),"")=H19)),"Padrão diferente",IF(IFERROR(""&amp;VLOOKUP(E19,Inventário!$B$13:$J$42,7,FALSE()),"")&lt;&gt;"OK","Testar","OK"))))))))</f>
        <v/>
      </c>
      <c r="M19" s="22" t="str">
        <f aca="false">IF(L19="","",IF(L19="Sem microfone","Escolha um microfone do inventário",IF(L19="Não cadastrado","Cadastre o microfone na aba Inventário",IF(L19="Defeito","Troque de microfone e separe este para conserto",IF(L19="Repetido","Já está em um canal anterior: escolha outro",IF(L19="Sem fonte","Escolha o tipo de fonte",IF(L19="Tipo diferente","Sugestão: "&amp;IFERROR(VLOOKUP(C19,Referência!$B$6:$I$15,7,FALSE()),"")&amp;". Confira se este serve",IF(L19="Padrão diferente","Confira o padrão e o lugar do retorno",IF(L19="Testar","Teste com a voz antes do evento",IF(I19="Sim","Ligue o phantom com o canal fechado","Manter"))))))))))</f>
        <v/>
      </c>
      <c r="N19" s="22" t="str">
        <f aca="false">IF(C19="","",IFERROR(VLOOKUP(C19,Referência!$B$6:$I$15,6,FALSE()),""))</f>
        <v/>
      </c>
    </row>
    <row r="20" customFormat="false" ht="30" hidden="false" customHeight="true" outlineLevel="0" collapsed="false">
      <c r="B20" s="17" t="n">
        <v>8</v>
      </c>
      <c r="C20" s="18"/>
      <c r="D20" s="5"/>
      <c r="E20" s="18"/>
      <c r="F20" s="21" t="str">
        <f aca="false">IF(E20="","",IFERROR(""&amp;VLOOKUP(E20,Inventário!$B$13:$J$42,3,FALSE()),""))</f>
        <v/>
      </c>
      <c r="G20" s="21" t="str">
        <f aca="false">IF(E20="","",IFERROR(""&amp;VLOOKUP(E20,Inventário!$B$13:$J$42,4,FALSE()),""))</f>
        <v/>
      </c>
      <c r="H20" s="21" t="str">
        <f aca="false">IF(E20="","",IFERROR(""&amp;VLOOKUP(E20,Inventário!$B$13:$J$42,5,FALSE()),""))</f>
        <v/>
      </c>
      <c r="I20" s="20" t="str">
        <f aca="false">IF(E20="","",IFERROR(""&amp;VLOOKUP(E20,Inventário!$B$13:$J$42,9,FALSE()),""))</f>
        <v/>
      </c>
      <c r="J20" s="22" t="str">
        <f aca="false">IF(C20="","",IFERROR(VLOOKUP(C20,Referência!$B$6:$I$15,2,FALSE()),"")&amp;", "&amp;IFERROR(VLOOKUP(C20,Referência!$B$6:$I$15,3,FALSE()),""))</f>
        <v/>
      </c>
      <c r="K20" s="22" t="str">
        <f aca="false">IF(C20="","",IFERROR(VLOOKUP(C20,Referência!$B$6:$I$15,5,FALSE()),""))</f>
        <v/>
      </c>
      <c r="L20" s="20" t="str">
        <f aca="false">IF(E20="",IF(C20="","","Sem microfone"),IF(IFERROR(""&amp;VLOOKUP(E20,Inventário!$B$13:$J$42,3,FALSE()),"")&amp;IFERROR(""&amp;VLOOKUP(E20,Inventário!$B$13:$J$42,4,FALSE()),"")&amp;IFERROR(""&amp;VLOOKUP(E20,Inventário!$B$13:$J$42,7,FALSE()),"")="","Não cadastrado",IF(IFERROR(""&amp;VLOOKUP(E20,Inventário!$B$13:$J$42,7,FALSE()),"")="Defeito","Defeito",IF(COUNTIF($E$13:E20,E20)&gt;1,"Repetido",IF(C20="","Sem fonte",IF(AND(IFERROR(VLOOKUP(C20,Referência!$B$6:$I$15,7,FALSE()),"")&lt;&gt;"Qualquer",G20&lt;&gt;IFERROR(VLOOKUP(C20,Referência!$B$6:$I$15,7,FALSE()),"")),"Tipo diferente",IF(NOT(OR(IFERROR(VLOOKUP(C20,Referência!$B$6:$I$15,8,FALSE()),"")="Qualquer",AND(IFERROR(VLOOKUP(C20,Referência!$B$6:$I$15,8,FALSE()),"")="Direcional",OR(H20="Cardioide",H20="Supercardioide",H20="Hipercardioide")),IFERROR(VLOOKUP(C20,Referência!$B$6:$I$15,8,FALSE()),"")=H20)),"Padrão diferente",IF(IFERROR(""&amp;VLOOKUP(E20,Inventário!$B$13:$J$42,7,FALSE()),"")&lt;&gt;"OK","Testar","OK"))))))))</f>
        <v/>
      </c>
      <c r="M20" s="22" t="str">
        <f aca="false">IF(L20="","",IF(L20="Sem microfone","Escolha um microfone do inventário",IF(L20="Não cadastrado","Cadastre o microfone na aba Inventário",IF(L20="Defeito","Troque de microfone e separe este para conserto",IF(L20="Repetido","Já está em um canal anterior: escolha outro",IF(L20="Sem fonte","Escolha o tipo de fonte",IF(L20="Tipo diferente","Sugestão: "&amp;IFERROR(VLOOKUP(C20,Referência!$B$6:$I$15,7,FALSE()),"")&amp;". Confira se este serve",IF(L20="Padrão diferente","Confira o padrão e o lugar do retorno",IF(L20="Testar","Teste com a voz antes do evento",IF(I20="Sim","Ligue o phantom com o canal fechado","Manter"))))))))))</f>
        <v/>
      </c>
      <c r="N20" s="22" t="str">
        <f aca="false">IF(C20="","",IFERROR(VLOOKUP(C20,Referência!$B$6:$I$15,6,FALSE()),""))</f>
        <v/>
      </c>
    </row>
    <row r="21" customFormat="false" ht="30" hidden="false" customHeight="true" outlineLevel="0" collapsed="false">
      <c r="B21" s="17" t="n">
        <v>9</v>
      </c>
      <c r="C21" s="18"/>
      <c r="D21" s="5"/>
      <c r="E21" s="18"/>
      <c r="F21" s="21" t="str">
        <f aca="false">IF(E21="","",IFERROR(""&amp;VLOOKUP(E21,Inventário!$B$13:$J$42,3,FALSE()),""))</f>
        <v/>
      </c>
      <c r="G21" s="21" t="str">
        <f aca="false">IF(E21="","",IFERROR(""&amp;VLOOKUP(E21,Inventário!$B$13:$J$42,4,FALSE()),""))</f>
        <v/>
      </c>
      <c r="H21" s="21" t="str">
        <f aca="false">IF(E21="","",IFERROR(""&amp;VLOOKUP(E21,Inventário!$B$13:$J$42,5,FALSE()),""))</f>
        <v/>
      </c>
      <c r="I21" s="20" t="str">
        <f aca="false">IF(E21="","",IFERROR(""&amp;VLOOKUP(E21,Inventário!$B$13:$J$42,9,FALSE()),""))</f>
        <v/>
      </c>
      <c r="J21" s="22" t="str">
        <f aca="false">IF(C21="","",IFERROR(VLOOKUP(C21,Referência!$B$6:$I$15,2,FALSE()),"")&amp;", "&amp;IFERROR(VLOOKUP(C21,Referência!$B$6:$I$15,3,FALSE()),""))</f>
        <v/>
      </c>
      <c r="K21" s="22" t="str">
        <f aca="false">IF(C21="","",IFERROR(VLOOKUP(C21,Referência!$B$6:$I$15,5,FALSE()),""))</f>
        <v/>
      </c>
      <c r="L21" s="20" t="str">
        <f aca="false">IF(E21="",IF(C21="","","Sem microfone"),IF(IFERROR(""&amp;VLOOKUP(E21,Inventário!$B$13:$J$42,3,FALSE()),"")&amp;IFERROR(""&amp;VLOOKUP(E21,Inventário!$B$13:$J$42,4,FALSE()),"")&amp;IFERROR(""&amp;VLOOKUP(E21,Inventário!$B$13:$J$42,7,FALSE()),"")="","Não cadastrado",IF(IFERROR(""&amp;VLOOKUP(E21,Inventário!$B$13:$J$42,7,FALSE()),"")="Defeito","Defeito",IF(COUNTIF($E$13:E21,E21)&gt;1,"Repetido",IF(C21="","Sem fonte",IF(AND(IFERROR(VLOOKUP(C21,Referência!$B$6:$I$15,7,FALSE()),"")&lt;&gt;"Qualquer",G21&lt;&gt;IFERROR(VLOOKUP(C21,Referência!$B$6:$I$15,7,FALSE()),"")),"Tipo diferente",IF(NOT(OR(IFERROR(VLOOKUP(C21,Referência!$B$6:$I$15,8,FALSE()),"")="Qualquer",AND(IFERROR(VLOOKUP(C21,Referência!$B$6:$I$15,8,FALSE()),"")="Direcional",OR(H21="Cardioide",H21="Supercardioide",H21="Hipercardioide")),IFERROR(VLOOKUP(C21,Referência!$B$6:$I$15,8,FALSE()),"")=H21)),"Padrão diferente",IF(IFERROR(""&amp;VLOOKUP(E21,Inventário!$B$13:$J$42,7,FALSE()),"")&lt;&gt;"OK","Testar","OK"))))))))</f>
        <v/>
      </c>
      <c r="M21" s="22" t="str">
        <f aca="false">IF(L21="","",IF(L21="Sem microfone","Escolha um microfone do inventário",IF(L21="Não cadastrado","Cadastre o microfone na aba Inventário",IF(L21="Defeito","Troque de microfone e separe este para conserto",IF(L21="Repetido","Já está em um canal anterior: escolha outro",IF(L21="Sem fonte","Escolha o tipo de fonte",IF(L21="Tipo diferente","Sugestão: "&amp;IFERROR(VLOOKUP(C21,Referência!$B$6:$I$15,7,FALSE()),"")&amp;". Confira se este serve",IF(L21="Padrão diferente","Confira o padrão e o lugar do retorno",IF(L21="Testar","Teste com a voz antes do evento",IF(I21="Sim","Ligue o phantom com o canal fechado","Manter"))))))))))</f>
        <v/>
      </c>
      <c r="N21" s="22" t="str">
        <f aca="false">IF(C21="","",IFERROR(VLOOKUP(C21,Referência!$B$6:$I$15,6,FALSE()),""))</f>
        <v/>
      </c>
    </row>
    <row r="22" customFormat="false" ht="30" hidden="false" customHeight="true" outlineLevel="0" collapsed="false">
      <c r="B22" s="17" t="n">
        <v>10</v>
      </c>
      <c r="C22" s="18"/>
      <c r="D22" s="5"/>
      <c r="E22" s="18"/>
      <c r="F22" s="21" t="str">
        <f aca="false">IF(E22="","",IFERROR(""&amp;VLOOKUP(E22,Inventário!$B$13:$J$42,3,FALSE()),""))</f>
        <v/>
      </c>
      <c r="G22" s="21" t="str">
        <f aca="false">IF(E22="","",IFERROR(""&amp;VLOOKUP(E22,Inventário!$B$13:$J$42,4,FALSE()),""))</f>
        <v/>
      </c>
      <c r="H22" s="21" t="str">
        <f aca="false">IF(E22="","",IFERROR(""&amp;VLOOKUP(E22,Inventário!$B$13:$J$42,5,FALSE()),""))</f>
        <v/>
      </c>
      <c r="I22" s="20" t="str">
        <f aca="false">IF(E22="","",IFERROR(""&amp;VLOOKUP(E22,Inventário!$B$13:$J$42,9,FALSE()),""))</f>
        <v/>
      </c>
      <c r="J22" s="22" t="str">
        <f aca="false">IF(C22="","",IFERROR(VLOOKUP(C22,Referência!$B$6:$I$15,2,FALSE()),"")&amp;", "&amp;IFERROR(VLOOKUP(C22,Referência!$B$6:$I$15,3,FALSE()),""))</f>
        <v/>
      </c>
      <c r="K22" s="22" t="str">
        <f aca="false">IF(C22="","",IFERROR(VLOOKUP(C22,Referência!$B$6:$I$15,5,FALSE()),""))</f>
        <v/>
      </c>
      <c r="L22" s="20" t="str">
        <f aca="false">IF(E22="",IF(C22="","","Sem microfone"),IF(IFERROR(""&amp;VLOOKUP(E22,Inventário!$B$13:$J$42,3,FALSE()),"")&amp;IFERROR(""&amp;VLOOKUP(E22,Inventário!$B$13:$J$42,4,FALSE()),"")&amp;IFERROR(""&amp;VLOOKUP(E22,Inventário!$B$13:$J$42,7,FALSE()),"")="","Não cadastrado",IF(IFERROR(""&amp;VLOOKUP(E22,Inventário!$B$13:$J$42,7,FALSE()),"")="Defeito","Defeito",IF(COUNTIF($E$13:E22,E22)&gt;1,"Repetido",IF(C22="","Sem fonte",IF(AND(IFERROR(VLOOKUP(C22,Referência!$B$6:$I$15,7,FALSE()),"")&lt;&gt;"Qualquer",G22&lt;&gt;IFERROR(VLOOKUP(C22,Referência!$B$6:$I$15,7,FALSE()),"")),"Tipo diferente",IF(NOT(OR(IFERROR(VLOOKUP(C22,Referência!$B$6:$I$15,8,FALSE()),"")="Qualquer",AND(IFERROR(VLOOKUP(C22,Referência!$B$6:$I$15,8,FALSE()),"")="Direcional",OR(H22="Cardioide",H22="Supercardioide",H22="Hipercardioide")),IFERROR(VLOOKUP(C22,Referência!$B$6:$I$15,8,FALSE()),"")=H22)),"Padrão diferente",IF(IFERROR(""&amp;VLOOKUP(E22,Inventário!$B$13:$J$42,7,FALSE()),"")&lt;&gt;"OK","Testar","OK"))))))))</f>
        <v/>
      </c>
      <c r="M22" s="22" t="str">
        <f aca="false">IF(L22="","",IF(L22="Sem microfone","Escolha um microfone do inventário",IF(L22="Não cadastrado","Cadastre o microfone na aba Inventário",IF(L22="Defeito","Troque de microfone e separe este para conserto",IF(L22="Repetido","Já está em um canal anterior: escolha outro",IF(L22="Sem fonte","Escolha o tipo de fonte",IF(L22="Tipo diferente","Sugestão: "&amp;IFERROR(VLOOKUP(C22,Referência!$B$6:$I$15,7,FALSE()),"")&amp;". Confira se este serve",IF(L22="Padrão diferente","Confira o padrão e o lugar do retorno",IF(L22="Testar","Teste com a voz antes do evento",IF(I22="Sim","Ligue o phantom com o canal fechado","Manter"))))))))))</f>
        <v/>
      </c>
      <c r="N22" s="22" t="str">
        <f aca="false">IF(C22="","",IFERROR(VLOOKUP(C22,Referência!$B$6:$I$15,6,FALSE()),""))</f>
        <v/>
      </c>
    </row>
    <row r="23" customFormat="false" ht="30" hidden="false" customHeight="true" outlineLevel="0" collapsed="false">
      <c r="B23" s="17" t="n">
        <v>11</v>
      </c>
      <c r="C23" s="18"/>
      <c r="D23" s="5"/>
      <c r="E23" s="18"/>
      <c r="F23" s="21" t="str">
        <f aca="false">IF(E23="","",IFERROR(""&amp;VLOOKUP(E23,Inventário!$B$13:$J$42,3,FALSE()),""))</f>
        <v/>
      </c>
      <c r="G23" s="21" t="str">
        <f aca="false">IF(E23="","",IFERROR(""&amp;VLOOKUP(E23,Inventário!$B$13:$J$42,4,FALSE()),""))</f>
        <v/>
      </c>
      <c r="H23" s="21" t="str">
        <f aca="false">IF(E23="","",IFERROR(""&amp;VLOOKUP(E23,Inventário!$B$13:$J$42,5,FALSE()),""))</f>
        <v/>
      </c>
      <c r="I23" s="20" t="str">
        <f aca="false">IF(E23="","",IFERROR(""&amp;VLOOKUP(E23,Inventário!$B$13:$J$42,9,FALSE()),""))</f>
        <v/>
      </c>
      <c r="J23" s="22" t="str">
        <f aca="false">IF(C23="","",IFERROR(VLOOKUP(C23,Referência!$B$6:$I$15,2,FALSE()),"")&amp;", "&amp;IFERROR(VLOOKUP(C23,Referência!$B$6:$I$15,3,FALSE()),""))</f>
        <v/>
      </c>
      <c r="K23" s="22" t="str">
        <f aca="false">IF(C23="","",IFERROR(VLOOKUP(C23,Referência!$B$6:$I$15,5,FALSE()),""))</f>
        <v/>
      </c>
      <c r="L23" s="20" t="str">
        <f aca="false">IF(E23="",IF(C23="","","Sem microfone"),IF(IFERROR(""&amp;VLOOKUP(E23,Inventário!$B$13:$J$42,3,FALSE()),"")&amp;IFERROR(""&amp;VLOOKUP(E23,Inventário!$B$13:$J$42,4,FALSE()),"")&amp;IFERROR(""&amp;VLOOKUP(E23,Inventário!$B$13:$J$42,7,FALSE()),"")="","Não cadastrado",IF(IFERROR(""&amp;VLOOKUP(E23,Inventário!$B$13:$J$42,7,FALSE()),"")="Defeito","Defeito",IF(COUNTIF($E$13:E23,E23)&gt;1,"Repetido",IF(C23="","Sem fonte",IF(AND(IFERROR(VLOOKUP(C23,Referência!$B$6:$I$15,7,FALSE()),"")&lt;&gt;"Qualquer",G23&lt;&gt;IFERROR(VLOOKUP(C23,Referência!$B$6:$I$15,7,FALSE()),"")),"Tipo diferente",IF(NOT(OR(IFERROR(VLOOKUP(C23,Referência!$B$6:$I$15,8,FALSE()),"")="Qualquer",AND(IFERROR(VLOOKUP(C23,Referência!$B$6:$I$15,8,FALSE()),"")="Direcional",OR(H23="Cardioide",H23="Supercardioide",H23="Hipercardioide")),IFERROR(VLOOKUP(C23,Referência!$B$6:$I$15,8,FALSE()),"")=H23)),"Padrão diferente",IF(IFERROR(""&amp;VLOOKUP(E23,Inventário!$B$13:$J$42,7,FALSE()),"")&lt;&gt;"OK","Testar","OK"))))))))</f>
        <v/>
      </c>
      <c r="M23" s="22" t="str">
        <f aca="false">IF(L23="","",IF(L23="Sem microfone","Escolha um microfone do inventário",IF(L23="Não cadastrado","Cadastre o microfone na aba Inventário",IF(L23="Defeito","Troque de microfone e separe este para conserto",IF(L23="Repetido","Já está em um canal anterior: escolha outro",IF(L23="Sem fonte","Escolha o tipo de fonte",IF(L23="Tipo diferente","Sugestão: "&amp;IFERROR(VLOOKUP(C23,Referência!$B$6:$I$15,7,FALSE()),"")&amp;". Confira se este serve",IF(L23="Padrão diferente","Confira o padrão e o lugar do retorno",IF(L23="Testar","Teste com a voz antes do evento",IF(I23="Sim","Ligue o phantom com o canal fechado","Manter"))))))))))</f>
        <v/>
      </c>
      <c r="N23" s="22" t="str">
        <f aca="false">IF(C23="","",IFERROR(VLOOKUP(C23,Referência!$B$6:$I$15,6,FALSE()),""))</f>
        <v/>
      </c>
    </row>
    <row r="24" customFormat="false" ht="30" hidden="false" customHeight="true" outlineLevel="0" collapsed="false">
      <c r="B24" s="17" t="n">
        <v>12</v>
      </c>
      <c r="C24" s="18"/>
      <c r="D24" s="5"/>
      <c r="E24" s="18"/>
      <c r="F24" s="21" t="str">
        <f aca="false">IF(E24="","",IFERROR(""&amp;VLOOKUP(E24,Inventário!$B$13:$J$42,3,FALSE()),""))</f>
        <v/>
      </c>
      <c r="G24" s="21" t="str">
        <f aca="false">IF(E24="","",IFERROR(""&amp;VLOOKUP(E24,Inventário!$B$13:$J$42,4,FALSE()),""))</f>
        <v/>
      </c>
      <c r="H24" s="21" t="str">
        <f aca="false">IF(E24="","",IFERROR(""&amp;VLOOKUP(E24,Inventário!$B$13:$J$42,5,FALSE()),""))</f>
        <v/>
      </c>
      <c r="I24" s="20" t="str">
        <f aca="false">IF(E24="","",IFERROR(""&amp;VLOOKUP(E24,Inventário!$B$13:$J$42,9,FALSE()),""))</f>
        <v/>
      </c>
      <c r="J24" s="22" t="str">
        <f aca="false">IF(C24="","",IFERROR(VLOOKUP(C24,Referência!$B$6:$I$15,2,FALSE()),"")&amp;", "&amp;IFERROR(VLOOKUP(C24,Referência!$B$6:$I$15,3,FALSE()),""))</f>
        <v/>
      </c>
      <c r="K24" s="22" t="str">
        <f aca="false">IF(C24="","",IFERROR(VLOOKUP(C24,Referência!$B$6:$I$15,5,FALSE()),""))</f>
        <v/>
      </c>
      <c r="L24" s="20" t="str">
        <f aca="false">IF(E24="",IF(C24="","","Sem microfone"),IF(IFERROR(""&amp;VLOOKUP(E24,Inventário!$B$13:$J$42,3,FALSE()),"")&amp;IFERROR(""&amp;VLOOKUP(E24,Inventário!$B$13:$J$42,4,FALSE()),"")&amp;IFERROR(""&amp;VLOOKUP(E24,Inventário!$B$13:$J$42,7,FALSE()),"")="","Não cadastrado",IF(IFERROR(""&amp;VLOOKUP(E24,Inventário!$B$13:$J$42,7,FALSE()),"")="Defeito","Defeito",IF(COUNTIF($E$13:E24,E24)&gt;1,"Repetido",IF(C24="","Sem fonte",IF(AND(IFERROR(VLOOKUP(C24,Referência!$B$6:$I$15,7,FALSE()),"")&lt;&gt;"Qualquer",G24&lt;&gt;IFERROR(VLOOKUP(C24,Referência!$B$6:$I$15,7,FALSE()),"")),"Tipo diferente",IF(NOT(OR(IFERROR(VLOOKUP(C24,Referência!$B$6:$I$15,8,FALSE()),"")="Qualquer",AND(IFERROR(VLOOKUP(C24,Referência!$B$6:$I$15,8,FALSE()),"")="Direcional",OR(H24="Cardioide",H24="Supercardioide",H24="Hipercardioide")),IFERROR(VLOOKUP(C24,Referência!$B$6:$I$15,8,FALSE()),"")=H24)),"Padrão diferente",IF(IFERROR(""&amp;VLOOKUP(E24,Inventário!$B$13:$J$42,7,FALSE()),"")&lt;&gt;"OK","Testar","OK"))))))))</f>
        <v/>
      </c>
      <c r="M24" s="22" t="str">
        <f aca="false">IF(L24="","",IF(L24="Sem microfone","Escolha um microfone do inventário",IF(L24="Não cadastrado","Cadastre o microfone na aba Inventário",IF(L24="Defeito","Troque de microfone e separe este para conserto",IF(L24="Repetido","Já está em um canal anterior: escolha outro",IF(L24="Sem fonte","Escolha o tipo de fonte",IF(L24="Tipo diferente","Sugestão: "&amp;IFERROR(VLOOKUP(C24,Referência!$B$6:$I$15,7,FALSE()),"")&amp;". Confira se este serve",IF(L24="Padrão diferente","Confira o padrão e o lugar do retorno",IF(L24="Testar","Teste com a voz antes do evento",IF(I24="Sim","Ligue o phantom com o canal fechado","Manter"))))))))))</f>
        <v/>
      </c>
      <c r="N24" s="22" t="str">
        <f aca="false">IF(C24="","",IFERROR(VLOOKUP(C24,Referência!$B$6:$I$15,6,FALSE()),""))</f>
        <v/>
      </c>
    </row>
    <row r="25" customFormat="false" ht="30" hidden="false" customHeight="true" outlineLevel="0" collapsed="false">
      <c r="B25" s="17" t="n">
        <v>13</v>
      </c>
      <c r="C25" s="18"/>
      <c r="D25" s="5"/>
      <c r="E25" s="18"/>
      <c r="F25" s="21" t="str">
        <f aca="false">IF(E25="","",IFERROR(""&amp;VLOOKUP(E25,Inventário!$B$13:$J$42,3,FALSE()),""))</f>
        <v/>
      </c>
      <c r="G25" s="21" t="str">
        <f aca="false">IF(E25="","",IFERROR(""&amp;VLOOKUP(E25,Inventário!$B$13:$J$42,4,FALSE()),""))</f>
        <v/>
      </c>
      <c r="H25" s="21" t="str">
        <f aca="false">IF(E25="","",IFERROR(""&amp;VLOOKUP(E25,Inventário!$B$13:$J$42,5,FALSE()),""))</f>
        <v/>
      </c>
      <c r="I25" s="20" t="str">
        <f aca="false">IF(E25="","",IFERROR(""&amp;VLOOKUP(E25,Inventário!$B$13:$J$42,9,FALSE()),""))</f>
        <v/>
      </c>
      <c r="J25" s="22" t="str">
        <f aca="false">IF(C25="","",IFERROR(VLOOKUP(C25,Referência!$B$6:$I$15,2,FALSE()),"")&amp;", "&amp;IFERROR(VLOOKUP(C25,Referência!$B$6:$I$15,3,FALSE()),""))</f>
        <v/>
      </c>
      <c r="K25" s="22" t="str">
        <f aca="false">IF(C25="","",IFERROR(VLOOKUP(C25,Referência!$B$6:$I$15,5,FALSE()),""))</f>
        <v/>
      </c>
      <c r="L25" s="20" t="str">
        <f aca="false">IF(E25="",IF(C25="","","Sem microfone"),IF(IFERROR(""&amp;VLOOKUP(E25,Inventário!$B$13:$J$42,3,FALSE()),"")&amp;IFERROR(""&amp;VLOOKUP(E25,Inventário!$B$13:$J$42,4,FALSE()),"")&amp;IFERROR(""&amp;VLOOKUP(E25,Inventário!$B$13:$J$42,7,FALSE()),"")="","Não cadastrado",IF(IFERROR(""&amp;VLOOKUP(E25,Inventário!$B$13:$J$42,7,FALSE()),"")="Defeito","Defeito",IF(COUNTIF($E$13:E25,E25)&gt;1,"Repetido",IF(C25="","Sem fonte",IF(AND(IFERROR(VLOOKUP(C25,Referência!$B$6:$I$15,7,FALSE()),"")&lt;&gt;"Qualquer",G25&lt;&gt;IFERROR(VLOOKUP(C25,Referência!$B$6:$I$15,7,FALSE()),"")),"Tipo diferente",IF(NOT(OR(IFERROR(VLOOKUP(C25,Referência!$B$6:$I$15,8,FALSE()),"")="Qualquer",AND(IFERROR(VLOOKUP(C25,Referência!$B$6:$I$15,8,FALSE()),"")="Direcional",OR(H25="Cardioide",H25="Supercardioide",H25="Hipercardioide")),IFERROR(VLOOKUP(C25,Referência!$B$6:$I$15,8,FALSE()),"")=H25)),"Padrão diferente",IF(IFERROR(""&amp;VLOOKUP(E25,Inventário!$B$13:$J$42,7,FALSE()),"")&lt;&gt;"OK","Testar","OK"))))))))</f>
        <v/>
      </c>
      <c r="M25" s="22" t="str">
        <f aca="false">IF(L25="","",IF(L25="Sem microfone","Escolha um microfone do inventário",IF(L25="Não cadastrado","Cadastre o microfone na aba Inventário",IF(L25="Defeito","Troque de microfone e separe este para conserto",IF(L25="Repetido","Já está em um canal anterior: escolha outro",IF(L25="Sem fonte","Escolha o tipo de fonte",IF(L25="Tipo diferente","Sugestão: "&amp;IFERROR(VLOOKUP(C25,Referência!$B$6:$I$15,7,FALSE()),"")&amp;". Confira se este serve",IF(L25="Padrão diferente","Confira o padrão e o lugar do retorno",IF(L25="Testar","Teste com a voz antes do evento",IF(I25="Sim","Ligue o phantom com o canal fechado","Manter"))))))))))</f>
        <v/>
      </c>
      <c r="N25" s="22" t="str">
        <f aca="false">IF(C25="","",IFERROR(VLOOKUP(C25,Referência!$B$6:$I$15,6,FALSE()),""))</f>
        <v/>
      </c>
    </row>
    <row r="26" customFormat="false" ht="30" hidden="false" customHeight="true" outlineLevel="0" collapsed="false">
      <c r="B26" s="17" t="n">
        <v>14</v>
      </c>
      <c r="C26" s="18"/>
      <c r="D26" s="5"/>
      <c r="E26" s="18"/>
      <c r="F26" s="21" t="str">
        <f aca="false">IF(E26="","",IFERROR(""&amp;VLOOKUP(E26,Inventário!$B$13:$J$42,3,FALSE()),""))</f>
        <v/>
      </c>
      <c r="G26" s="21" t="str">
        <f aca="false">IF(E26="","",IFERROR(""&amp;VLOOKUP(E26,Inventário!$B$13:$J$42,4,FALSE()),""))</f>
        <v/>
      </c>
      <c r="H26" s="21" t="str">
        <f aca="false">IF(E26="","",IFERROR(""&amp;VLOOKUP(E26,Inventário!$B$13:$J$42,5,FALSE()),""))</f>
        <v/>
      </c>
      <c r="I26" s="20" t="str">
        <f aca="false">IF(E26="","",IFERROR(""&amp;VLOOKUP(E26,Inventário!$B$13:$J$42,9,FALSE()),""))</f>
        <v/>
      </c>
      <c r="J26" s="22" t="str">
        <f aca="false">IF(C26="","",IFERROR(VLOOKUP(C26,Referência!$B$6:$I$15,2,FALSE()),"")&amp;", "&amp;IFERROR(VLOOKUP(C26,Referência!$B$6:$I$15,3,FALSE()),""))</f>
        <v/>
      </c>
      <c r="K26" s="22" t="str">
        <f aca="false">IF(C26="","",IFERROR(VLOOKUP(C26,Referência!$B$6:$I$15,5,FALSE()),""))</f>
        <v/>
      </c>
      <c r="L26" s="20" t="str">
        <f aca="false">IF(E26="",IF(C26="","","Sem microfone"),IF(IFERROR(""&amp;VLOOKUP(E26,Inventário!$B$13:$J$42,3,FALSE()),"")&amp;IFERROR(""&amp;VLOOKUP(E26,Inventário!$B$13:$J$42,4,FALSE()),"")&amp;IFERROR(""&amp;VLOOKUP(E26,Inventário!$B$13:$J$42,7,FALSE()),"")="","Não cadastrado",IF(IFERROR(""&amp;VLOOKUP(E26,Inventário!$B$13:$J$42,7,FALSE()),"")="Defeito","Defeito",IF(COUNTIF($E$13:E26,E26)&gt;1,"Repetido",IF(C26="","Sem fonte",IF(AND(IFERROR(VLOOKUP(C26,Referência!$B$6:$I$15,7,FALSE()),"")&lt;&gt;"Qualquer",G26&lt;&gt;IFERROR(VLOOKUP(C26,Referência!$B$6:$I$15,7,FALSE()),"")),"Tipo diferente",IF(NOT(OR(IFERROR(VLOOKUP(C26,Referência!$B$6:$I$15,8,FALSE()),"")="Qualquer",AND(IFERROR(VLOOKUP(C26,Referência!$B$6:$I$15,8,FALSE()),"")="Direcional",OR(H26="Cardioide",H26="Supercardioide",H26="Hipercardioide")),IFERROR(VLOOKUP(C26,Referência!$B$6:$I$15,8,FALSE()),"")=H26)),"Padrão diferente",IF(IFERROR(""&amp;VLOOKUP(E26,Inventário!$B$13:$J$42,7,FALSE()),"")&lt;&gt;"OK","Testar","OK"))))))))</f>
        <v/>
      </c>
      <c r="M26" s="22" t="str">
        <f aca="false">IF(L26="","",IF(L26="Sem microfone","Escolha um microfone do inventário",IF(L26="Não cadastrado","Cadastre o microfone na aba Inventário",IF(L26="Defeito","Troque de microfone e separe este para conserto",IF(L26="Repetido","Já está em um canal anterior: escolha outro",IF(L26="Sem fonte","Escolha o tipo de fonte",IF(L26="Tipo diferente","Sugestão: "&amp;IFERROR(VLOOKUP(C26,Referência!$B$6:$I$15,7,FALSE()),"")&amp;". Confira se este serve",IF(L26="Padrão diferente","Confira o padrão e o lugar do retorno",IF(L26="Testar","Teste com a voz antes do evento",IF(I26="Sim","Ligue o phantom com o canal fechado","Manter"))))))))))</f>
        <v/>
      </c>
      <c r="N26" s="22" t="str">
        <f aca="false">IF(C26="","",IFERROR(VLOOKUP(C26,Referência!$B$6:$I$15,6,FALSE()),""))</f>
        <v/>
      </c>
    </row>
    <row r="27" customFormat="false" ht="30" hidden="false" customHeight="true" outlineLevel="0" collapsed="false">
      <c r="B27" s="17" t="n">
        <v>15</v>
      </c>
      <c r="C27" s="18"/>
      <c r="D27" s="5"/>
      <c r="E27" s="18"/>
      <c r="F27" s="21" t="str">
        <f aca="false">IF(E27="","",IFERROR(""&amp;VLOOKUP(E27,Inventário!$B$13:$J$42,3,FALSE()),""))</f>
        <v/>
      </c>
      <c r="G27" s="21" t="str">
        <f aca="false">IF(E27="","",IFERROR(""&amp;VLOOKUP(E27,Inventário!$B$13:$J$42,4,FALSE()),""))</f>
        <v/>
      </c>
      <c r="H27" s="21" t="str">
        <f aca="false">IF(E27="","",IFERROR(""&amp;VLOOKUP(E27,Inventário!$B$13:$J$42,5,FALSE()),""))</f>
        <v/>
      </c>
      <c r="I27" s="20" t="str">
        <f aca="false">IF(E27="","",IFERROR(""&amp;VLOOKUP(E27,Inventário!$B$13:$J$42,9,FALSE()),""))</f>
        <v/>
      </c>
      <c r="J27" s="22" t="str">
        <f aca="false">IF(C27="","",IFERROR(VLOOKUP(C27,Referência!$B$6:$I$15,2,FALSE()),"")&amp;", "&amp;IFERROR(VLOOKUP(C27,Referência!$B$6:$I$15,3,FALSE()),""))</f>
        <v/>
      </c>
      <c r="K27" s="22" t="str">
        <f aca="false">IF(C27="","",IFERROR(VLOOKUP(C27,Referência!$B$6:$I$15,5,FALSE()),""))</f>
        <v/>
      </c>
      <c r="L27" s="20" t="str">
        <f aca="false">IF(E27="",IF(C27="","","Sem microfone"),IF(IFERROR(""&amp;VLOOKUP(E27,Inventário!$B$13:$J$42,3,FALSE()),"")&amp;IFERROR(""&amp;VLOOKUP(E27,Inventário!$B$13:$J$42,4,FALSE()),"")&amp;IFERROR(""&amp;VLOOKUP(E27,Inventário!$B$13:$J$42,7,FALSE()),"")="","Não cadastrado",IF(IFERROR(""&amp;VLOOKUP(E27,Inventário!$B$13:$J$42,7,FALSE()),"")="Defeito","Defeito",IF(COUNTIF($E$13:E27,E27)&gt;1,"Repetido",IF(C27="","Sem fonte",IF(AND(IFERROR(VLOOKUP(C27,Referência!$B$6:$I$15,7,FALSE()),"")&lt;&gt;"Qualquer",G27&lt;&gt;IFERROR(VLOOKUP(C27,Referência!$B$6:$I$15,7,FALSE()),"")),"Tipo diferente",IF(NOT(OR(IFERROR(VLOOKUP(C27,Referência!$B$6:$I$15,8,FALSE()),"")="Qualquer",AND(IFERROR(VLOOKUP(C27,Referência!$B$6:$I$15,8,FALSE()),"")="Direcional",OR(H27="Cardioide",H27="Supercardioide",H27="Hipercardioide")),IFERROR(VLOOKUP(C27,Referência!$B$6:$I$15,8,FALSE()),"")=H27)),"Padrão diferente",IF(IFERROR(""&amp;VLOOKUP(E27,Inventário!$B$13:$J$42,7,FALSE()),"")&lt;&gt;"OK","Testar","OK"))))))))</f>
        <v/>
      </c>
      <c r="M27" s="22" t="str">
        <f aca="false">IF(L27="","",IF(L27="Sem microfone","Escolha um microfone do inventário",IF(L27="Não cadastrado","Cadastre o microfone na aba Inventário",IF(L27="Defeito","Troque de microfone e separe este para conserto",IF(L27="Repetido","Já está em um canal anterior: escolha outro",IF(L27="Sem fonte","Escolha o tipo de fonte",IF(L27="Tipo diferente","Sugestão: "&amp;IFERROR(VLOOKUP(C27,Referência!$B$6:$I$15,7,FALSE()),"")&amp;". Confira se este serve",IF(L27="Padrão diferente","Confira o padrão e o lugar do retorno",IF(L27="Testar","Teste com a voz antes do evento",IF(I27="Sim","Ligue o phantom com o canal fechado","Manter"))))))))))</f>
        <v/>
      </c>
      <c r="N27" s="22" t="str">
        <f aca="false">IF(C27="","",IFERROR(VLOOKUP(C27,Referência!$B$6:$I$15,6,FALSE()),""))</f>
        <v/>
      </c>
    </row>
    <row r="28" customFormat="false" ht="30" hidden="false" customHeight="true" outlineLevel="0" collapsed="false">
      <c r="B28" s="17" t="n">
        <v>16</v>
      </c>
      <c r="C28" s="18"/>
      <c r="D28" s="5"/>
      <c r="E28" s="18"/>
      <c r="F28" s="21" t="str">
        <f aca="false">IF(E28="","",IFERROR(""&amp;VLOOKUP(E28,Inventário!$B$13:$J$42,3,FALSE()),""))</f>
        <v/>
      </c>
      <c r="G28" s="21" t="str">
        <f aca="false">IF(E28="","",IFERROR(""&amp;VLOOKUP(E28,Inventário!$B$13:$J$42,4,FALSE()),""))</f>
        <v/>
      </c>
      <c r="H28" s="21" t="str">
        <f aca="false">IF(E28="","",IFERROR(""&amp;VLOOKUP(E28,Inventário!$B$13:$J$42,5,FALSE()),""))</f>
        <v/>
      </c>
      <c r="I28" s="20" t="str">
        <f aca="false">IF(E28="","",IFERROR(""&amp;VLOOKUP(E28,Inventário!$B$13:$J$42,9,FALSE()),""))</f>
        <v/>
      </c>
      <c r="J28" s="22" t="str">
        <f aca="false">IF(C28="","",IFERROR(VLOOKUP(C28,Referência!$B$6:$I$15,2,FALSE()),"")&amp;", "&amp;IFERROR(VLOOKUP(C28,Referência!$B$6:$I$15,3,FALSE()),""))</f>
        <v/>
      </c>
      <c r="K28" s="22" t="str">
        <f aca="false">IF(C28="","",IFERROR(VLOOKUP(C28,Referência!$B$6:$I$15,5,FALSE()),""))</f>
        <v/>
      </c>
      <c r="L28" s="20" t="str">
        <f aca="false">IF(E28="",IF(C28="","","Sem microfone"),IF(IFERROR(""&amp;VLOOKUP(E28,Inventário!$B$13:$J$42,3,FALSE()),"")&amp;IFERROR(""&amp;VLOOKUP(E28,Inventário!$B$13:$J$42,4,FALSE()),"")&amp;IFERROR(""&amp;VLOOKUP(E28,Inventário!$B$13:$J$42,7,FALSE()),"")="","Não cadastrado",IF(IFERROR(""&amp;VLOOKUP(E28,Inventário!$B$13:$J$42,7,FALSE()),"")="Defeito","Defeito",IF(COUNTIF($E$13:E28,E28)&gt;1,"Repetido",IF(C28="","Sem fonte",IF(AND(IFERROR(VLOOKUP(C28,Referência!$B$6:$I$15,7,FALSE()),"")&lt;&gt;"Qualquer",G28&lt;&gt;IFERROR(VLOOKUP(C28,Referência!$B$6:$I$15,7,FALSE()),"")),"Tipo diferente",IF(NOT(OR(IFERROR(VLOOKUP(C28,Referência!$B$6:$I$15,8,FALSE()),"")="Qualquer",AND(IFERROR(VLOOKUP(C28,Referência!$B$6:$I$15,8,FALSE()),"")="Direcional",OR(H28="Cardioide",H28="Supercardioide",H28="Hipercardioide")),IFERROR(VLOOKUP(C28,Referência!$B$6:$I$15,8,FALSE()),"")=H28)),"Padrão diferente",IF(IFERROR(""&amp;VLOOKUP(E28,Inventário!$B$13:$J$42,7,FALSE()),"")&lt;&gt;"OK","Testar","OK"))))))))</f>
        <v/>
      </c>
      <c r="M28" s="22" t="str">
        <f aca="false">IF(L28="","",IF(L28="Sem microfone","Escolha um microfone do inventário",IF(L28="Não cadastrado","Cadastre o microfone na aba Inventário",IF(L28="Defeito","Troque de microfone e separe este para conserto",IF(L28="Repetido","Já está em um canal anterior: escolha outro",IF(L28="Sem fonte","Escolha o tipo de fonte",IF(L28="Tipo diferente","Sugestão: "&amp;IFERROR(VLOOKUP(C28,Referência!$B$6:$I$15,7,FALSE()),"")&amp;". Confira se este serve",IF(L28="Padrão diferente","Confira o padrão e o lugar do retorno",IF(L28="Testar","Teste com a voz antes do evento",IF(I28="Sim","Ligue o phantom com o canal fechado","Manter"))))))))))</f>
        <v/>
      </c>
      <c r="N28" s="22" t="str">
        <f aca="false">IF(C28="","",IFERROR(VLOOKUP(C28,Referência!$B$6:$I$15,6,FALSE()),""))</f>
        <v/>
      </c>
    </row>
    <row r="29" customFormat="false" ht="30" hidden="false" customHeight="true" outlineLevel="0" collapsed="false">
      <c r="B29" s="17" t="n">
        <v>17</v>
      </c>
      <c r="C29" s="18"/>
      <c r="D29" s="5"/>
      <c r="E29" s="18"/>
      <c r="F29" s="21" t="str">
        <f aca="false">IF(E29="","",IFERROR(""&amp;VLOOKUP(E29,Inventário!$B$13:$J$42,3,FALSE()),""))</f>
        <v/>
      </c>
      <c r="G29" s="21" t="str">
        <f aca="false">IF(E29="","",IFERROR(""&amp;VLOOKUP(E29,Inventário!$B$13:$J$42,4,FALSE()),""))</f>
        <v/>
      </c>
      <c r="H29" s="21" t="str">
        <f aca="false">IF(E29="","",IFERROR(""&amp;VLOOKUP(E29,Inventário!$B$13:$J$42,5,FALSE()),""))</f>
        <v/>
      </c>
      <c r="I29" s="20" t="str">
        <f aca="false">IF(E29="","",IFERROR(""&amp;VLOOKUP(E29,Inventário!$B$13:$J$42,9,FALSE()),""))</f>
        <v/>
      </c>
      <c r="J29" s="22" t="str">
        <f aca="false">IF(C29="","",IFERROR(VLOOKUP(C29,Referência!$B$6:$I$15,2,FALSE()),"")&amp;", "&amp;IFERROR(VLOOKUP(C29,Referência!$B$6:$I$15,3,FALSE()),""))</f>
        <v/>
      </c>
      <c r="K29" s="22" t="str">
        <f aca="false">IF(C29="","",IFERROR(VLOOKUP(C29,Referência!$B$6:$I$15,5,FALSE()),""))</f>
        <v/>
      </c>
      <c r="L29" s="20" t="str">
        <f aca="false">IF(E29="",IF(C29="","","Sem microfone"),IF(IFERROR(""&amp;VLOOKUP(E29,Inventário!$B$13:$J$42,3,FALSE()),"")&amp;IFERROR(""&amp;VLOOKUP(E29,Inventário!$B$13:$J$42,4,FALSE()),"")&amp;IFERROR(""&amp;VLOOKUP(E29,Inventário!$B$13:$J$42,7,FALSE()),"")="","Não cadastrado",IF(IFERROR(""&amp;VLOOKUP(E29,Inventário!$B$13:$J$42,7,FALSE()),"")="Defeito","Defeito",IF(COUNTIF($E$13:E29,E29)&gt;1,"Repetido",IF(C29="","Sem fonte",IF(AND(IFERROR(VLOOKUP(C29,Referência!$B$6:$I$15,7,FALSE()),"")&lt;&gt;"Qualquer",G29&lt;&gt;IFERROR(VLOOKUP(C29,Referência!$B$6:$I$15,7,FALSE()),"")),"Tipo diferente",IF(NOT(OR(IFERROR(VLOOKUP(C29,Referência!$B$6:$I$15,8,FALSE()),"")="Qualquer",AND(IFERROR(VLOOKUP(C29,Referência!$B$6:$I$15,8,FALSE()),"")="Direcional",OR(H29="Cardioide",H29="Supercardioide",H29="Hipercardioide")),IFERROR(VLOOKUP(C29,Referência!$B$6:$I$15,8,FALSE()),"")=H29)),"Padrão diferente",IF(IFERROR(""&amp;VLOOKUP(E29,Inventário!$B$13:$J$42,7,FALSE()),"")&lt;&gt;"OK","Testar","OK"))))))))</f>
        <v/>
      </c>
      <c r="M29" s="22" t="str">
        <f aca="false">IF(L29="","",IF(L29="Sem microfone","Escolha um microfone do inventário",IF(L29="Não cadastrado","Cadastre o microfone na aba Inventário",IF(L29="Defeito","Troque de microfone e separe este para conserto",IF(L29="Repetido","Já está em um canal anterior: escolha outro",IF(L29="Sem fonte","Escolha o tipo de fonte",IF(L29="Tipo diferente","Sugestão: "&amp;IFERROR(VLOOKUP(C29,Referência!$B$6:$I$15,7,FALSE()),"")&amp;". Confira se este serve",IF(L29="Padrão diferente","Confira o padrão e o lugar do retorno",IF(L29="Testar","Teste com a voz antes do evento",IF(I29="Sim","Ligue o phantom com o canal fechado","Manter"))))))))))</f>
        <v/>
      </c>
      <c r="N29" s="22" t="str">
        <f aca="false">IF(C29="","",IFERROR(VLOOKUP(C29,Referência!$B$6:$I$15,6,FALSE()),""))</f>
        <v/>
      </c>
    </row>
    <row r="30" customFormat="false" ht="30" hidden="false" customHeight="true" outlineLevel="0" collapsed="false">
      <c r="B30" s="17" t="n">
        <v>18</v>
      </c>
      <c r="C30" s="18"/>
      <c r="D30" s="5"/>
      <c r="E30" s="18"/>
      <c r="F30" s="21" t="str">
        <f aca="false">IF(E30="","",IFERROR(""&amp;VLOOKUP(E30,Inventário!$B$13:$J$42,3,FALSE()),""))</f>
        <v/>
      </c>
      <c r="G30" s="21" t="str">
        <f aca="false">IF(E30="","",IFERROR(""&amp;VLOOKUP(E30,Inventário!$B$13:$J$42,4,FALSE()),""))</f>
        <v/>
      </c>
      <c r="H30" s="21" t="str">
        <f aca="false">IF(E30="","",IFERROR(""&amp;VLOOKUP(E30,Inventário!$B$13:$J$42,5,FALSE()),""))</f>
        <v/>
      </c>
      <c r="I30" s="20" t="str">
        <f aca="false">IF(E30="","",IFERROR(""&amp;VLOOKUP(E30,Inventário!$B$13:$J$42,9,FALSE()),""))</f>
        <v/>
      </c>
      <c r="J30" s="22" t="str">
        <f aca="false">IF(C30="","",IFERROR(VLOOKUP(C30,Referência!$B$6:$I$15,2,FALSE()),"")&amp;", "&amp;IFERROR(VLOOKUP(C30,Referência!$B$6:$I$15,3,FALSE()),""))</f>
        <v/>
      </c>
      <c r="K30" s="22" t="str">
        <f aca="false">IF(C30="","",IFERROR(VLOOKUP(C30,Referência!$B$6:$I$15,5,FALSE()),""))</f>
        <v/>
      </c>
      <c r="L30" s="20" t="str">
        <f aca="false">IF(E30="",IF(C30="","","Sem microfone"),IF(IFERROR(""&amp;VLOOKUP(E30,Inventário!$B$13:$J$42,3,FALSE()),"")&amp;IFERROR(""&amp;VLOOKUP(E30,Inventário!$B$13:$J$42,4,FALSE()),"")&amp;IFERROR(""&amp;VLOOKUP(E30,Inventário!$B$13:$J$42,7,FALSE()),"")="","Não cadastrado",IF(IFERROR(""&amp;VLOOKUP(E30,Inventário!$B$13:$J$42,7,FALSE()),"")="Defeito","Defeito",IF(COUNTIF($E$13:E30,E30)&gt;1,"Repetido",IF(C30="","Sem fonte",IF(AND(IFERROR(VLOOKUP(C30,Referência!$B$6:$I$15,7,FALSE()),"")&lt;&gt;"Qualquer",G30&lt;&gt;IFERROR(VLOOKUP(C30,Referência!$B$6:$I$15,7,FALSE()),"")),"Tipo diferente",IF(NOT(OR(IFERROR(VLOOKUP(C30,Referência!$B$6:$I$15,8,FALSE()),"")="Qualquer",AND(IFERROR(VLOOKUP(C30,Referência!$B$6:$I$15,8,FALSE()),"")="Direcional",OR(H30="Cardioide",H30="Supercardioide",H30="Hipercardioide")),IFERROR(VLOOKUP(C30,Referência!$B$6:$I$15,8,FALSE()),"")=H30)),"Padrão diferente",IF(IFERROR(""&amp;VLOOKUP(E30,Inventário!$B$13:$J$42,7,FALSE()),"")&lt;&gt;"OK","Testar","OK"))))))))</f>
        <v/>
      </c>
      <c r="M30" s="22" t="str">
        <f aca="false">IF(L30="","",IF(L30="Sem microfone","Escolha um microfone do inventário",IF(L30="Não cadastrado","Cadastre o microfone na aba Inventário",IF(L30="Defeito","Troque de microfone e separe este para conserto",IF(L30="Repetido","Já está em um canal anterior: escolha outro",IF(L30="Sem fonte","Escolha o tipo de fonte",IF(L30="Tipo diferente","Sugestão: "&amp;IFERROR(VLOOKUP(C30,Referência!$B$6:$I$15,7,FALSE()),"")&amp;". Confira se este serve",IF(L30="Padrão diferente","Confira o padrão e o lugar do retorno",IF(L30="Testar","Teste com a voz antes do evento",IF(I30="Sim","Ligue o phantom com o canal fechado","Manter"))))))))))</f>
        <v/>
      </c>
      <c r="N30" s="22" t="str">
        <f aca="false">IF(C30="","",IFERROR(VLOOKUP(C30,Referência!$B$6:$I$15,6,FALSE()),""))</f>
        <v/>
      </c>
    </row>
    <row r="31" customFormat="false" ht="30" hidden="false" customHeight="true" outlineLevel="0" collapsed="false">
      <c r="B31" s="17" t="n">
        <v>19</v>
      </c>
      <c r="C31" s="18"/>
      <c r="D31" s="5"/>
      <c r="E31" s="18"/>
      <c r="F31" s="21" t="str">
        <f aca="false">IF(E31="","",IFERROR(""&amp;VLOOKUP(E31,Inventário!$B$13:$J$42,3,FALSE()),""))</f>
        <v/>
      </c>
      <c r="G31" s="21" t="str">
        <f aca="false">IF(E31="","",IFERROR(""&amp;VLOOKUP(E31,Inventário!$B$13:$J$42,4,FALSE()),""))</f>
        <v/>
      </c>
      <c r="H31" s="21" t="str">
        <f aca="false">IF(E31="","",IFERROR(""&amp;VLOOKUP(E31,Inventário!$B$13:$J$42,5,FALSE()),""))</f>
        <v/>
      </c>
      <c r="I31" s="20" t="str">
        <f aca="false">IF(E31="","",IFERROR(""&amp;VLOOKUP(E31,Inventário!$B$13:$J$42,9,FALSE()),""))</f>
        <v/>
      </c>
      <c r="J31" s="22" t="str">
        <f aca="false">IF(C31="","",IFERROR(VLOOKUP(C31,Referência!$B$6:$I$15,2,FALSE()),"")&amp;", "&amp;IFERROR(VLOOKUP(C31,Referência!$B$6:$I$15,3,FALSE()),""))</f>
        <v/>
      </c>
      <c r="K31" s="22" t="str">
        <f aca="false">IF(C31="","",IFERROR(VLOOKUP(C31,Referência!$B$6:$I$15,5,FALSE()),""))</f>
        <v/>
      </c>
      <c r="L31" s="20" t="str">
        <f aca="false">IF(E31="",IF(C31="","","Sem microfone"),IF(IFERROR(""&amp;VLOOKUP(E31,Inventário!$B$13:$J$42,3,FALSE()),"")&amp;IFERROR(""&amp;VLOOKUP(E31,Inventário!$B$13:$J$42,4,FALSE()),"")&amp;IFERROR(""&amp;VLOOKUP(E31,Inventário!$B$13:$J$42,7,FALSE()),"")="","Não cadastrado",IF(IFERROR(""&amp;VLOOKUP(E31,Inventário!$B$13:$J$42,7,FALSE()),"")="Defeito","Defeito",IF(COUNTIF($E$13:E31,E31)&gt;1,"Repetido",IF(C31="","Sem fonte",IF(AND(IFERROR(VLOOKUP(C31,Referência!$B$6:$I$15,7,FALSE()),"")&lt;&gt;"Qualquer",G31&lt;&gt;IFERROR(VLOOKUP(C31,Referência!$B$6:$I$15,7,FALSE()),"")),"Tipo diferente",IF(NOT(OR(IFERROR(VLOOKUP(C31,Referência!$B$6:$I$15,8,FALSE()),"")="Qualquer",AND(IFERROR(VLOOKUP(C31,Referência!$B$6:$I$15,8,FALSE()),"")="Direcional",OR(H31="Cardioide",H31="Supercardioide",H31="Hipercardioide")),IFERROR(VLOOKUP(C31,Referência!$B$6:$I$15,8,FALSE()),"")=H31)),"Padrão diferente",IF(IFERROR(""&amp;VLOOKUP(E31,Inventário!$B$13:$J$42,7,FALSE()),"")&lt;&gt;"OK","Testar","OK"))))))))</f>
        <v/>
      </c>
      <c r="M31" s="22" t="str">
        <f aca="false">IF(L31="","",IF(L31="Sem microfone","Escolha um microfone do inventário",IF(L31="Não cadastrado","Cadastre o microfone na aba Inventário",IF(L31="Defeito","Troque de microfone e separe este para conserto",IF(L31="Repetido","Já está em um canal anterior: escolha outro",IF(L31="Sem fonte","Escolha o tipo de fonte",IF(L31="Tipo diferente","Sugestão: "&amp;IFERROR(VLOOKUP(C31,Referência!$B$6:$I$15,7,FALSE()),"")&amp;". Confira se este serve",IF(L31="Padrão diferente","Confira o padrão e o lugar do retorno",IF(L31="Testar","Teste com a voz antes do evento",IF(I31="Sim","Ligue o phantom com o canal fechado","Manter"))))))))))</f>
        <v/>
      </c>
      <c r="N31" s="22" t="str">
        <f aca="false">IF(C31="","",IFERROR(VLOOKUP(C31,Referência!$B$6:$I$15,6,FALSE()),""))</f>
        <v/>
      </c>
    </row>
    <row r="32" customFormat="false" ht="30" hidden="false" customHeight="true" outlineLevel="0" collapsed="false">
      <c r="B32" s="17" t="n">
        <v>20</v>
      </c>
      <c r="C32" s="18"/>
      <c r="D32" s="5"/>
      <c r="E32" s="18"/>
      <c r="F32" s="21" t="str">
        <f aca="false">IF(E32="","",IFERROR(""&amp;VLOOKUP(E32,Inventário!$B$13:$J$42,3,FALSE()),""))</f>
        <v/>
      </c>
      <c r="G32" s="21" t="str">
        <f aca="false">IF(E32="","",IFERROR(""&amp;VLOOKUP(E32,Inventário!$B$13:$J$42,4,FALSE()),""))</f>
        <v/>
      </c>
      <c r="H32" s="21" t="str">
        <f aca="false">IF(E32="","",IFERROR(""&amp;VLOOKUP(E32,Inventário!$B$13:$J$42,5,FALSE()),""))</f>
        <v/>
      </c>
      <c r="I32" s="20" t="str">
        <f aca="false">IF(E32="","",IFERROR(""&amp;VLOOKUP(E32,Inventário!$B$13:$J$42,9,FALSE()),""))</f>
        <v/>
      </c>
      <c r="J32" s="22" t="str">
        <f aca="false">IF(C32="","",IFERROR(VLOOKUP(C32,Referência!$B$6:$I$15,2,FALSE()),"")&amp;", "&amp;IFERROR(VLOOKUP(C32,Referência!$B$6:$I$15,3,FALSE()),""))</f>
        <v/>
      </c>
      <c r="K32" s="22" t="str">
        <f aca="false">IF(C32="","",IFERROR(VLOOKUP(C32,Referência!$B$6:$I$15,5,FALSE()),""))</f>
        <v/>
      </c>
      <c r="L32" s="20" t="str">
        <f aca="false">IF(E32="",IF(C32="","","Sem microfone"),IF(IFERROR(""&amp;VLOOKUP(E32,Inventário!$B$13:$J$42,3,FALSE()),"")&amp;IFERROR(""&amp;VLOOKUP(E32,Inventário!$B$13:$J$42,4,FALSE()),"")&amp;IFERROR(""&amp;VLOOKUP(E32,Inventário!$B$13:$J$42,7,FALSE()),"")="","Não cadastrado",IF(IFERROR(""&amp;VLOOKUP(E32,Inventário!$B$13:$J$42,7,FALSE()),"")="Defeito","Defeito",IF(COUNTIF($E$13:E32,E32)&gt;1,"Repetido",IF(C32="","Sem fonte",IF(AND(IFERROR(VLOOKUP(C32,Referência!$B$6:$I$15,7,FALSE()),"")&lt;&gt;"Qualquer",G32&lt;&gt;IFERROR(VLOOKUP(C32,Referência!$B$6:$I$15,7,FALSE()),"")),"Tipo diferente",IF(NOT(OR(IFERROR(VLOOKUP(C32,Referência!$B$6:$I$15,8,FALSE()),"")="Qualquer",AND(IFERROR(VLOOKUP(C32,Referência!$B$6:$I$15,8,FALSE()),"")="Direcional",OR(H32="Cardioide",H32="Supercardioide",H32="Hipercardioide")),IFERROR(VLOOKUP(C32,Referência!$B$6:$I$15,8,FALSE()),"")=H32)),"Padrão diferente",IF(IFERROR(""&amp;VLOOKUP(E32,Inventário!$B$13:$J$42,7,FALSE()),"")&lt;&gt;"OK","Testar","OK"))))))))</f>
        <v/>
      </c>
      <c r="M32" s="22" t="str">
        <f aca="false">IF(L32="","",IF(L32="Sem microfone","Escolha um microfone do inventário",IF(L32="Não cadastrado","Cadastre o microfone na aba Inventário",IF(L32="Defeito","Troque de microfone e separe este para conserto",IF(L32="Repetido","Já está em um canal anterior: escolha outro",IF(L32="Sem fonte","Escolha o tipo de fonte",IF(L32="Tipo diferente","Sugestão: "&amp;IFERROR(VLOOKUP(C32,Referência!$B$6:$I$15,7,FALSE()),"")&amp;". Confira se este serve",IF(L32="Padrão diferente","Confira o padrão e o lugar do retorno",IF(L32="Testar","Teste com a voz antes do evento",IF(I32="Sim","Ligue o phantom com o canal fechado","Manter"))))))))))</f>
        <v/>
      </c>
      <c r="N32" s="22" t="str">
        <f aca="false">IF(C32="","",IFERROR(VLOOKUP(C32,Referência!$B$6:$I$15,6,FALSE()),""))</f>
        <v/>
      </c>
    </row>
    <row r="34" customFormat="false" ht="21.75" hidden="false" customHeight="true" outlineLevel="0" collapsed="false">
      <c r="B34" s="11" t="s">
        <v>93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customFormat="false" ht="19.5" hidden="false" customHeight="true" outlineLevel="0" collapsed="false">
      <c r="B35" s="23" t="s">
        <v>130</v>
      </c>
      <c r="C35" s="23"/>
      <c r="D35" s="23"/>
      <c r="E35" s="8" t="n">
        <f aca="false">COUNTA(D13:D32)</f>
        <v>0</v>
      </c>
    </row>
    <row r="36" customFormat="false" ht="19.5" hidden="false" customHeight="true" outlineLevel="0" collapsed="false">
      <c r="B36" s="23" t="s">
        <v>131</v>
      </c>
      <c r="C36" s="23"/>
      <c r="D36" s="23"/>
      <c r="E36" s="8" t="n">
        <f aca="false">COUNTIF(L13:L32,"OK")</f>
        <v>0</v>
      </c>
    </row>
    <row r="37" customFormat="false" ht="19.5" hidden="false" customHeight="true" outlineLevel="0" collapsed="false">
      <c r="B37" s="23" t="s">
        <v>132</v>
      </c>
      <c r="C37" s="23"/>
      <c r="D37" s="23"/>
      <c r="E37" s="8" t="n">
        <f aca="false">COUNTIF(I13:I32,"Sim")</f>
        <v>0</v>
      </c>
    </row>
    <row r="38" customFormat="false" ht="19.5" hidden="false" customHeight="true" outlineLevel="0" collapsed="false">
      <c r="B38" s="23" t="s">
        <v>133</v>
      </c>
      <c r="C38" s="23"/>
      <c r="D38" s="23"/>
      <c r="E38" s="8" t="n">
        <f aca="false">COUNTIF(L13:L32,"Defeito")+COUNTIF(L13:L32,"Repetido")+COUNTIF(L13:L32,"Não cadastrado")</f>
        <v>0</v>
      </c>
    </row>
    <row r="39" customFormat="false" ht="19.5" hidden="false" customHeight="true" outlineLevel="0" collapsed="false">
      <c r="B39" s="23" t="s">
        <v>134</v>
      </c>
      <c r="C39" s="23"/>
      <c r="D39" s="23"/>
      <c r="E39" s="8" t="n">
        <f aca="false">COUNTIF(L13:L32,"Tipo diferente")+COUNTIF(L13:L32,"Padrão diferente")+COUNTIF(L13:L32,"Testar")+COUNTIF(L13:L32,"Sem microfone")+COUNTIF(L13:L32,"Sem fonte")</f>
        <v>0</v>
      </c>
    </row>
    <row r="40" customFormat="false" ht="21.75" hidden="false" customHeight="true" outlineLevel="0" collapsed="false">
      <c r="B40" s="23" t="s">
        <v>101</v>
      </c>
      <c r="C40" s="23"/>
      <c r="D40" s="23"/>
      <c r="E40" s="24" t="str">
        <f aca="false">IF(COUNTA(C13:C32)+COUNT(E13:E32)=0,"Liste as fontes do evento",IF(E38&gt;0,"Há microfone com defeito, repetido ou não cadastrado: troque antes do evento",IF(E39&gt;0,"Há escolhas a conferir","OK")))</f>
        <v>Liste as fontes do evento</v>
      </c>
      <c r="F40" s="24"/>
      <c r="G40" s="24"/>
      <c r="H40" s="24"/>
      <c r="I40" s="24"/>
      <c r="J40" s="24"/>
      <c r="K40" s="24"/>
      <c r="L40" s="24"/>
      <c r="M40" s="24"/>
      <c r="N40" s="24"/>
    </row>
  </sheetData>
  <mergeCells count="20">
    <mergeCell ref="B1:N1"/>
    <mergeCell ref="B2:N2"/>
    <mergeCell ref="B4:C4"/>
    <mergeCell ref="D4:G4"/>
    <mergeCell ref="I4:N6"/>
    <mergeCell ref="B5:C5"/>
    <mergeCell ref="D5:G5"/>
    <mergeCell ref="B6:C6"/>
    <mergeCell ref="D6:G6"/>
    <mergeCell ref="B7:C7"/>
    <mergeCell ref="D7:G7"/>
    <mergeCell ref="B9:N9"/>
    <mergeCell ref="B34:N34"/>
    <mergeCell ref="B35:D35"/>
    <mergeCell ref="B36:D36"/>
    <mergeCell ref="B37:D37"/>
    <mergeCell ref="B38:D38"/>
    <mergeCell ref="B39:D39"/>
    <mergeCell ref="B40:D40"/>
    <mergeCell ref="E40:N40"/>
  </mergeCells>
  <conditionalFormatting sqref="L13:L32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2">
      <formula>"Defeito"</formula>
    </cfRule>
    <cfRule type="cellIs" priority="4" operator="equal" aboveAverage="0" equalAverage="0" bottom="0" percent="0" rank="0" text="" dxfId="2">
      <formula>"Não cadastrado"</formula>
    </cfRule>
    <cfRule type="cellIs" priority="5" operator="equal" aboveAverage="0" equalAverage="0" bottom="0" percent="0" rank="0" text="" dxfId="2">
      <formula>"Repetido"</formula>
    </cfRule>
    <cfRule type="cellIs" priority="6" operator="equal" aboveAverage="0" equalAverage="0" bottom="0" percent="0" rank="0" text="" dxfId="1">
      <formula>"Tipo diferente"</formula>
    </cfRule>
    <cfRule type="cellIs" priority="7" operator="equal" aboveAverage="0" equalAverage="0" bottom="0" percent="0" rank="0" text="" dxfId="1">
      <formula>"Padrão diferente"</formula>
    </cfRule>
    <cfRule type="cellIs" priority="8" operator="equal" aboveAverage="0" equalAverage="0" bottom="0" percent="0" rank="0" text="" dxfId="1">
      <formula>"Testar"</formula>
    </cfRule>
    <cfRule type="cellIs" priority="9" operator="equal" aboveAverage="0" equalAverage="0" bottom="0" percent="0" rank="0" text="" dxfId="1">
      <formula>"Sem microfone"</formula>
    </cfRule>
    <cfRule type="cellIs" priority="10" operator="equal" aboveAverage="0" equalAverage="0" bottom="0" percent="0" rank="0" text="" dxfId="1">
      <formula>"Sem fonte"</formula>
    </cfRule>
  </conditionalFormatting>
  <conditionalFormatting sqref="I13:I32">
    <cfRule type="cellIs" priority="11" operator="equal" aboveAverage="0" equalAverage="0" bottom="0" percent="0" rank="0" text="" dxfId="3">
      <formula>"Sim"</formula>
    </cfRule>
  </conditionalFormatting>
  <conditionalFormatting sqref="E40:N40">
    <cfRule type="cellIs" priority="12" operator="equal" aboveAverage="0" equalAverage="0" bottom="0" percent="0" rank="0" text="" dxfId="0">
      <formula>"OK"</formula>
    </cfRule>
    <cfRule type="cellIs" priority="13" operator="notEqual" aboveAverage="0" equalAverage="0" bottom="0" percent="0" rank="0" text="" dxfId="1">
      <formula>"OK"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Escolha uma das opções da lista." errorStyle="stop" errorTitle="Valor inválido" operator="between" prompt="Tipo de fonte. Puxa a sugestão da aba Referência." promptTitle="Opções" showDropDown="false" showErrorMessage="true" showInputMessage="true" sqref="C13:C32" type="list">
      <formula1>"Voz cantada,Voz falada,Coral,Violão,Amplificador,Bumbo,Caixa e tons,Chimbal e pratos,Piano,Ambiente"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13:E32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N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4" min="3" style="0" width="22"/>
    <col collapsed="false" customWidth="true" hidden="false" outlineLevel="0" max="5" min="5" style="0" width="10"/>
    <col collapsed="false" customWidth="true" hidden="false" outlineLevel="0" max="7" min="6" style="0" width="11"/>
    <col collapsed="false" customWidth="true" hidden="false" outlineLevel="0" max="8" min="8" style="0" width="12"/>
    <col collapsed="false" customWidth="true" hidden="false" outlineLevel="0" max="10" min="9" style="0" width="11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5"/>
    <col collapsed="false" customWidth="true" hidden="false" outlineLevel="0" max="14" min="14" style="0" width="46"/>
    <col collapsed="false" customWidth="true" hidden="false" outlineLevel="0" max="15" min="15" style="0" width="2"/>
  </cols>
  <sheetData>
    <row r="1" customFormat="false" ht="31.5" hidden="false" customHeight="true" outlineLevel="0" collapsed="false">
      <c r="B1" s="1" t="s">
        <v>135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B2" s="2" t="s">
        <v>136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1.75" hidden="false" customHeight="true" outlineLevel="0" collapsed="false">
      <c r="B4" s="4" t="s">
        <v>104</v>
      </c>
      <c r="C4" s="4"/>
      <c r="D4" s="5"/>
      <c r="E4" s="5"/>
      <c r="F4" s="5"/>
      <c r="G4" s="5"/>
      <c r="I4" s="9" t="s">
        <v>137</v>
      </c>
      <c r="J4" s="9"/>
      <c r="K4" s="9"/>
      <c r="L4" s="9"/>
      <c r="M4" s="9"/>
      <c r="N4" s="9"/>
    </row>
    <row r="5" customFormat="false" ht="21.75" hidden="false" customHeight="true" outlineLevel="0" collapsed="false">
      <c r="B5" s="4" t="s">
        <v>107</v>
      </c>
      <c r="C5" s="4"/>
      <c r="D5" s="10"/>
      <c r="E5" s="10"/>
      <c r="F5" s="10"/>
      <c r="G5" s="10"/>
      <c r="I5" s="9"/>
      <c r="J5" s="9"/>
      <c r="K5" s="9"/>
      <c r="L5" s="9"/>
      <c r="M5" s="9"/>
      <c r="N5" s="9"/>
    </row>
    <row r="6" customFormat="false" ht="21.75" hidden="false" customHeight="true" outlineLevel="0" collapsed="false">
      <c r="B6" s="4" t="s">
        <v>138</v>
      </c>
      <c r="C6" s="4"/>
      <c r="D6" s="5"/>
      <c r="E6" s="5"/>
      <c r="F6" s="5"/>
      <c r="G6" s="5"/>
      <c r="I6" s="9"/>
      <c r="J6" s="9"/>
      <c r="K6" s="9"/>
      <c r="L6" s="9"/>
      <c r="M6" s="9"/>
      <c r="N6" s="9"/>
    </row>
    <row r="8" customFormat="false" ht="21.75" hidden="false" customHeight="true" outlineLevel="0" collapsed="false">
      <c r="B8" s="11" t="s">
        <v>139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customFormat="false" ht="30" hidden="false" customHeight="true" outlineLevel="0" collapsed="false">
      <c r="B9" s="12" t="s">
        <v>140</v>
      </c>
      <c r="C9" s="12" t="s">
        <v>141</v>
      </c>
      <c r="D9" s="12" t="s">
        <v>142</v>
      </c>
      <c r="E9" s="14" t="s">
        <v>143</v>
      </c>
      <c r="F9" s="14" t="s">
        <v>144</v>
      </c>
      <c r="G9" s="14" t="s">
        <v>145</v>
      </c>
      <c r="H9" s="14" t="s">
        <v>146</v>
      </c>
      <c r="I9" s="15" t="s">
        <v>147</v>
      </c>
      <c r="J9" s="15" t="s">
        <v>148</v>
      </c>
      <c r="K9" s="15" t="s">
        <v>149</v>
      </c>
      <c r="L9" s="15" t="s">
        <v>51</v>
      </c>
      <c r="M9" s="15" t="s">
        <v>72</v>
      </c>
      <c r="N9" s="15" t="s">
        <v>117</v>
      </c>
    </row>
    <row r="10" customFormat="false" ht="21.75" hidden="false" customHeight="true" outlineLevel="0" collapsed="false">
      <c r="B10" s="16" t="s">
        <v>119</v>
      </c>
      <c r="C10" s="16" t="s">
        <v>150</v>
      </c>
      <c r="D10" s="16" t="s">
        <v>150</v>
      </c>
      <c r="E10" s="16" t="s">
        <v>151</v>
      </c>
      <c r="F10" s="16" t="s">
        <v>152</v>
      </c>
      <c r="G10" s="16" t="s">
        <v>152</v>
      </c>
      <c r="H10" s="16" t="s">
        <v>152</v>
      </c>
      <c r="I10" s="16" t="s">
        <v>152</v>
      </c>
      <c r="J10" s="16" t="s">
        <v>153</v>
      </c>
      <c r="K10" s="16" t="s">
        <v>154</v>
      </c>
      <c r="L10" s="16" t="s">
        <v>155</v>
      </c>
      <c r="M10" s="16"/>
      <c r="N10" s="16"/>
    </row>
    <row r="11" customFormat="false" ht="30" hidden="false" customHeight="true" outlineLevel="0" collapsed="false">
      <c r="B11" s="16" t="s">
        <v>81</v>
      </c>
      <c r="C11" s="9" t="s">
        <v>156</v>
      </c>
      <c r="D11" s="9" t="s">
        <v>157</v>
      </c>
      <c r="E11" s="16" t="s">
        <v>158</v>
      </c>
      <c r="F11" s="16" t="n">
        <v>50</v>
      </c>
      <c r="G11" s="16" t="n">
        <v>50</v>
      </c>
      <c r="H11" s="16" t="n">
        <v>60</v>
      </c>
      <c r="I11" s="16" t="n">
        <v>50</v>
      </c>
      <c r="J11" s="16" t="n">
        <v>150</v>
      </c>
      <c r="K11" s="16" t="n">
        <v>1.2</v>
      </c>
      <c r="L11" s="16" t="n">
        <v>3.9</v>
      </c>
      <c r="M11" s="16" t="s">
        <v>159</v>
      </c>
      <c r="N11" s="9" t="s">
        <v>160</v>
      </c>
    </row>
    <row r="12" customFormat="false" ht="15" hidden="false" customHeight="true" outlineLevel="0" collapsed="false">
      <c r="B12" s="9" t="s">
        <v>161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customFormat="false" ht="30" hidden="false" customHeight="true" outlineLevel="0" collapsed="false">
      <c r="B13" s="17" t="n">
        <v>1</v>
      </c>
      <c r="C13" s="5"/>
      <c r="D13" s="5"/>
      <c r="E13" s="18"/>
      <c r="F13" s="18"/>
      <c r="G13" s="18"/>
      <c r="H13" s="18"/>
      <c r="I13" s="21" t="str">
        <f aca="false">IF(OR(F13="",G13="",H13=""),"",MAX(F13,G13))</f>
        <v/>
      </c>
      <c r="J13" s="21" t="str">
        <f aca="false">IF(I13="","",3*I13)</f>
        <v/>
      </c>
      <c r="K13" s="25" t="str">
        <f aca="false">IF(OR(I13="",I13=0),"",ROUND(H13/I13,1))</f>
        <v/>
      </c>
      <c r="L13" s="26" t="str">
        <f aca="false">IF(OR(I13="",I13=0),"",ROUND(20*LOG10(SQRT(H13^2+I13^2)/I13),1))</f>
        <v/>
      </c>
      <c r="M13" s="20" t="str">
        <f aca="false">IF(K13="","",IF(E13="Não","Não somam",IF(K13&gt;=3,"OK",IF(K13&gt;=2,"Perto do limite","Fora da regra"))))</f>
        <v/>
      </c>
      <c r="N13" s="22" t="str">
        <f aca="false">IF(M13="","",IF(M13="Não somam","Mantenha só um aberto por vez",IF(M13="OK","Manter","Aproxime cada microfone a até "&amp;ROUND(H13/3,0)&amp;" cm da fonte, ou afaste os microfones para "&amp;J13&amp;" cm")))</f>
        <v/>
      </c>
    </row>
    <row r="14" customFormat="false" ht="30" hidden="false" customHeight="true" outlineLevel="0" collapsed="false">
      <c r="B14" s="17" t="n">
        <v>2</v>
      </c>
      <c r="C14" s="5"/>
      <c r="D14" s="5"/>
      <c r="E14" s="18"/>
      <c r="F14" s="18"/>
      <c r="G14" s="18"/>
      <c r="H14" s="18"/>
      <c r="I14" s="21" t="str">
        <f aca="false">IF(OR(F14="",G14="",H14=""),"",MAX(F14,G14))</f>
        <v/>
      </c>
      <c r="J14" s="21" t="str">
        <f aca="false">IF(I14="","",3*I14)</f>
        <v/>
      </c>
      <c r="K14" s="25" t="str">
        <f aca="false">IF(OR(I14="",I14=0),"",ROUND(H14/I14,1))</f>
        <v/>
      </c>
      <c r="L14" s="26" t="str">
        <f aca="false">IF(OR(I14="",I14=0),"",ROUND(20*LOG10(SQRT(H14^2+I14^2)/I14),1))</f>
        <v/>
      </c>
      <c r="M14" s="20" t="str">
        <f aca="false">IF(K14="","",IF(E14="Não","Não somam",IF(K14&gt;=3,"OK",IF(K14&gt;=2,"Perto do limite","Fora da regra"))))</f>
        <v/>
      </c>
      <c r="N14" s="22" t="str">
        <f aca="false">IF(M14="","",IF(M14="Não somam","Mantenha só um aberto por vez",IF(M14="OK","Manter","Aproxime cada microfone a até "&amp;ROUND(H14/3,0)&amp;" cm da fonte, ou afaste os microfones para "&amp;J14&amp;" cm")))</f>
        <v/>
      </c>
    </row>
    <row r="15" customFormat="false" ht="30" hidden="false" customHeight="true" outlineLevel="0" collapsed="false">
      <c r="B15" s="17" t="n">
        <v>3</v>
      </c>
      <c r="C15" s="5"/>
      <c r="D15" s="5"/>
      <c r="E15" s="18"/>
      <c r="F15" s="18"/>
      <c r="G15" s="18"/>
      <c r="H15" s="18"/>
      <c r="I15" s="21" t="str">
        <f aca="false">IF(OR(F15="",G15="",H15=""),"",MAX(F15,G15))</f>
        <v/>
      </c>
      <c r="J15" s="21" t="str">
        <f aca="false">IF(I15="","",3*I15)</f>
        <v/>
      </c>
      <c r="K15" s="25" t="str">
        <f aca="false">IF(OR(I15="",I15=0),"",ROUND(H15/I15,1))</f>
        <v/>
      </c>
      <c r="L15" s="26" t="str">
        <f aca="false">IF(OR(I15="",I15=0),"",ROUND(20*LOG10(SQRT(H15^2+I15^2)/I15),1))</f>
        <v/>
      </c>
      <c r="M15" s="20" t="str">
        <f aca="false">IF(K15="","",IF(E15="Não","Não somam",IF(K15&gt;=3,"OK",IF(K15&gt;=2,"Perto do limite","Fora da regra"))))</f>
        <v/>
      </c>
      <c r="N15" s="22" t="str">
        <f aca="false">IF(M15="","",IF(M15="Não somam","Mantenha só um aberto por vez",IF(M15="OK","Manter","Aproxime cada microfone a até "&amp;ROUND(H15/3,0)&amp;" cm da fonte, ou afaste os microfones para "&amp;J15&amp;" cm")))</f>
        <v/>
      </c>
    </row>
    <row r="16" customFormat="false" ht="30" hidden="false" customHeight="true" outlineLevel="0" collapsed="false">
      <c r="B16" s="17" t="n">
        <v>4</v>
      </c>
      <c r="C16" s="5"/>
      <c r="D16" s="5"/>
      <c r="E16" s="18"/>
      <c r="F16" s="18"/>
      <c r="G16" s="18"/>
      <c r="H16" s="18"/>
      <c r="I16" s="21" t="str">
        <f aca="false">IF(OR(F16="",G16="",H16=""),"",MAX(F16,G16))</f>
        <v/>
      </c>
      <c r="J16" s="21" t="str">
        <f aca="false">IF(I16="","",3*I16)</f>
        <v/>
      </c>
      <c r="K16" s="25" t="str">
        <f aca="false">IF(OR(I16="",I16=0),"",ROUND(H16/I16,1))</f>
        <v/>
      </c>
      <c r="L16" s="26" t="str">
        <f aca="false">IF(OR(I16="",I16=0),"",ROUND(20*LOG10(SQRT(H16^2+I16^2)/I16),1))</f>
        <v/>
      </c>
      <c r="M16" s="20" t="str">
        <f aca="false">IF(K16="","",IF(E16="Não","Não somam",IF(K16&gt;=3,"OK",IF(K16&gt;=2,"Perto do limite","Fora da regra"))))</f>
        <v/>
      </c>
      <c r="N16" s="22" t="str">
        <f aca="false">IF(M16="","",IF(M16="Não somam","Mantenha só um aberto por vez",IF(M16="OK","Manter","Aproxime cada microfone a até "&amp;ROUND(H16/3,0)&amp;" cm da fonte, ou afaste os microfones para "&amp;J16&amp;" cm")))</f>
        <v/>
      </c>
    </row>
    <row r="17" customFormat="false" ht="30" hidden="false" customHeight="true" outlineLevel="0" collapsed="false">
      <c r="B17" s="17" t="n">
        <v>5</v>
      </c>
      <c r="C17" s="5"/>
      <c r="D17" s="5"/>
      <c r="E17" s="18"/>
      <c r="F17" s="18"/>
      <c r="G17" s="18"/>
      <c r="H17" s="18"/>
      <c r="I17" s="21" t="str">
        <f aca="false">IF(OR(F17="",G17="",H17=""),"",MAX(F17,G17))</f>
        <v/>
      </c>
      <c r="J17" s="21" t="str">
        <f aca="false">IF(I17="","",3*I17)</f>
        <v/>
      </c>
      <c r="K17" s="25" t="str">
        <f aca="false">IF(OR(I17="",I17=0),"",ROUND(H17/I17,1))</f>
        <v/>
      </c>
      <c r="L17" s="26" t="str">
        <f aca="false">IF(OR(I17="",I17=0),"",ROUND(20*LOG10(SQRT(H17^2+I17^2)/I17),1))</f>
        <v/>
      </c>
      <c r="M17" s="20" t="str">
        <f aca="false">IF(K17="","",IF(E17="Não","Não somam",IF(K17&gt;=3,"OK",IF(K17&gt;=2,"Perto do limite","Fora da regra"))))</f>
        <v/>
      </c>
      <c r="N17" s="22" t="str">
        <f aca="false">IF(M17="","",IF(M17="Não somam","Mantenha só um aberto por vez",IF(M17="OK","Manter","Aproxime cada microfone a até "&amp;ROUND(H17/3,0)&amp;" cm da fonte, ou afaste os microfones para "&amp;J17&amp;" cm")))</f>
        <v/>
      </c>
    </row>
    <row r="18" customFormat="false" ht="30" hidden="false" customHeight="true" outlineLevel="0" collapsed="false">
      <c r="B18" s="17" t="n">
        <v>6</v>
      </c>
      <c r="C18" s="5"/>
      <c r="D18" s="5"/>
      <c r="E18" s="18"/>
      <c r="F18" s="18"/>
      <c r="G18" s="18"/>
      <c r="H18" s="18"/>
      <c r="I18" s="21" t="str">
        <f aca="false">IF(OR(F18="",G18="",H18=""),"",MAX(F18,G18))</f>
        <v/>
      </c>
      <c r="J18" s="21" t="str">
        <f aca="false">IF(I18="","",3*I18)</f>
        <v/>
      </c>
      <c r="K18" s="25" t="str">
        <f aca="false">IF(OR(I18="",I18=0),"",ROUND(H18/I18,1))</f>
        <v/>
      </c>
      <c r="L18" s="26" t="str">
        <f aca="false">IF(OR(I18="",I18=0),"",ROUND(20*LOG10(SQRT(H18^2+I18^2)/I18),1))</f>
        <v/>
      </c>
      <c r="M18" s="20" t="str">
        <f aca="false">IF(K18="","",IF(E18="Não","Não somam",IF(K18&gt;=3,"OK",IF(K18&gt;=2,"Perto do limite","Fora da regra"))))</f>
        <v/>
      </c>
      <c r="N18" s="22" t="str">
        <f aca="false">IF(M18="","",IF(M18="Não somam","Mantenha só um aberto por vez",IF(M18="OK","Manter","Aproxime cada microfone a até "&amp;ROUND(H18/3,0)&amp;" cm da fonte, ou afaste os microfones para "&amp;J18&amp;" cm")))</f>
        <v/>
      </c>
    </row>
    <row r="19" customFormat="false" ht="30" hidden="false" customHeight="true" outlineLevel="0" collapsed="false">
      <c r="B19" s="17" t="n">
        <v>7</v>
      </c>
      <c r="C19" s="5"/>
      <c r="D19" s="5"/>
      <c r="E19" s="18"/>
      <c r="F19" s="18"/>
      <c r="G19" s="18"/>
      <c r="H19" s="18"/>
      <c r="I19" s="21" t="str">
        <f aca="false">IF(OR(F19="",G19="",H19=""),"",MAX(F19,G19))</f>
        <v/>
      </c>
      <c r="J19" s="21" t="str">
        <f aca="false">IF(I19="","",3*I19)</f>
        <v/>
      </c>
      <c r="K19" s="25" t="str">
        <f aca="false">IF(OR(I19="",I19=0),"",ROUND(H19/I19,1))</f>
        <v/>
      </c>
      <c r="L19" s="26" t="str">
        <f aca="false">IF(OR(I19="",I19=0),"",ROUND(20*LOG10(SQRT(H19^2+I19^2)/I19),1))</f>
        <v/>
      </c>
      <c r="M19" s="20" t="str">
        <f aca="false">IF(K19="","",IF(E19="Não","Não somam",IF(K19&gt;=3,"OK",IF(K19&gt;=2,"Perto do limite","Fora da regra"))))</f>
        <v/>
      </c>
      <c r="N19" s="22" t="str">
        <f aca="false">IF(M19="","",IF(M19="Não somam","Mantenha só um aberto por vez",IF(M19="OK","Manter","Aproxime cada microfone a até "&amp;ROUND(H19/3,0)&amp;" cm da fonte, ou afaste os microfones para "&amp;J19&amp;" cm")))</f>
        <v/>
      </c>
    </row>
    <row r="20" customFormat="false" ht="30" hidden="false" customHeight="true" outlineLevel="0" collapsed="false">
      <c r="B20" s="17" t="n">
        <v>8</v>
      </c>
      <c r="C20" s="5"/>
      <c r="D20" s="5"/>
      <c r="E20" s="18"/>
      <c r="F20" s="18"/>
      <c r="G20" s="18"/>
      <c r="H20" s="18"/>
      <c r="I20" s="21" t="str">
        <f aca="false">IF(OR(F20="",G20="",H20=""),"",MAX(F20,G20))</f>
        <v/>
      </c>
      <c r="J20" s="21" t="str">
        <f aca="false">IF(I20="","",3*I20)</f>
        <v/>
      </c>
      <c r="K20" s="25" t="str">
        <f aca="false">IF(OR(I20="",I20=0),"",ROUND(H20/I20,1))</f>
        <v/>
      </c>
      <c r="L20" s="26" t="str">
        <f aca="false">IF(OR(I20="",I20=0),"",ROUND(20*LOG10(SQRT(H20^2+I20^2)/I20),1))</f>
        <v/>
      </c>
      <c r="M20" s="20" t="str">
        <f aca="false">IF(K20="","",IF(E20="Não","Não somam",IF(K20&gt;=3,"OK",IF(K20&gt;=2,"Perto do limite","Fora da regra"))))</f>
        <v/>
      </c>
      <c r="N20" s="22" t="str">
        <f aca="false">IF(M20="","",IF(M20="Não somam","Mantenha só um aberto por vez",IF(M20="OK","Manter","Aproxime cada microfone a até "&amp;ROUND(H20/3,0)&amp;" cm da fonte, ou afaste os microfones para "&amp;J20&amp;" cm")))</f>
        <v/>
      </c>
    </row>
    <row r="21" customFormat="false" ht="30" hidden="false" customHeight="true" outlineLevel="0" collapsed="false">
      <c r="B21" s="17" t="n">
        <v>9</v>
      </c>
      <c r="C21" s="5"/>
      <c r="D21" s="5"/>
      <c r="E21" s="18"/>
      <c r="F21" s="18"/>
      <c r="G21" s="18"/>
      <c r="H21" s="18"/>
      <c r="I21" s="21" t="str">
        <f aca="false">IF(OR(F21="",G21="",H21=""),"",MAX(F21,G21))</f>
        <v/>
      </c>
      <c r="J21" s="21" t="str">
        <f aca="false">IF(I21="","",3*I21)</f>
        <v/>
      </c>
      <c r="K21" s="25" t="str">
        <f aca="false">IF(OR(I21="",I21=0),"",ROUND(H21/I21,1))</f>
        <v/>
      </c>
      <c r="L21" s="26" t="str">
        <f aca="false">IF(OR(I21="",I21=0),"",ROUND(20*LOG10(SQRT(H21^2+I21^2)/I21),1))</f>
        <v/>
      </c>
      <c r="M21" s="20" t="str">
        <f aca="false">IF(K21="","",IF(E21="Não","Não somam",IF(K21&gt;=3,"OK",IF(K21&gt;=2,"Perto do limite","Fora da regra"))))</f>
        <v/>
      </c>
      <c r="N21" s="22" t="str">
        <f aca="false">IF(M21="","",IF(M21="Não somam","Mantenha só um aberto por vez",IF(M21="OK","Manter","Aproxime cada microfone a até "&amp;ROUND(H21/3,0)&amp;" cm da fonte, ou afaste os microfones para "&amp;J21&amp;" cm")))</f>
        <v/>
      </c>
    </row>
    <row r="22" customFormat="false" ht="30" hidden="false" customHeight="true" outlineLevel="0" collapsed="false">
      <c r="B22" s="17" t="n">
        <v>10</v>
      </c>
      <c r="C22" s="5"/>
      <c r="D22" s="5"/>
      <c r="E22" s="18"/>
      <c r="F22" s="18"/>
      <c r="G22" s="18"/>
      <c r="H22" s="18"/>
      <c r="I22" s="21" t="str">
        <f aca="false">IF(OR(F22="",G22="",H22=""),"",MAX(F22,G22))</f>
        <v/>
      </c>
      <c r="J22" s="21" t="str">
        <f aca="false">IF(I22="","",3*I22)</f>
        <v/>
      </c>
      <c r="K22" s="25" t="str">
        <f aca="false">IF(OR(I22="",I22=0),"",ROUND(H22/I22,1))</f>
        <v/>
      </c>
      <c r="L22" s="26" t="str">
        <f aca="false">IF(OR(I22="",I22=0),"",ROUND(20*LOG10(SQRT(H22^2+I22^2)/I22),1))</f>
        <v/>
      </c>
      <c r="M22" s="20" t="str">
        <f aca="false">IF(K22="","",IF(E22="Não","Não somam",IF(K22&gt;=3,"OK",IF(K22&gt;=2,"Perto do limite","Fora da regra"))))</f>
        <v/>
      </c>
      <c r="N22" s="22" t="str">
        <f aca="false">IF(M22="","",IF(M22="Não somam","Mantenha só um aberto por vez",IF(M22="OK","Manter","Aproxime cada microfone a até "&amp;ROUND(H22/3,0)&amp;" cm da fonte, ou afaste os microfones para "&amp;J22&amp;" cm")))</f>
        <v/>
      </c>
    </row>
    <row r="23" customFormat="false" ht="30" hidden="false" customHeight="true" outlineLevel="0" collapsed="false">
      <c r="B23" s="17" t="n">
        <v>11</v>
      </c>
      <c r="C23" s="5"/>
      <c r="D23" s="5"/>
      <c r="E23" s="18"/>
      <c r="F23" s="18"/>
      <c r="G23" s="18"/>
      <c r="H23" s="18"/>
      <c r="I23" s="21" t="str">
        <f aca="false">IF(OR(F23="",G23="",H23=""),"",MAX(F23,G23))</f>
        <v/>
      </c>
      <c r="J23" s="21" t="str">
        <f aca="false">IF(I23="","",3*I23)</f>
        <v/>
      </c>
      <c r="K23" s="25" t="str">
        <f aca="false">IF(OR(I23="",I23=0),"",ROUND(H23/I23,1))</f>
        <v/>
      </c>
      <c r="L23" s="26" t="str">
        <f aca="false">IF(OR(I23="",I23=0),"",ROUND(20*LOG10(SQRT(H23^2+I23^2)/I23),1))</f>
        <v/>
      </c>
      <c r="M23" s="20" t="str">
        <f aca="false">IF(K23="","",IF(E23="Não","Não somam",IF(K23&gt;=3,"OK",IF(K23&gt;=2,"Perto do limite","Fora da regra"))))</f>
        <v/>
      </c>
      <c r="N23" s="22" t="str">
        <f aca="false">IF(M23="","",IF(M23="Não somam","Mantenha só um aberto por vez",IF(M23="OK","Manter","Aproxime cada microfone a até "&amp;ROUND(H23/3,0)&amp;" cm da fonte, ou afaste os microfones para "&amp;J23&amp;" cm")))</f>
        <v/>
      </c>
    </row>
    <row r="24" customFormat="false" ht="30" hidden="false" customHeight="true" outlineLevel="0" collapsed="false">
      <c r="B24" s="17" t="n">
        <v>12</v>
      </c>
      <c r="C24" s="5"/>
      <c r="D24" s="5"/>
      <c r="E24" s="18"/>
      <c r="F24" s="18"/>
      <c r="G24" s="18"/>
      <c r="H24" s="18"/>
      <c r="I24" s="21" t="str">
        <f aca="false">IF(OR(F24="",G24="",H24=""),"",MAX(F24,G24))</f>
        <v/>
      </c>
      <c r="J24" s="21" t="str">
        <f aca="false">IF(I24="","",3*I24)</f>
        <v/>
      </c>
      <c r="K24" s="25" t="str">
        <f aca="false">IF(OR(I24="",I24=0),"",ROUND(H24/I24,1))</f>
        <v/>
      </c>
      <c r="L24" s="26" t="str">
        <f aca="false">IF(OR(I24="",I24=0),"",ROUND(20*LOG10(SQRT(H24^2+I24^2)/I24),1))</f>
        <v/>
      </c>
      <c r="M24" s="20" t="str">
        <f aca="false">IF(K24="","",IF(E24="Não","Não somam",IF(K24&gt;=3,"OK",IF(K24&gt;=2,"Perto do limite","Fora da regra"))))</f>
        <v/>
      </c>
      <c r="N24" s="22" t="str">
        <f aca="false">IF(M24="","",IF(M24="Não somam","Mantenha só um aberto por vez",IF(M24="OK","Manter","Aproxime cada microfone a até "&amp;ROUND(H24/3,0)&amp;" cm da fonte, ou afaste os microfones para "&amp;J24&amp;" cm")))</f>
        <v/>
      </c>
    </row>
    <row r="26" customFormat="false" ht="21.75" hidden="false" customHeight="true" outlineLevel="0" collapsed="false">
      <c r="B26" s="11" t="s">
        <v>93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customFormat="false" ht="19.5" hidden="false" customHeight="true" outlineLevel="0" collapsed="false">
      <c r="B27" s="23" t="s">
        <v>162</v>
      </c>
      <c r="C27" s="23"/>
      <c r="D27" s="23"/>
      <c r="E27" s="8" t="n">
        <f aca="false">COUNTIF(M13:M24,"OK")+COUNTIF(M13:M24,"Não somam")+COUNTIF(M13:M24,"Perto do limite")+COUNTIF(M13:M24,"Fora da regra")</f>
        <v>0</v>
      </c>
    </row>
    <row r="28" customFormat="false" ht="19.5" hidden="false" customHeight="true" outlineLevel="0" collapsed="false">
      <c r="B28" s="23" t="s">
        <v>163</v>
      </c>
      <c r="C28" s="23"/>
      <c r="D28" s="23"/>
      <c r="E28" s="8" t="n">
        <f aca="false">COUNTIF(M13:M24,"OK")+COUNTIF(M13:M24,"Não somam")</f>
        <v>0</v>
      </c>
    </row>
    <row r="29" customFormat="false" ht="19.5" hidden="false" customHeight="true" outlineLevel="0" collapsed="false">
      <c r="B29" s="23" t="s">
        <v>164</v>
      </c>
      <c r="C29" s="23"/>
      <c r="D29" s="23"/>
      <c r="E29" s="8" t="n">
        <f aca="false">COUNTIF(M13:M24,"Perto do limite")</f>
        <v>0</v>
      </c>
    </row>
    <row r="30" customFormat="false" ht="19.5" hidden="false" customHeight="true" outlineLevel="0" collapsed="false">
      <c r="B30" s="23" t="s">
        <v>159</v>
      </c>
      <c r="C30" s="23"/>
      <c r="D30" s="23"/>
      <c r="E30" s="8" t="n">
        <f aca="false">COUNTIF(M13:M24,"Fora da regra")</f>
        <v>0</v>
      </c>
    </row>
    <row r="31" customFormat="false" ht="21.75" hidden="false" customHeight="true" outlineLevel="0" collapsed="false">
      <c r="B31" s="23" t="s">
        <v>101</v>
      </c>
      <c r="C31" s="23"/>
      <c r="D31" s="23"/>
      <c r="E31" s="24" t="str">
        <f aca="false">IF(E27=0,"Meça os pares de microfones abertos juntos",IF(E30&gt;0,"Há par fora da regra: aproxime cada microfone da sua fonte",IF(E29&gt;0,"Há par perto do limite: confira o timbre com os dois abertos","OK")))</f>
        <v>Meça os pares de microfones abertos juntos</v>
      </c>
      <c r="F31" s="24"/>
      <c r="G31" s="24"/>
      <c r="H31" s="24"/>
      <c r="I31" s="24"/>
      <c r="J31" s="24"/>
      <c r="K31" s="24"/>
      <c r="L31" s="24"/>
      <c r="M31" s="24"/>
      <c r="N31" s="24"/>
    </row>
    <row r="32" customFormat="false" ht="15" hidden="false" customHeight="true" outlineLevel="0" collapsed="false">
      <c r="B32" s="9" t="s">
        <v>165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</sheetData>
  <mergeCells count="19">
    <mergeCell ref="B1:N1"/>
    <mergeCell ref="B2:N2"/>
    <mergeCell ref="B4:C4"/>
    <mergeCell ref="D4:G4"/>
    <mergeCell ref="I4:N6"/>
    <mergeCell ref="B5:C5"/>
    <mergeCell ref="D5:G5"/>
    <mergeCell ref="B6:C6"/>
    <mergeCell ref="D6:G6"/>
    <mergeCell ref="B8:N8"/>
    <mergeCell ref="B12:N12"/>
    <mergeCell ref="B26:N26"/>
    <mergeCell ref="B27:D27"/>
    <mergeCell ref="B28:D28"/>
    <mergeCell ref="B29:D29"/>
    <mergeCell ref="B30:D30"/>
    <mergeCell ref="B31:D31"/>
    <mergeCell ref="E31:N31"/>
    <mergeCell ref="B32:N32"/>
  </mergeCells>
  <conditionalFormatting sqref="M13:M24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0">
      <formula>"Não somam"</formula>
    </cfRule>
    <cfRule type="cellIs" priority="4" operator="equal" aboveAverage="0" equalAverage="0" bottom="0" percent="0" rank="0" text="" dxfId="1">
      <formula>"Perto do limite"</formula>
    </cfRule>
    <cfRule type="cellIs" priority="5" operator="equal" aboveAverage="0" equalAverage="0" bottom="0" percent="0" rank="0" text="" dxfId="2">
      <formula>"Fora da regra"</formula>
    </cfRule>
  </conditionalFormatting>
  <conditionalFormatting sqref="E31:N31">
    <cfRule type="cellIs" priority="6" operator="equal" aboveAverage="0" equalAverage="0" bottom="0" percent="0" rank="0" text="" dxfId="0">
      <formula>"OK"</formula>
    </cfRule>
    <cfRule type="cellIs" priority="7" operator="notEqual" aboveAverage="0" equalAverage="0" bottom="0" percent="0" rank="0" text="" dxfId="1">
      <formula>"OK"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D5" type="date">
      <formula1>36526</formula1>
      <formula2>0</formula2>
    </dataValidation>
    <dataValidation allowBlank="true" error="Escolha uma das opções da lista." errorStyle="stop" errorTitle="Valor inválido" operator="between" prompt="Os dois ficam abertos ao mesmo tempo?" promptTitle="Opções" showDropDown="false" showErrorMessage="true" showInputMessage="true" sqref="E13:E24" type="list">
      <formula1>"Sim,Não"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F13:H24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17"/>
    <col collapsed="false" customWidth="true" hidden="false" outlineLevel="0" max="4" min="4" style="0" width="22"/>
    <col collapsed="false" customWidth="true" hidden="false" outlineLevel="0" max="6" min="5" style="0" width="24"/>
    <col collapsed="false" customWidth="true" hidden="false" outlineLevel="0" max="7" min="7" style="0" width="50"/>
    <col collapsed="false" customWidth="true" hidden="false" outlineLevel="0" max="9" min="8" style="0" width="13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1" t="s">
        <v>166</v>
      </c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B2" s="2" t="s">
        <v>167</v>
      </c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B4" s="11" t="s">
        <v>168</v>
      </c>
      <c r="C4" s="11"/>
      <c r="D4" s="11"/>
      <c r="E4" s="11"/>
      <c r="F4" s="11"/>
      <c r="G4" s="11"/>
      <c r="H4" s="11"/>
      <c r="I4" s="11"/>
    </row>
    <row r="5" customFormat="false" ht="21.75" hidden="false" customHeight="true" outlineLevel="0" collapsed="false">
      <c r="B5" s="8" t="s">
        <v>169</v>
      </c>
      <c r="C5" s="8" t="s">
        <v>65</v>
      </c>
      <c r="D5" s="8" t="s">
        <v>114</v>
      </c>
      <c r="E5" s="8" t="s">
        <v>64</v>
      </c>
      <c r="F5" s="8" t="s">
        <v>170</v>
      </c>
      <c r="G5" s="8" t="s">
        <v>171</v>
      </c>
      <c r="H5" s="8" t="s">
        <v>172</v>
      </c>
      <c r="I5" s="8" t="s">
        <v>173</v>
      </c>
    </row>
    <row r="6" customFormat="false" ht="31.5" hidden="false" customHeight="true" outlineLevel="0" collapsed="false">
      <c r="B6" s="27" t="s">
        <v>174</v>
      </c>
      <c r="C6" s="28" t="s">
        <v>84</v>
      </c>
      <c r="D6" s="28" t="s">
        <v>175</v>
      </c>
      <c r="E6" s="7" t="s">
        <v>83</v>
      </c>
      <c r="F6" s="7" t="s">
        <v>176</v>
      </c>
      <c r="G6" s="7" t="s">
        <v>177</v>
      </c>
      <c r="H6" s="28" t="s">
        <v>178</v>
      </c>
      <c r="I6" s="28" t="s">
        <v>179</v>
      </c>
    </row>
    <row r="7" customFormat="false" ht="31.5" hidden="false" customHeight="true" outlineLevel="0" collapsed="false">
      <c r="B7" s="27" t="s">
        <v>180</v>
      </c>
      <c r="C7" s="28" t="s">
        <v>181</v>
      </c>
      <c r="D7" s="28" t="s">
        <v>182</v>
      </c>
      <c r="E7" s="7" t="s">
        <v>183</v>
      </c>
      <c r="F7" s="7" t="s">
        <v>184</v>
      </c>
      <c r="G7" s="7" t="s">
        <v>185</v>
      </c>
      <c r="H7" s="28" t="s">
        <v>178</v>
      </c>
      <c r="I7" s="28" t="s">
        <v>178</v>
      </c>
    </row>
    <row r="8" customFormat="false" ht="31.5" hidden="false" customHeight="true" outlineLevel="0" collapsed="false">
      <c r="B8" s="27" t="s">
        <v>124</v>
      </c>
      <c r="C8" s="28" t="s">
        <v>186</v>
      </c>
      <c r="D8" s="28" t="s">
        <v>187</v>
      </c>
      <c r="E8" s="7" t="s">
        <v>188</v>
      </c>
      <c r="F8" s="7" t="s">
        <v>127</v>
      </c>
      <c r="G8" s="7" t="s">
        <v>189</v>
      </c>
      <c r="H8" s="28" t="s">
        <v>186</v>
      </c>
      <c r="I8" s="28" t="s">
        <v>179</v>
      </c>
    </row>
    <row r="9" customFormat="false" ht="31.5" hidden="false" customHeight="true" outlineLevel="0" collapsed="false">
      <c r="B9" s="27" t="s">
        <v>190</v>
      </c>
      <c r="C9" s="28" t="s">
        <v>186</v>
      </c>
      <c r="D9" s="28" t="s">
        <v>187</v>
      </c>
      <c r="E9" s="7" t="s">
        <v>191</v>
      </c>
      <c r="F9" s="7" t="s">
        <v>192</v>
      </c>
      <c r="G9" s="7" t="s">
        <v>193</v>
      </c>
      <c r="H9" s="28" t="s">
        <v>186</v>
      </c>
      <c r="I9" s="28" t="s">
        <v>179</v>
      </c>
    </row>
    <row r="10" customFormat="false" ht="31.5" hidden="false" customHeight="true" outlineLevel="0" collapsed="false">
      <c r="B10" s="27" t="s">
        <v>194</v>
      </c>
      <c r="C10" s="28" t="s">
        <v>84</v>
      </c>
      <c r="D10" s="28" t="s">
        <v>187</v>
      </c>
      <c r="E10" s="7" t="s">
        <v>195</v>
      </c>
      <c r="F10" s="7" t="s">
        <v>196</v>
      </c>
      <c r="G10" s="7" t="s">
        <v>197</v>
      </c>
      <c r="H10" s="28" t="s">
        <v>84</v>
      </c>
      <c r="I10" s="28" t="s">
        <v>179</v>
      </c>
    </row>
    <row r="11" customFormat="false" ht="31.5" hidden="false" customHeight="true" outlineLevel="0" collapsed="false">
      <c r="B11" s="27" t="s">
        <v>198</v>
      </c>
      <c r="C11" s="28" t="s">
        <v>84</v>
      </c>
      <c r="D11" s="28" t="s">
        <v>187</v>
      </c>
      <c r="E11" s="7" t="s">
        <v>199</v>
      </c>
      <c r="F11" s="7" t="s">
        <v>200</v>
      </c>
      <c r="G11" s="7" t="s">
        <v>201</v>
      </c>
      <c r="H11" s="28" t="s">
        <v>84</v>
      </c>
      <c r="I11" s="28" t="s">
        <v>179</v>
      </c>
    </row>
    <row r="12" customFormat="false" ht="31.5" hidden="false" customHeight="true" outlineLevel="0" collapsed="false">
      <c r="B12" s="27" t="s">
        <v>202</v>
      </c>
      <c r="C12" s="28" t="s">
        <v>84</v>
      </c>
      <c r="D12" s="28" t="s">
        <v>175</v>
      </c>
      <c r="E12" s="7" t="s">
        <v>203</v>
      </c>
      <c r="F12" s="7" t="s">
        <v>204</v>
      </c>
      <c r="G12" s="7" t="s">
        <v>205</v>
      </c>
      <c r="H12" s="28" t="s">
        <v>84</v>
      </c>
      <c r="I12" s="28" t="s">
        <v>179</v>
      </c>
    </row>
    <row r="13" customFormat="false" ht="31.5" hidden="false" customHeight="true" outlineLevel="0" collapsed="false">
      <c r="B13" s="27" t="s">
        <v>206</v>
      </c>
      <c r="C13" s="28" t="s">
        <v>186</v>
      </c>
      <c r="D13" s="28" t="s">
        <v>187</v>
      </c>
      <c r="E13" s="7" t="s">
        <v>191</v>
      </c>
      <c r="F13" s="7" t="s">
        <v>207</v>
      </c>
      <c r="G13" s="7" t="s">
        <v>208</v>
      </c>
      <c r="H13" s="28" t="s">
        <v>186</v>
      </c>
      <c r="I13" s="28" t="s">
        <v>179</v>
      </c>
    </row>
    <row r="14" customFormat="false" ht="31.5" hidden="false" customHeight="true" outlineLevel="0" collapsed="false">
      <c r="B14" s="27" t="s">
        <v>209</v>
      </c>
      <c r="C14" s="28" t="s">
        <v>186</v>
      </c>
      <c r="D14" s="28" t="s">
        <v>187</v>
      </c>
      <c r="E14" s="7" t="s">
        <v>191</v>
      </c>
      <c r="F14" s="7" t="s">
        <v>210</v>
      </c>
      <c r="G14" s="7" t="s">
        <v>211</v>
      </c>
      <c r="H14" s="28" t="s">
        <v>186</v>
      </c>
      <c r="I14" s="28" t="s">
        <v>179</v>
      </c>
    </row>
    <row r="15" customFormat="false" ht="31.5" hidden="false" customHeight="true" outlineLevel="0" collapsed="false">
      <c r="B15" s="27" t="s">
        <v>212</v>
      </c>
      <c r="C15" s="28" t="s">
        <v>186</v>
      </c>
      <c r="D15" s="28" t="s">
        <v>187</v>
      </c>
      <c r="E15" s="7" t="s">
        <v>191</v>
      </c>
      <c r="F15" s="7" t="s">
        <v>213</v>
      </c>
      <c r="G15" s="7" t="s">
        <v>214</v>
      </c>
      <c r="H15" s="28" t="s">
        <v>186</v>
      </c>
      <c r="I15" s="28" t="s">
        <v>178</v>
      </c>
    </row>
    <row r="16" customFormat="false" ht="24" hidden="false" customHeight="true" outlineLevel="0" collapsed="false">
      <c r="B16" s="9" t="s">
        <v>215</v>
      </c>
      <c r="C16" s="9"/>
      <c r="D16" s="9"/>
      <c r="E16" s="9"/>
      <c r="F16" s="9"/>
      <c r="G16" s="9"/>
      <c r="H16" s="9"/>
      <c r="I16" s="9"/>
    </row>
    <row r="18" customFormat="false" ht="21.75" hidden="false" customHeight="true" outlineLevel="0" collapsed="false">
      <c r="B18" s="11" t="s">
        <v>216</v>
      </c>
      <c r="C18" s="11"/>
      <c r="D18" s="11"/>
      <c r="E18" s="11"/>
      <c r="F18" s="11"/>
      <c r="G18" s="11"/>
      <c r="H18" s="11"/>
      <c r="I18" s="11"/>
    </row>
    <row r="19" customFormat="false" ht="21.75" hidden="false" customHeight="true" outlineLevel="0" collapsed="false">
      <c r="B19" s="8" t="s">
        <v>114</v>
      </c>
      <c r="C19" s="8" t="s">
        <v>217</v>
      </c>
      <c r="D19" s="8" t="s">
        <v>218</v>
      </c>
      <c r="E19" s="8" t="s">
        <v>70</v>
      </c>
      <c r="F19" s="8" t="s">
        <v>71</v>
      </c>
      <c r="G19" s="8" t="s">
        <v>219</v>
      </c>
      <c r="H19" s="8"/>
      <c r="I19" s="8"/>
    </row>
    <row r="20" customFormat="false" ht="31.5" hidden="false" customHeight="true" outlineLevel="0" collapsed="false">
      <c r="B20" s="27" t="s">
        <v>187</v>
      </c>
      <c r="C20" s="28" t="s">
        <v>220</v>
      </c>
      <c r="D20" s="28" t="s">
        <v>221</v>
      </c>
      <c r="E20" s="28" t="s">
        <v>222</v>
      </c>
      <c r="F20" s="28" t="s">
        <v>223</v>
      </c>
      <c r="G20" s="7" t="s">
        <v>224</v>
      </c>
      <c r="H20" s="7"/>
      <c r="I20" s="7"/>
    </row>
    <row r="21" customFormat="false" ht="31.5" hidden="false" customHeight="true" outlineLevel="0" collapsed="false">
      <c r="B21" s="27" t="s">
        <v>85</v>
      </c>
      <c r="C21" s="28" t="s">
        <v>225</v>
      </c>
      <c r="D21" s="28" t="s">
        <v>226</v>
      </c>
      <c r="E21" s="28" t="s">
        <v>90</v>
      </c>
      <c r="F21" s="28" t="s">
        <v>91</v>
      </c>
      <c r="G21" s="7" t="s">
        <v>227</v>
      </c>
      <c r="H21" s="7"/>
      <c r="I21" s="7"/>
    </row>
    <row r="22" customFormat="false" ht="31.5" hidden="false" customHeight="true" outlineLevel="0" collapsed="false">
      <c r="B22" s="27" t="s">
        <v>228</v>
      </c>
      <c r="C22" s="28" t="s">
        <v>226</v>
      </c>
      <c r="D22" s="28" t="s">
        <v>220</v>
      </c>
      <c r="E22" s="28" t="s">
        <v>229</v>
      </c>
      <c r="F22" s="28" t="s">
        <v>230</v>
      </c>
      <c r="G22" s="7" t="s">
        <v>231</v>
      </c>
      <c r="H22" s="7"/>
      <c r="I22" s="7"/>
    </row>
    <row r="23" customFormat="false" ht="31.5" hidden="false" customHeight="true" outlineLevel="0" collapsed="false">
      <c r="B23" s="27" t="s">
        <v>232</v>
      </c>
      <c r="C23" s="28" t="s">
        <v>233</v>
      </c>
      <c r="D23" s="28" t="s">
        <v>233</v>
      </c>
      <c r="E23" s="28" t="s">
        <v>234</v>
      </c>
      <c r="F23" s="28" t="s">
        <v>235</v>
      </c>
      <c r="G23" s="7" t="s">
        <v>236</v>
      </c>
      <c r="H23" s="7"/>
      <c r="I23" s="7"/>
    </row>
    <row r="24" customFormat="false" ht="31.5" hidden="false" customHeight="true" outlineLevel="0" collapsed="false">
      <c r="B24" s="27" t="s">
        <v>237</v>
      </c>
      <c r="C24" s="28" t="s">
        <v>221</v>
      </c>
      <c r="D24" s="28" t="s">
        <v>233</v>
      </c>
      <c r="E24" s="28" t="s">
        <v>238</v>
      </c>
      <c r="F24" s="28" t="s">
        <v>239</v>
      </c>
      <c r="G24" s="7" t="s">
        <v>240</v>
      </c>
      <c r="H24" s="7"/>
      <c r="I24" s="7"/>
    </row>
    <row r="26" customFormat="false" ht="21.75" hidden="false" customHeight="true" outlineLevel="0" collapsed="false">
      <c r="B26" s="11" t="s">
        <v>241</v>
      </c>
      <c r="C26" s="11"/>
      <c r="D26" s="11"/>
      <c r="E26" s="11"/>
      <c r="F26" s="11"/>
      <c r="G26" s="11"/>
      <c r="H26" s="11"/>
      <c r="I26" s="11"/>
    </row>
    <row r="27" customFormat="false" ht="21.75" hidden="false" customHeight="true" outlineLevel="0" collapsed="false">
      <c r="B27" s="8"/>
      <c r="C27" s="8" t="s">
        <v>84</v>
      </c>
      <c r="D27" s="8"/>
      <c r="E27" s="8" t="s">
        <v>186</v>
      </c>
      <c r="F27" s="8"/>
      <c r="G27" s="8" t="s">
        <v>73</v>
      </c>
      <c r="H27" s="8"/>
      <c r="I27" s="8"/>
    </row>
    <row r="28" customFormat="false" ht="31.5" hidden="false" customHeight="true" outlineLevel="0" collapsed="false">
      <c r="B28" s="27" t="s">
        <v>242</v>
      </c>
      <c r="C28" s="28" t="s">
        <v>243</v>
      </c>
      <c r="D28" s="28"/>
      <c r="E28" s="28" t="s">
        <v>244</v>
      </c>
      <c r="F28" s="28"/>
      <c r="G28" s="7"/>
      <c r="H28" s="7"/>
      <c r="I28" s="7"/>
    </row>
    <row r="29" customFormat="false" ht="31.5" hidden="false" customHeight="true" outlineLevel="0" collapsed="false">
      <c r="B29" s="27" t="s">
        <v>245</v>
      </c>
      <c r="C29" s="28" t="s">
        <v>246</v>
      </c>
      <c r="D29" s="28"/>
      <c r="E29" s="28" t="s">
        <v>247</v>
      </c>
      <c r="F29" s="28"/>
      <c r="G29" s="7"/>
      <c r="H29" s="7"/>
      <c r="I29" s="7"/>
    </row>
    <row r="30" customFormat="false" ht="31.5" hidden="false" customHeight="true" outlineLevel="0" collapsed="false">
      <c r="B30" s="27" t="s">
        <v>248</v>
      </c>
      <c r="C30" s="28" t="s">
        <v>249</v>
      </c>
      <c r="D30" s="28"/>
      <c r="E30" s="28" t="s">
        <v>250</v>
      </c>
      <c r="F30" s="28"/>
      <c r="G30" s="7"/>
      <c r="H30" s="7"/>
      <c r="I30" s="7"/>
    </row>
    <row r="31" customFormat="false" ht="31.5" hidden="false" customHeight="true" outlineLevel="0" collapsed="false">
      <c r="B31" s="27" t="s">
        <v>219</v>
      </c>
      <c r="C31" s="28" t="s">
        <v>251</v>
      </c>
      <c r="D31" s="28"/>
      <c r="E31" s="28" t="s">
        <v>252</v>
      </c>
      <c r="F31" s="28"/>
      <c r="G31" s="7"/>
      <c r="H31" s="7"/>
      <c r="I31" s="7"/>
    </row>
    <row r="33" customFormat="false" ht="21.75" hidden="false" customHeight="true" outlineLevel="0" collapsed="false">
      <c r="B33" s="11" t="s">
        <v>253</v>
      </c>
      <c r="C33" s="11"/>
      <c r="D33" s="11"/>
      <c r="E33" s="11"/>
      <c r="F33" s="11"/>
      <c r="G33" s="11"/>
      <c r="H33" s="11"/>
      <c r="I33" s="11"/>
    </row>
    <row r="34" customFormat="false" ht="21.75" hidden="false" customHeight="true" outlineLevel="0" collapsed="false">
      <c r="B34" s="8" t="s">
        <v>170</v>
      </c>
      <c r="C34" s="8" t="s">
        <v>254</v>
      </c>
      <c r="D34" s="8" t="s">
        <v>255</v>
      </c>
      <c r="E34" s="8"/>
      <c r="F34" s="8" t="s">
        <v>73</v>
      </c>
      <c r="G34" s="8"/>
      <c r="H34" s="8"/>
      <c r="I34" s="8"/>
    </row>
    <row r="35" customFormat="false" ht="21.75" hidden="false" customHeight="true" outlineLevel="0" collapsed="false">
      <c r="B35" s="27" t="s">
        <v>256</v>
      </c>
      <c r="C35" s="28" t="s">
        <v>257</v>
      </c>
      <c r="D35" s="28" t="s">
        <v>258</v>
      </c>
      <c r="E35" s="28"/>
      <c r="F35" s="7"/>
      <c r="G35" s="7"/>
      <c r="H35" s="7"/>
      <c r="I35" s="7"/>
    </row>
    <row r="36" customFormat="false" ht="21.75" hidden="false" customHeight="true" outlineLevel="0" collapsed="false">
      <c r="B36" s="27" t="s">
        <v>259</v>
      </c>
      <c r="C36" s="28" t="s">
        <v>233</v>
      </c>
      <c r="D36" s="28" t="s">
        <v>260</v>
      </c>
      <c r="E36" s="28"/>
      <c r="F36" s="7"/>
      <c r="G36" s="7"/>
      <c r="H36" s="7"/>
      <c r="I36" s="7"/>
    </row>
    <row r="37" customFormat="false" ht="21.75" hidden="false" customHeight="true" outlineLevel="0" collapsed="false">
      <c r="B37" s="27" t="s">
        <v>261</v>
      </c>
      <c r="C37" s="28" t="s">
        <v>220</v>
      </c>
      <c r="D37" s="28" t="s">
        <v>262</v>
      </c>
      <c r="E37" s="28"/>
      <c r="F37" s="7"/>
      <c r="G37" s="7"/>
      <c r="H37" s="7"/>
      <c r="I37" s="7"/>
    </row>
    <row r="38" customFormat="false" ht="21.75" hidden="false" customHeight="true" outlineLevel="0" collapsed="false">
      <c r="B38" s="27" t="s">
        <v>263</v>
      </c>
      <c r="C38" s="28" t="s">
        <v>226</v>
      </c>
      <c r="D38" s="28" t="s">
        <v>264</v>
      </c>
      <c r="E38" s="28"/>
      <c r="F38" s="7"/>
      <c r="G38" s="7"/>
      <c r="H38" s="7"/>
      <c r="I38" s="7"/>
    </row>
    <row r="39" customFormat="false" ht="21.75" hidden="false" customHeight="true" outlineLevel="0" collapsed="false">
      <c r="B39" s="27" t="s">
        <v>265</v>
      </c>
      <c r="C39" s="28" t="s">
        <v>266</v>
      </c>
      <c r="D39" s="28" t="s">
        <v>267</v>
      </c>
      <c r="E39" s="28"/>
      <c r="F39" s="7"/>
      <c r="G39" s="7"/>
      <c r="H39" s="7"/>
      <c r="I39" s="7"/>
    </row>
    <row r="40" customFormat="false" ht="21.75" hidden="false" customHeight="true" outlineLevel="0" collapsed="false">
      <c r="B40" s="27" t="s">
        <v>268</v>
      </c>
      <c r="C40" s="28" t="s">
        <v>269</v>
      </c>
      <c r="D40" s="28" t="s">
        <v>270</v>
      </c>
      <c r="E40" s="28"/>
      <c r="F40" s="7"/>
      <c r="G40" s="7"/>
      <c r="H40" s="7"/>
      <c r="I40" s="7"/>
    </row>
    <row r="41" customFormat="false" ht="15" hidden="false" customHeight="true" outlineLevel="0" collapsed="false">
      <c r="B41" s="9" t="s">
        <v>271</v>
      </c>
      <c r="C41" s="9"/>
      <c r="D41" s="9"/>
      <c r="E41" s="9"/>
      <c r="F41" s="9"/>
      <c r="G41" s="9"/>
      <c r="H41" s="9"/>
      <c r="I41" s="9"/>
    </row>
  </sheetData>
  <mergeCells count="43">
    <mergeCell ref="B1:I1"/>
    <mergeCell ref="B2:I2"/>
    <mergeCell ref="B4:I4"/>
    <mergeCell ref="B16:I16"/>
    <mergeCell ref="B18:I18"/>
    <mergeCell ref="G19:I19"/>
    <mergeCell ref="G20:I20"/>
    <mergeCell ref="G21:I21"/>
    <mergeCell ref="G22:I22"/>
    <mergeCell ref="G23:I23"/>
    <mergeCell ref="G24:I24"/>
    <mergeCell ref="B26:I26"/>
    <mergeCell ref="C27:D27"/>
    <mergeCell ref="E27:F27"/>
    <mergeCell ref="G27:I27"/>
    <mergeCell ref="C28:D28"/>
    <mergeCell ref="E28:F28"/>
    <mergeCell ref="G28:I28"/>
    <mergeCell ref="C29:D29"/>
    <mergeCell ref="E29:F29"/>
    <mergeCell ref="G29:I29"/>
    <mergeCell ref="C30:D30"/>
    <mergeCell ref="E30:F30"/>
    <mergeCell ref="G30:I30"/>
    <mergeCell ref="C31:D31"/>
    <mergeCell ref="E31:F31"/>
    <mergeCell ref="G31:I31"/>
    <mergeCell ref="B33:I33"/>
    <mergeCell ref="D34:E34"/>
    <mergeCell ref="F34:I34"/>
    <mergeCell ref="D35:E35"/>
    <mergeCell ref="F35:I35"/>
    <mergeCell ref="D36:E36"/>
    <mergeCell ref="F36:I36"/>
    <mergeCell ref="D37:E37"/>
    <mergeCell ref="F37:I37"/>
    <mergeCell ref="D38:E38"/>
    <mergeCell ref="F38:I38"/>
    <mergeCell ref="D39:E39"/>
    <mergeCell ref="F39:I39"/>
    <mergeCell ref="D40:E40"/>
    <mergeCell ref="F40:I40"/>
    <mergeCell ref="B41:I41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272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273</v>
      </c>
      <c r="C2" s="2"/>
      <c r="D2" s="2"/>
      <c r="E2" s="2"/>
      <c r="F2" s="2"/>
    </row>
    <row r="4" customFormat="false" ht="21.75" hidden="false" customHeight="true" outlineLevel="0" collapsed="false">
      <c r="B4" s="12" t="s">
        <v>274</v>
      </c>
      <c r="C4" s="12" t="s">
        <v>275</v>
      </c>
      <c r="D4" s="12" t="s">
        <v>276</v>
      </c>
      <c r="E4" s="12" t="s">
        <v>72</v>
      </c>
      <c r="F4" s="12" t="s">
        <v>73</v>
      </c>
    </row>
    <row r="5" customFormat="false" ht="19.5" hidden="false" customHeight="true" outlineLevel="0" collapsed="false">
      <c r="B5" s="17" t="n">
        <v>1</v>
      </c>
      <c r="C5" s="6" t="s">
        <v>277</v>
      </c>
      <c r="D5" s="7" t="s">
        <v>278</v>
      </c>
      <c r="E5" s="18"/>
      <c r="F5" s="5"/>
    </row>
    <row r="6" customFormat="false" ht="31.5" hidden="false" customHeight="true" outlineLevel="0" collapsed="false">
      <c r="B6" s="17" t="n">
        <v>2</v>
      </c>
      <c r="C6" s="6" t="s">
        <v>277</v>
      </c>
      <c r="D6" s="7" t="s">
        <v>279</v>
      </c>
      <c r="E6" s="18"/>
      <c r="F6" s="5"/>
    </row>
    <row r="7" customFormat="false" ht="31.5" hidden="false" customHeight="true" outlineLevel="0" collapsed="false">
      <c r="B7" s="17" t="n">
        <v>3</v>
      </c>
      <c r="C7" s="6" t="s">
        <v>277</v>
      </c>
      <c r="D7" s="7" t="s">
        <v>280</v>
      </c>
      <c r="E7" s="18"/>
      <c r="F7" s="5"/>
    </row>
    <row r="8" customFormat="false" ht="31.5" hidden="false" customHeight="true" outlineLevel="0" collapsed="false">
      <c r="B8" s="17" t="n">
        <v>4</v>
      </c>
      <c r="C8" s="6" t="s">
        <v>277</v>
      </c>
      <c r="D8" s="7" t="s">
        <v>281</v>
      </c>
      <c r="E8" s="18"/>
      <c r="F8" s="5"/>
    </row>
    <row r="9" customFormat="false" ht="31.5" hidden="false" customHeight="true" outlineLevel="0" collapsed="false">
      <c r="B9" s="17" t="n">
        <v>5</v>
      </c>
      <c r="C9" s="6" t="s">
        <v>282</v>
      </c>
      <c r="D9" s="7" t="s">
        <v>283</v>
      </c>
      <c r="E9" s="18"/>
      <c r="F9" s="5"/>
    </row>
    <row r="10" customFormat="false" ht="19.5" hidden="false" customHeight="true" outlineLevel="0" collapsed="false">
      <c r="B10" s="17" t="n">
        <v>6</v>
      </c>
      <c r="C10" s="6" t="s">
        <v>282</v>
      </c>
      <c r="D10" s="7" t="s">
        <v>284</v>
      </c>
      <c r="E10" s="18"/>
      <c r="F10" s="5"/>
    </row>
    <row r="11" customFormat="false" ht="31.5" hidden="false" customHeight="true" outlineLevel="0" collapsed="false">
      <c r="B11" s="17" t="n">
        <v>7</v>
      </c>
      <c r="C11" s="6" t="s">
        <v>282</v>
      </c>
      <c r="D11" s="7" t="s">
        <v>285</v>
      </c>
      <c r="E11" s="18"/>
      <c r="F11" s="5"/>
    </row>
    <row r="12" customFormat="false" ht="31.5" hidden="false" customHeight="true" outlineLevel="0" collapsed="false">
      <c r="B12" s="17" t="n">
        <v>8</v>
      </c>
      <c r="C12" s="6" t="s">
        <v>282</v>
      </c>
      <c r="D12" s="7" t="s">
        <v>286</v>
      </c>
      <c r="E12" s="18"/>
      <c r="F12" s="5"/>
    </row>
    <row r="13" customFormat="false" ht="31.5" hidden="false" customHeight="true" outlineLevel="0" collapsed="false">
      <c r="B13" s="17" t="n">
        <v>9</v>
      </c>
      <c r="C13" s="6" t="s">
        <v>287</v>
      </c>
      <c r="D13" s="7" t="s">
        <v>288</v>
      </c>
      <c r="E13" s="18"/>
      <c r="F13" s="5"/>
    </row>
    <row r="14" customFormat="false" ht="31.5" hidden="false" customHeight="true" outlineLevel="0" collapsed="false">
      <c r="B14" s="17" t="n">
        <v>10</v>
      </c>
      <c r="C14" s="6" t="s">
        <v>287</v>
      </c>
      <c r="D14" s="7" t="s">
        <v>289</v>
      </c>
      <c r="E14" s="18"/>
      <c r="F14" s="5"/>
    </row>
    <row r="15" customFormat="false" ht="31.5" hidden="false" customHeight="true" outlineLevel="0" collapsed="false">
      <c r="B15" s="17" t="n">
        <v>11</v>
      </c>
      <c r="C15" s="6" t="s">
        <v>287</v>
      </c>
      <c r="D15" s="7" t="s">
        <v>290</v>
      </c>
      <c r="E15" s="18"/>
      <c r="F15" s="5"/>
    </row>
    <row r="16" customFormat="false" ht="31.5" hidden="false" customHeight="true" outlineLevel="0" collapsed="false">
      <c r="B16" s="17" t="n">
        <v>12</v>
      </c>
      <c r="C16" s="6" t="s">
        <v>291</v>
      </c>
      <c r="D16" s="7" t="s">
        <v>292</v>
      </c>
      <c r="E16" s="18"/>
      <c r="F16" s="5"/>
    </row>
    <row r="18" customFormat="false" ht="19.5" hidden="false" customHeight="true" outlineLevel="0" collapsed="false">
      <c r="B18" s="23" t="s">
        <v>293</v>
      </c>
      <c r="C18" s="23"/>
      <c r="D18" s="23"/>
      <c r="E18" s="8" t="n">
        <f aca="false">COUNTA(E5:E16)</f>
        <v>0</v>
      </c>
    </row>
    <row r="19" customFormat="false" ht="19.5" hidden="false" customHeight="true" outlineLevel="0" collapsed="false">
      <c r="B19" s="23" t="s">
        <v>294</v>
      </c>
      <c r="C19" s="23"/>
      <c r="D19" s="23"/>
      <c r="E19" s="29" t="str">
        <f aca="false">IF(COUNTA(E5:E16)=0,"",(COUNTIF(E5:E16,"Sim")+COUNTIF(E5:E16,"Parcial")/2)/COUNTA(E5:E16))</f>
        <v/>
      </c>
    </row>
    <row r="20" customFormat="false" ht="19.5" hidden="false" customHeight="true" outlineLevel="0" collapsed="false">
      <c r="B20" s="23" t="s">
        <v>72</v>
      </c>
      <c r="C20" s="23"/>
      <c r="D20" s="23"/>
      <c r="E20" s="20" t="str">
        <f aca="false">IF(COUNTA(E5:E16)&lt;12,"Incompleto",IF(COUNTIF(E5:E16,"Não")=0,"OK","Há itens a resolver"))</f>
        <v>Incompleto</v>
      </c>
    </row>
  </sheetData>
  <mergeCells count="5">
    <mergeCell ref="B1:F1"/>
    <mergeCell ref="B2:F2"/>
    <mergeCell ref="B18:D18"/>
    <mergeCell ref="B19:D19"/>
    <mergeCell ref="B20:D20"/>
  </mergeCells>
  <conditionalFormatting sqref="E5:E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2">
      <formula>"Não"</formula>
    </cfRule>
  </conditionalFormatting>
  <conditionalFormatting sqref="E20">
    <cfRule type="cellIs" priority="5" operator="equal" aboveAverage="0" equalAverage="0" bottom="0" percent="0" rank="0" text="" dxfId="0">
      <formula>"OK"</formula>
    </cfRule>
    <cfRule type="cellIs" priority="6" operator="notEqual" aboveAverage="0" equalAverage="0" bottom="0" percent="0" rank="0" text="" dxfId="1">
      <formula>"OK"</formula>
    </cfRule>
  </conditionalFormatting>
  <dataValidations count="1">
    <dataValidation allowBlank="true" error="Escolha uma das opções da lista." errorStyle="stop" errorTitle="Valor inválido" operator="between" prompt="Sim, Parcial ou Não." promptTitle="Opções" showDropDown="false" showErrorMessage="true" showInputMessage="true" sqref="E5:E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N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17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0"/>
    <col collapsed="false" customWidth="true" hidden="false" outlineLevel="0" max="11" min="10" style="0" width="22"/>
    <col collapsed="false" customWidth="true" hidden="false" outlineLevel="0" max="12" min="12" style="0" width="15"/>
    <col collapsed="false" customWidth="true" hidden="false" outlineLevel="0" max="13" min="13" style="0" width="32"/>
    <col collapsed="false" customWidth="true" hidden="false" outlineLevel="0" max="14" min="14" style="0" width="42"/>
    <col collapsed="false" customWidth="true" hidden="false" outlineLevel="0" max="15" min="15" style="0" width="2"/>
  </cols>
  <sheetData>
    <row r="1" customFormat="false" ht="31.5" hidden="false" customHeight="true" outlineLevel="0" collapsed="false">
      <c r="B1" s="1" t="s">
        <v>102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B2" s="2" t="s">
        <v>295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1.75" hidden="false" customHeight="true" outlineLevel="0" collapsed="false">
      <c r="B4" s="4" t="s">
        <v>104</v>
      </c>
      <c r="C4" s="4"/>
      <c r="D4" s="30" t="s">
        <v>296</v>
      </c>
      <c r="E4" s="30"/>
      <c r="F4" s="30"/>
      <c r="G4" s="30"/>
      <c r="I4" s="9" t="s">
        <v>105</v>
      </c>
      <c r="J4" s="9"/>
      <c r="K4" s="9"/>
      <c r="L4" s="9"/>
      <c r="M4" s="9"/>
      <c r="N4" s="9"/>
    </row>
    <row r="5" customFormat="false" ht="21.75" hidden="false" customHeight="true" outlineLevel="0" collapsed="false">
      <c r="B5" s="4" t="s">
        <v>106</v>
      </c>
      <c r="C5" s="4"/>
      <c r="D5" s="30" t="s">
        <v>297</v>
      </c>
      <c r="E5" s="30"/>
      <c r="F5" s="30"/>
      <c r="G5" s="30"/>
      <c r="I5" s="9"/>
      <c r="J5" s="9"/>
      <c r="K5" s="9"/>
      <c r="L5" s="9"/>
      <c r="M5" s="9"/>
      <c r="N5" s="9"/>
    </row>
    <row r="6" customFormat="false" ht="21.75" hidden="false" customHeight="true" outlineLevel="0" collapsed="false">
      <c r="B6" s="4" t="s">
        <v>107</v>
      </c>
      <c r="C6" s="4"/>
      <c r="D6" s="31" t="n">
        <v>46299</v>
      </c>
      <c r="E6" s="31"/>
      <c r="F6" s="31"/>
      <c r="G6" s="31"/>
      <c r="I6" s="9"/>
      <c r="J6" s="9"/>
      <c r="K6" s="9"/>
      <c r="L6" s="9"/>
      <c r="M6" s="9"/>
      <c r="N6" s="9"/>
    </row>
    <row r="7" customFormat="false" ht="21.75" hidden="false" customHeight="true" outlineLevel="0" collapsed="false">
      <c r="B7" s="4" t="s">
        <v>108</v>
      </c>
      <c r="C7" s="4"/>
      <c r="D7" s="30" t="s">
        <v>298</v>
      </c>
      <c r="E7" s="30"/>
      <c r="F7" s="30"/>
      <c r="G7" s="30"/>
    </row>
    <row r="9" customFormat="false" ht="21.75" hidden="false" customHeight="true" outlineLevel="0" collapsed="false">
      <c r="B9" s="11" t="s">
        <v>109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customFormat="false" ht="30" hidden="false" customHeight="true" outlineLevel="0" collapsed="false">
      <c r="B10" s="12" t="s">
        <v>110</v>
      </c>
      <c r="C10" s="12" t="s">
        <v>111</v>
      </c>
      <c r="D10" s="12" t="s">
        <v>112</v>
      </c>
      <c r="E10" s="14" t="s">
        <v>113</v>
      </c>
      <c r="F10" s="13" t="s">
        <v>64</v>
      </c>
      <c r="G10" s="13" t="s">
        <v>65</v>
      </c>
      <c r="H10" s="13" t="s">
        <v>114</v>
      </c>
      <c r="I10" s="13" t="s">
        <v>42</v>
      </c>
      <c r="J10" s="15" t="s">
        <v>115</v>
      </c>
      <c r="K10" s="15" t="s">
        <v>116</v>
      </c>
      <c r="L10" s="15" t="s">
        <v>72</v>
      </c>
      <c r="M10" s="15" t="s">
        <v>117</v>
      </c>
      <c r="N10" s="15" t="s">
        <v>118</v>
      </c>
    </row>
    <row r="11" customFormat="false" ht="21.75" hidden="false" customHeight="true" outlineLevel="0" collapsed="false">
      <c r="B11" s="16" t="s">
        <v>119</v>
      </c>
      <c r="C11" s="16" t="s">
        <v>75</v>
      </c>
      <c r="D11" s="16" t="s">
        <v>120</v>
      </c>
      <c r="E11" s="16" t="s">
        <v>121</v>
      </c>
      <c r="F11" s="16" t="s">
        <v>121</v>
      </c>
      <c r="G11" s="16" t="s">
        <v>121</v>
      </c>
      <c r="H11" s="16" t="s">
        <v>121</v>
      </c>
      <c r="I11" s="16" t="s">
        <v>122</v>
      </c>
      <c r="J11" s="16" t="s">
        <v>123</v>
      </c>
      <c r="K11" s="16" t="s">
        <v>123</v>
      </c>
      <c r="L11" s="16"/>
      <c r="M11" s="16"/>
      <c r="N11" s="16" t="s">
        <v>123</v>
      </c>
    </row>
    <row r="12" customFormat="false" ht="24" hidden="false" customHeight="true" outlineLevel="0" collapsed="false">
      <c r="B12" s="9" t="s">
        <v>299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customFormat="false" ht="30" hidden="false" customHeight="true" outlineLevel="0" collapsed="false">
      <c r="B13" s="17" t="n">
        <v>1</v>
      </c>
      <c r="C13" s="32" t="s">
        <v>180</v>
      </c>
      <c r="D13" s="30" t="s">
        <v>300</v>
      </c>
      <c r="E13" s="32" t="n">
        <v>5</v>
      </c>
      <c r="F13" s="21" t="str">
        <f aca="false">IF(E13="","",IFERROR(""&amp;VLOOKUP(E13,$B$51:$J$60,3,FALSE()),""))</f>
        <v>Headset</v>
      </c>
      <c r="G13" s="21" t="str">
        <f aca="false">IF(E13="","",IFERROR(""&amp;VLOOKUP(E13,$B$51:$J$60,4,FALSE()),""))</f>
        <v>Condensador</v>
      </c>
      <c r="H13" s="21" t="str">
        <f aca="false">IF(E13="","",IFERROR(""&amp;VLOOKUP(E13,$B$51:$J$60,5,FALSE()),""))</f>
        <v>Omni</v>
      </c>
      <c r="I13" s="20" t="str">
        <f aca="false">IF(E13="","",IFERROR(""&amp;VLOOKUP(E13,$B$51:$J$60,9,FALSE()),""))</f>
        <v>Não</v>
      </c>
      <c r="J13" s="22" t="str">
        <f aca="false">IF(C13="","",IFERROR(VLOOKUP(C13,Referência!$B$6:$I$15,2,FALSE()),"")&amp;", "&amp;IFERROR(VLOOKUP(C13,Referência!$B$6:$I$15,3,FALSE()),""))</f>
        <v>Dinâmico ou condensador, Conforme o formato</v>
      </c>
      <c r="K13" s="22" t="str">
        <f aca="false">IF(C13="","",IFERROR(VLOOKUP(C13,Referência!$B$6:$I$15,5,FALSE()),""))</f>
        <v>O mais perto que o formato permite</v>
      </c>
      <c r="L13" s="20" t="str">
        <f aca="false">IF(E13="",IF(C13="","","Sem microfone"),IF(IFERROR(""&amp;VLOOKUP(E13,$B$51:$J$60,3,FALSE()),"")&amp;IFERROR(""&amp;VLOOKUP(E13,$B$51:$J$60,4,FALSE()),"")&amp;IFERROR(""&amp;VLOOKUP(E13,$B$51:$J$60,7,FALSE()),"")="","Não cadastrado",IF(IFERROR(""&amp;VLOOKUP(E13,$B$51:$J$60,7,FALSE()),"")="Defeito","Defeito",IF(COUNTIF($E$13:E13,E13)&gt;1,"Repetido",IF(C13="","Sem fonte",IF(AND(IFERROR(VLOOKUP(C13,Referência!$B$6:$I$15,7,FALSE()),"")&lt;&gt;"Qualquer",G13&lt;&gt;IFERROR(VLOOKUP(C13,Referência!$B$6:$I$15,7,FALSE()),"")),"Tipo diferente",IF(NOT(OR(IFERROR(VLOOKUP(C13,Referência!$B$6:$I$15,8,FALSE()),"")="Qualquer",AND(IFERROR(VLOOKUP(C13,Referência!$B$6:$I$15,8,FALSE()),"")="Direcional",OR(H13="Cardioide",H13="Supercardioide",H13="Hipercardioide")),IFERROR(VLOOKUP(C13,Referência!$B$6:$I$15,8,FALSE()),"")=H13)),"Padrão diferente",IF(IFERROR(""&amp;VLOOKUP(E13,$B$51:$J$60,7,FALSE()),"")&lt;&gt;"OK","Testar","OK"))))))))</f>
        <v>OK</v>
      </c>
      <c r="M13" s="22" t="str">
        <f aca="false">IF(L13="","",IF(L13="Sem microfone","Escolha um microfone do inventário",IF(L13="Não cadastrado","Cadastre o microfone na aba Inventário",IF(L13="Defeito","Troque de microfone e separe este para conserto",IF(L13="Repetido","Já está em um canal anterior: escolha outro",IF(L13="Sem fonte","Escolha o tipo de fonte",IF(L13="Tipo diferente","Sugestão: "&amp;IFERROR(VLOOKUP(C13,Referência!$B$6:$I$15,7,FALSE()),"")&amp;". Confira se este serve",IF(L13="Padrão diferente","Confira o padrão e o lugar do retorno",IF(L13="Testar","Teste com a voz antes do evento",IF(I13="Sim","Ligue o phantom com o canal fechado","Manter"))))))))))</f>
        <v>Manter</v>
      </c>
      <c r="N13" s="22" t="str">
        <f aca="false">IF(C13="","",IFERROR(VLOOKUP(C13,Referência!$B$6:$I$15,6,FALSE()),""))</f>
        <v>Um microfone por pessoa que fala, e só o dela aberto.</v>
      </c>
    </row>
    <row r="14" customFormat="false" ht="30" hidden="false" customHeight="true" outlineLevel="0" collapsed="false">
      <c r="B14" s="17" t="n">
        <v>2</v>
      </c>
      <c r="C14" s="32" t="s">
        <v>174</v>
      </c>
      <c r="D14" s="30" t="s">
        <v>301</v>
      </c>
      <c r="E14" s="32" t="n">
        <v>1</v>
      </c>
      <c r="F14" s="21" t="str">
        <f aca="false">IF(E14="","",IFERROR(""&amp;VLOOKUP(E14,$B$51:$J$60,3,FALSE()),""))</f>
        <v>De mão</v>
      </c>
      <c r="G14" s="21" t="str">
        <f aca="false">IF(E14="","",IFERROR(""&amp;VLOOKUP(E14,$B$51:$J$60,4,FALSE()),""))</f>
        <v>Dinâmico</v>
      </c>
      <c r="H14" s="21" t="str">
        <f aca="false">IF(E14="","",IFERROR(""&amp;VLOOKUP(E14,$B$51:$J$60,5,FALSE()),""))</f>
        <v>Cardioide</v>
      </c>
      <c r="I14" s="20" t="str">
        <f aca="false">IF(E14="","",IFERROR(""&amp;VLOOKUP(E14,$B$51:$J$60,9,FALSE()),""))</f>
        <v>Não</v>
      </c>
      <c r="J14" s="22" t="str">
        <f aca="false">IF(C14="","",IFERROR(VLOOKUP(C14,Referência!$B$6:$I$15,2,FALSE()),"")&amp;", "&amp;IFERROR(VLOOKUP(C14,Referência!$B$6:$I$15,3,FALSE()),""))</f>
        <v>Dinâmico, Cardioide ou supercardioide</v>
      </c>
      <c r="K14" s="22" t="str">
        <f aca="false">IF(C14="","",IFERROR(VLOOKUP(C14,Referência!$B$6:$I$15,5,FALSE()),""))</f>
        <v>2 a 5 cm</v>
      </c>
      <c r="L14" s="20" t="str">
        <f aca="false">IF(E14="",IF(C14="","","Sem microfone"),IF(IFERROR(""&amp;VLOOKUP(E14,$B$51:$J$60,3,FALSE()),"")&amp;IFERROR(""&amp;VLOOKUP(E14,$B$51:$J$60,4,FALSE()),"")&amp;IFERROR(""&amp;VLOOKUP(E14,$B$51:$J$60,7,FALSE()),"")="","Não cadastrado",IF(IFERROR(""&amp;VLOOKUP(E14,$B$51:$J$60,7,FALSE()),"")="Defeito","Defeito",IF(COUNTIF($E$13:E14,E14)&gt;1,"Repetido",IF(C14="","Sem fonte",IF(AND(IFERROR(VLOOKUP(C14,Referência!$B$6:$I$15,7,FALSE()),"")&lt;&gt;"Qualquer",G14&lt;&gt;IFERROR(VLOOKUP(C14,Referência!$B$6:$I$15,7,FALSE()),"")),"Tipo diferente",IF(NOT(OR(IFERROR(VLOOKUP(C14,Referência!$B$6:$I$15,8,FALSE()),"")="Qualquer",AND(IFERROR(VLOOKUP(C14,Referência!$B$6:$I$15,8,FALSE()),"")="Direcional",OR(H14="Cardioide",H14="Supercardioide",H14="Hipercardioide")),IFERROR(VLOOKUP(C14,Referência!$B$6:$I$15,8,FALSE()),"")=H14)),"Padrão diferente",IF(IFERROR(""&amp;VLOOKUP(E14,$B$51:$J$60,7,FALSE()),"")&lt;&gt;"OK","Testar","OK"))))))))</f>
        <v>OK</v>
      </c>
      <c r="M14" s="22" t="str">
        <f aca="false">IF(L14="","",IF(L14="Sem microfone","Escolha um microfone do inventário",IF(L14="Não cadastrado","Cadastre o microfone na aba Inventário",IF(L14="Defeito","Troque de microfone e separe este para conserto",IF(L14="Repetido","Já está em um canal anterior: escolha outro",IF(L14="Sem fonte","Escolha o tipo de fonte",IF(L14="Tipo diferente","Sugestão: "&amp;IFERROR(VLOOKUP(C14,Referência!$B$6:$I$15,7,FALSE()),"")&amp;". Confira se este serve",IF(L14="Padrão diferente","Confira o padrão e o lugar do retorno",IF(L14="Testar","Teste com a voz antes do evento",IF(I14="Sim","Ligue o phantom com o canal fechado","Manter"))))))))))</f>
        <v>Manter</v>
      </c>
      <c r="N14" s="22" t="str">
        <f aca="false">IF(C14="","",IFERROR(VLOOKUP(C14,Referência!$B$6:$I$15,6,FALSE()),""))</f>
        <v>Apontado para a boca. Retorno na direção de maior rejeição do padrão.</v>
      </c>
    </row>
    <row r="15" customFormat="false" ht="30" hidden="false" customHeight="true" outlineLevel="0" collapsed="false">
      <c r="B15" s="17" t="n">
        <v>3</v>
      </c>
      <c r="C15" s="32" t="s">
        <v>174</v>
      </c>
      <c r="D15" s="30" t="s">
        <v>302</v>
      </c>
      <c r="E15" s="32" t="n">
        <v>2</v>
      </c>
      <c r="F15" s="21" t="str">
        <f aca="false">IF(E15="","",IFERROR(""&amp;VLOOKUP(E15,$B$51:$J$60,3,FALSE()),""))</f>
        <v>De mão</v>
      </c>
      <c r="G15" s="21" t="str">
        <f aca="false">IF(E15="","",IFERROR(""&amp;VLOOKUP(E15,$B$51:$J$60,4,FALSE()),""))</f>
        <v>Dinâmico</v>
      </c>
      <c r="H15" s="21" t="str">
        <f aca="false">IF(E15="","",IFERROR(""&amp;VLOOKUP(E15,$B$51:$J$60,5,FALSE()),""))</f>
        <v>Cardioide</v>
      </c>
      <c r="I15" s="20" t="str">
        <f aca="false">IF(E15="","",IFERROR(""&amp;VLOOKUP(E15,$B$51:$J$60,9,FALSE()),""))</f>
        <v>Não</v>
      </c>
      <c r="J15" s="22" t="str">
        <f aca="false">IF(C15="","",IFERROR(VLOOKUP(C15,Referência!$B$6:$I$15,2,FALSE()),"")&amp;", "&amp;IFERROR(VLOOKUP(C15,Referência!$B$6:$I$15,3,FALSE()),""))</f>
        <v>Dinâmico, Cardioide ou supercardioide</v>
      </c>
      <c r="K15" s="22" t="str">
        <f aca="false">IF(C15="","",IFERROR(VLOOKUP(C15,Referência!$B$6:$I$15,5,FALSE()),""))</f>
        <v>2 a 5 cm</v>
      </c>
      <c r="L15" s="20" t="str">
        <f aca="false">IF(E15="",IF(C15="","","Sem microfone"),IF(IFERROR(""&amp;VLOOKUP(E15,$B$51:$J$60,3,FALSE()),"")&amp;IFERROR(""&amp;VLOOKUP(E15,$B$51:$J$60,4,FALSE()),"")&amp;IFERROR(""&amp;VLOOKUP(E15,$B$51:$J$60,7,FALSE()),"")="","Não cadastrado",IF(IFERROR(""&amp;VLOOKUP(E15,$B$51:$J$60,7,FALSE()),"")="Defeito","Defeito",IF(COUNTIF($E$13:E15,E15)&gt;1,"Repetido",IF(C15="","Sem fonte",IF(AND(IFERROR(VLOOKUP(C15,Referência!$B$6:$I$15,7,FALSE()),"")&lt;&gt;"Qualquer",G15&lt;&gt;IFERROR(VLOOKUP(C15,Referência!$B$6:$I$15,7,FALSE()),"")),"Tipo diferente",IF(NOT(OR(IFERROR(VLOOKUP(C15,Referência!$B$6:$I$15,8,FALSE()),"")="Qualquer",AND(IFERROR(VLOOKUP(C15,Referência!$B$6:$I$15,8,FALSE()),"")="Direcional",OR(H15="Cardioide",H15="Supercardioide",H15="Hipercardioide")),IFERROR(VLOOKUP(C15,Referência!$B$6:$I$15,8,FALSE()),"")=H15)),"Padrão diferente",IF(IFERROR(""&amp;VLOOKUP(E15,$B$51:$J$60,7,FALSE()),"")&lt;&gt;"OK","Testar","OK"))))))))</f>
        <v>OK</v>
      </c>
      <c r="M15" s="22" t="str">
        <f aca="false">IF(L15="","",IF(L15="Sem microfone","Escolha um microfone do inventário",IF(L15="Não cadastrado","Cadastre o microfone na aba Inventário",IF(L15="Defeito","Troque de microfone e separe este para conserto",IF(L15="Repetido","Já está em um canal anterior: escolha outro",IF(L15="Sem fonte","Escolha o tipo de fonte",IF(L15="Tipo diferente","Sugestão: "&amp;IFERROR(VLOOKUP(C15,Referência!$B$6:$I$15,7,FALSE()),"")&amp;". Confira se este serve",IF(L15="Padrão diferente","Confira o padrão e o lugar do retorno",IF(L15="Testar","Teste com a voz antes do evento",IF(I15="Sim","Ligue o phantom com o canal fechado","Manter"))))))))))</f>
        <v>Manter</v>
      </c>
      <c r="N15" s="22" t="str">
        <f aca="false">IF(C15="","",IFERROR(VLOOKUP(C15,Referência!$B$6:$I$15,6,FALSE()),""))</f>
        <v>Apontado para a boca. Retorno na direção de maior rejeição do padrão.</v>
      </c>
    </row>
    <row r="16" customFormat="false" ht="30" hidden="false" customHeight="true" outlineLevel="0" collapsed="false">
      <c r="B16" s="17" t="n">
        <v>4</v>
      </c>
      <c r="C16" s="32" t="s">
        <v>174</v>
      </c>
      <c r="D16" s="30" t="s">
        <v>303</v>
      </c>
      <c r="E16" s="32" t="n">
        <v>4</v>
      </c>
      <c r="F16" s="21" t="str">
        <f aca="false">IF(E16="","",IFERROR(""&amp;VLOOKUP(E16,$B$51:$J$60,3,FALSE()),""))</f>
        <v>De mão</v>
      </c>
      <c r="G16" s="21" t="str">
        <f aca="false">IF(E16="","",IFERROR(""&amp;VLOOKUP(E16,$B$51:$J$60,4,FALSE()),""))</f>
        <v>Dinâmico</v>
      </c>
      <c r="H16" s="21" t="str">
        <f aca="false">IF(E16="","",IFERROR(""&amp;VLOOKUP(E16,$B$51:$J$60,5,FALSE()),""))</f>
        <v>Cardioide</v>
      </c>
      <c r="I16" s="20" t="str">
        <f aca="false">IF(E16="","",IFERROR(""&amp;VLOOKUP(E16,$B$51:$J$60,9,FALSE()),""))</f>
        <v>Não</v>
      </c>
      <c r="J16" s="22" t="str">
        <f aca="false">IF(C16="","",IFERROR(VLOOKUP(C16,Referência!$B$6:$I$15,2,FALSE()),"")&amp;", "&amp;IFERROR(VLOOKUP(C16,Referência!$B$6:$I$15,3,FALSE()),""))</f>
        <v>Dinâmico, Cardioide ou supercardioide</v>
      </c>
      <c r="K16" s="22" t="str">
        <f aca="false">IF(C16="","",IFERROR(VLOOKUP(C16,Referência!$B$6:$I$15,5,FALSE()),""))</f>
        <v>2 a 5 cm</v>
      </c>
      <c r="L16" s="20" t="str">
        <f aca="false">IF(E16="",IF(C16="","","Sem microfone"),IF(IFERROR(""&amp;VLOOKUP(E16,$B$51:$J$60,3,FALSE()),"")&amp;IFERROR(""&amp;VLOOKUP(E16,$B$51:$J$60,4,FALSE()),"")&amp;IFERROR(""&amp;VLOOKUP(E16,$B$51:$J$60,7,FALSE()),"")="","Não cadastrado",IF(IFERROR(""&amp;VLOOKUP(E16,$B$51:$J$60,7,FALSE()),"")="Defeito","Defeito",IF(COUNTIF($E$13:E16,E16)&gt;1,"Repetido",IF(C16="","Sem fonte",IF(AND(IFERROR(VLOOKUP(C16,Referência!$B$6:$I$15,7,FALSE()),"")&lt;&gt;"Qualquer",G16&lt;&gt;IFERROR(VLOOKUP(C16,Referência!$B$6:$I$15,7,FALSE()),"")),"Tipo diferente",IF(NOT(OR(IFERROR(VLOOKUP(C16,Referência!$B$6:$I$15,8,FALSE()),"")="Qualquer",AND(IFERROR(VLOOKUP(C16,Referência!$B$6:$I$15,8,FALSE()),"")="Direcional",OR(H16="Cardioide",H16="Supercardioide",H16="Hipercardioide")),IFERROR(VLOOKUP(C16,Referência!$B$6:$I$15,8,FALSE()),"")=H16)),"Padrão diferente",IF(IFERROR(""&amp;VLOOKUP(E16,$B$51:$J$60,7,FALSE()),"")&lt;&gt;"OK","Testar","OK"))))))))</f>
        <v>Defeito</v>
      </c>
      <c r="M16" s="22" t="str">
        <f aca="false">IF(L16="","",IF(L16="Sem microfone","Escolha um microfone do inventário",IF(L16="Não cadastrado","Cadastre o microfone na aba Inventário",IF(L16="Defeito","Troque de microfone e separe este para conserto",IF(L16="Repetido","Já está em um canal anterior: escolha outro",IF(L16="Sem fonte","Escolha o tipo de fonte",IF(L16="Tipo diferente","Sugestão: "&amp;IFERROR(VLOOKUP(C16,Referência!$B$6:$I$15,7,FALSE()),"")&amp;". Confira se este serve",IF(L16="Padrão diferente","Confira o padrão e o lugar do retorno",IF(L16="Testar","Teste com a voz antes do evento",IF(I16="Sim","Ligue o phantom com o canal fechado","Manter"))))))))))</f>
        <v>Troque de microfone e separe este para conserto</v>
      </c>
      <c r="N16" s="22" t="str">
        <f aca="false">IF(C16="","",IFERROR(VLOOKUP(C16,Referência!$B$6:$I$15,6,FALSE()),""))</f>
        <v>Apontado para a boca. Retorno na direção de maior rejeição do padrão.</v>
      </c>
    </row>
    <row r="17" customFormat="false" ht="30" hidden="false" customHeight="true" outlineLevel="0" collapsed="false">
      <c r="B17" s="17" t="n">
        <v>5</v>
      </c>
      <c r="C17" s="32" t="s">
        <v>124</v>
      </c>
      <c r="D17" s="30" t="s">
        <v>125</v>
      </c>
      <c r="E17" s="32" t="n">
        <v>3</v>
      </c>
      <c r="F17" s="21" t="str">
        <f aca="false">IF(E17="","",IFERROR(""&amp;VLOOKUP(E17,$B$51:$J$60,3,FALSE()),""))</f>
        <v>De mão</v>
      </c>
      <c r="G17" s="21" t="str">
        <f aca="false">IF(E17="","",IFERROR(""&amp;VLOOKUP(E17,$B$51:$J$60,4,FALSE()),""))</f>
        <v>Dinâmico</v>
      </c>
      <c r="H17" s="21" t="str">
        <f aca="false">IF(E17="","",IFERROR(""&amp;VLOOKUP(E17,$B$51:$J$60,5,FALSE()),""))</f>
        <v>Supercardioide</v>
      </c>
      <c r="I17" s="20" t="str">
        <f aca="false">IF(E17="","",IFERROR(""&amp;VLOOKUP(E17,$B$51:$J$60,9,FALSE()),""))</f>
        <v>Não</v>
      </c>
      <c r="J17" s="22" t="str">
        <f aca="false">IF(C17="","",IFERROR(VLOOKUP(C17,Referência!$B$6:$I$15,2,FALSE()),"")&amp;", "&amp;IFERROR(VLOOKUP(C17,Referência!$B$6:$I$15,3,FALSE()),""))</f>
        <v>Condensador, Cardioide</v>
      </c>
      <c r="K17" s="22" t="str">
        <f aca="false">IF(C17="","",IFERROR(VLOOKUP(C17,Referência!$B$6:$I$15,5,FALSE()),""))</f>
        <v>60 a 90 cm à frente da 1ª fila</v>
      </c>
      <c r="L17" s="20" t="str">
        <f aca="false">IF(E17="",IF(C17="","","Sem microfone"),IF(IFERROR(""&amp;VLOOKUP(E17,$B$51:$J$60,3,FALSE()),"")&amp;IFERROR(""&amp;VLOOKUP(E17,$B$51:$J$60,4,FALSE()),"")&amp;IFERROR(""&amp;VLOOKUP(E17,$B$51:$J$60,7,FALSE()),"")="","Não cadastrado",IF(IFERROR(""&amp;VLOOKUP(E17,$B$51:$J$60,7,FALSE()),"")="Defeito","Defeito",IF(COUNTIF($E$13:E17,E17)&gt;1,"Repetido",IF(C17="","Sem fonte",IF(AND(IFERROR(VLOOKUP(C17,Referência!$B$6:$I$15,7,FALSE()),"")&lt;&gt;"Qualquer",G17&lt;&gt;IFERROR(VLOOKUP(C17,Referência!$B$6:$I$15,7,FALSE()),"")),"Tipo diferente",IF(NOT(OR(IFERROR(VLOOKUP(C17,Referência!$B$6:$I$15,8,FALSE()),"")="Qualquer",AND(IFERROR(VLOOKUP(C17,Referência!$B$6:$I$15,8,FALSE()),"")="Direcional",OR(H17="Cardioide",H17="Supercardioide",H17="Hipercardioide")),IFERROR(VLOOKUP(C17,Referência!$B$6:$I$15,8,FALSE()),"")=H17)),"Padrão diferente",IF(IFERROR(""&amp;VLOOKUP(E17,$B$51:$J$60,7,FALSE()),"")&lt;&gt;"OK","Testar","OK"))))))))</f>
        <v>Tipo diferente</v>
      </c>
      <c r="M17" s="22" t="str">
        <f aca="false">IF(L17="","",IF(L17="Sem microfone","Escolha um microfone do inventário",IF(L17="Não cadastrado","Cadastre o microfone na aba Inventário",IF(L17="Defeito","Troque de microfone e separe este para conserto",IF(L17="Repetido","Já está em um canal anterior: escolha outro",IF(L17="Sem fonte","Escolha o tipo de fonte",IF(L17="Tipo diferente","Sugestão: "&amp;IFERROR(VLOOKUP(C17,Referência!$B$6:$I$15,7,FALSE()),"")&amp;". Confira se este serve",IF(L17="Padrão diferente","Confira o padrão e o lugar do retorno",IF(L17="Testar","Teste com a voz antes do evento",IF(I17="Sim","Ligue o phantom com o canal fechado","Manter"))))))))))</f>
        <v>Sugestão: Condensador. Confira se este serve</v>
      </c>
      <c r="N17" s="22" t="str">
        <f aca="false">IF(C17="","",IFERROR(VLOOKUP(C17,Referência!$B$6:$I$15,6,FALSE()),""))</f>
        <v>Acima das cabeças, apontado para a última fila. Um para cada 15 a 20 vozes.</v>
      </c>
    </row>
    <row r="18" customFormat="false" ht="30" hidden="false" customHeight="true" outlineLevel="0" collapsed="false">
      <c r="B18" s="17" t="n">
        <v>6</v>
      </c>
      <c r="C18" s="32" t="s">
        <v>124</v>
      </c>
      <c r="D18" s="30" t="s">
        <v>304</v>
      </c>
      <c r="E18" s="32" t="n">
        <v>2</v>
      </c>
      <c r="F18" s="21" t="str">
        <f aca="false">IF(E18="","",IFERROR(""&amp;VLOOKUP(E18,$B$51:$J$60,3,FALSE()),""))</f>
        <v>De mão</v>
      </c>
      <c r="G18" s="21" t="str">
        <f aca="false">IF(E18="","",IFERROR(""&amp;VLOOKUP(E18,$B$51:$J$60,4,FALSE()),""))</f>
        <v>Dinâmico</v>
      </c>
      <c r="H18" s="21" t="str">
        <f aca="false">IF(E18="","",IFERROR(""&amp;VLOOKUP(E18,$B$51:$J$60,5,FALSE()),""))</f>
        <v>Cardioide</v>
      </c>
      <c r="I18" s="20" t="str">
        <f aca="false">IF(E18="","",IFERROR(""&amp;VLOOKUP(E18,$B$51:$J$60,9,FALSE()),""))</f>
        <v>Não</v>
      </c>
      <c r="J18" s="22" t="str">
        <f aca="false">IF(C18="","",IFERROR(VLOOKUP(C18,Referência!$B$6:$I$15,2,FALSE()),"")&amp;", "&amp;IFERROR(VLOOKUP(C18,Referência!$B$6:$I$15,3,FALSE()),""))</f>
        <v>Condensador, Cardioide</v>
      </c>
      <c r="K18" s="22" t="str">
        <f aca="false">IF(C18="","",IFERROR(VLOOKUP(C18,Referência!$B$6:$I$15,5,FALSE()),""))</f>
        <v>60 a 90 cm à frente da 1ª fila</v>
      </c>
      <c r="L18" s="20" t="str">
        <f aca="false">IF(E18="",IF(C18="","","Sem microfone"),IF(IFERROR(""&amp;VLOOKUP(E18,$B$51:$J$60,3,FALSE()),"")&amp;IFERROR(""&amp;VLOOKUP(E18,$B$51:$J$60,4,FALSE()),"")&amp;IFERROR(""&amp;VLOOKUP(E18,$B$51:$J$60,7,FALSE()),"")="","Não cadastrado",IF(IFERROR(""&amp;VLOOKUP(E18,$B$51:$J$60,7,FALSE()),"")="Defeito","Defeito",IF(COUNTIF($E$13:E18,E18)&gt;1,"Repetido",IF(C18="","Sem fonte",IF(AND(IFERROR(VLOOKUP(C18,Referência!$B$6:$I$15,7,FALSE()),"")&lt;&gt;"Qualquer",G18&lt;&gt;IFERROR(VLOOKUP(C18,Referência!$B$6:$I$15,7,FALSE()),"")),"Tipo diferente",IF(NOT(OR(IFERROR(VLOOKUP(C18,Referência!$B$6:$I$15,8,FALSE()),"")="Qualquer",AND(IFERROR(VLOOKUP(C18,Referência!$B$6:$I$15,8,FALSE()),"")="Direcional",OR(H18="Cardioide",H18="Supercardioide",H18="Hipercardioide")),IFERROR(VLOOKUP(C18,Referência!$B$6:$I$15,8,FALSE()),"")=H18)),"Padrão diferente",IF(IFERROR(""&amp;VLOOKUP(E18,$B$51:$J$60,7,FALSE()),"")&lt;&gt;"OK","Testar","OK"))))))))</f>
        <v>Repetido</v>
      </c>
      <c r="M18" s="22" t="str">
        <f aca="false">IF(L18="","",IF(L18="Sem microfone","Escolha um microfone do inventário",IF(L18="Não cadastrado","Cadastre o microfone na aba Inventário",IF(L18="Defeito","Troque de microfone e separe este para conserto",IF(L18="Repetido","Já está em um canal anterior: escolha outro",IF(L18="Sem fonte","Escolha o tipo de fonte",IF(L18="Tipo diferente","Sugestão: "&amp;IFERROR(VLOOKUP(C18,Referência!$B$6:$I$15,7,FALSE()),"")&amp;". Confira se este serve",IF(L18="Padrão diferente","Confira o padrão e o lugar do retorno",IF(L18="Testar","Teste com a voz antes do evento",IF(I18="Sim","Ligue o phantom com o canal fechado","Manter"))))))))))</f>
        <v>Já está em um canal anterior: escolha outro</v>
      </c>
      <c r="N18" s="22" t="str">
        <f aca="false">IF(C18="","",IFERROR(VLOOKUP(C18,Referência!$B$6:$I$15,6,FALSE()),""))</f>
        <v>Acima das cabeças, apontado para a última fila. Um para cada 15 a 20 vozes.</v>
      </c>
    </row>
    <row r="19" customFormat="false" ht="30" hidden="false" customHeight="true" outlineLevel="0" collapsed="false">
      <c r="B19" s="17" t="n">
        <v>7</v>
      </c>
      <c r="C19" s="32" t="s">
        <v>190</v>
      </c>
      <c r="D19" s="30" t="s">
        <v>305</v>
      </c>
      <c r="E19" s="32" t="n">
        <v>8</v>
      </c>
      <c r="F19" s="21" t="str">
        <f aca="false">IF(E19="","",IFERROR(""&amp;VLOOKUP(E19,$B$51:$J$60,3,FALSE()),""))</f>
        <v>Lápis</v>
      </c>
      <c r="G19" s="21" t="str">
        <f aca="false">IF(E19="","",IFERROR(""&amp;VLOOKUP(E19,$B$51:$J$60,4,FALSE()),""))</f>
        <v>Condensador</v>
      </c>
      <c r="H19" s="21" t="str">
        <f aca="false">IF(E19="","",IFERROR(""&amp;VLOOKUP(E19,$B$51:$J$60,5,FALSE()),""))</f>
        <v>Cardioide</v>
      </c>
      <c r="I19" s="20" t="str">
        <f aca="false">IF(E19="","",IFERROR(""&amp;VLOOKUP(E19,$B$51:$J$60,9,FALSE()),""))</f>
        <v>Sim</v>
      </c>
      <c r="J19" s="22" t="str">
        <f aca="false">IF(C19="","",IFERROR(VLOOKUP(C19,Referência!$B$6:$I$15,2,FALSE()),"")&amp;", "&amp;IFERROR(VLOOKUP(C19,Referência!$B$6:$I$15,3,FALSE()),""))</f>
        <v>Condensador, Cardioide</v>
      </c>
      <c r="K19" s="22" t="str">
        <f aca="false">IF(C19="","",IFERROR(VLOOKUP(C19,Referência!$B$6:$I$15,5,FALSE()),""))</f>
        <v>15 a 30 cm</v>
      </c>
      <c r="L19" s="20" t="str">
        <f aca="false">IF(E19="",IF(C19="","","Sem microfone"),IF(IFERROR(""&amp;VLOOKUP(E19,$B$51:$J$60,3,FALSE()),"")&amp;IFERROR(""&amp;VLOOKUP(E19,$B$51:$J$60,4,FALSE()),"")&amp;IFERROR(""&amp;VLOOKUP(E19,$B$51:$J$60,7,FALSE()),"")="","Não cadastrado",IF(IFERROR(""&amp;VLOOKUP(E19,$B$51:$J$60,7,FALSE()),"")="Defeito","Defeito",IF(COUNTIF($E$13:E19,E19)&gt;1,"Repetido",IF(C19="","Sem fonte",IF(AND(IFERROR(VLOOKUP(C19,Referência!$B$6:$I$15,7,FALSE()),"")&lt;&gt;"Qualquer",G19&lt;&gt;IFERROR(VLOOKUP(C19,Referência!$B$6:$I$15,7,FALSE()),"")),"Tipo diferente",IF(NOT(OR(IFERROR(VLOOKUP(C19,Referência!$B$6:$I$15,8,FALSE()),"")="Qualquer",AND(IFERROR(VLOOKUP(C19,Referência!$B$6:$I$15,8,FALSE()),"")="Direcional",OR(H19="Cardioide",H19="Supercardioide",H19="Hipercardioide")),IFERROR(VLOOKUP(C19,Referência!$B$6:$I$15,8,FALSE()),"")=H19)),"Padrão diferente",IF(IFERROR(""&amp;VLOOKUP(E19,$B$51:$J$60,7,FALSE()),"")&lt;&gt;"OK","Testar","OK"))))))))</f>
        <v>OK</v>
      </c>
      <c r="M19" s="22" t="str">
        <f aca="false">IF(L19="","",IF(L19="Sem microfone","Escolha um microfone do inventário",IF(L19="Não cadastrado","Cadastre o microfone na aba Inventário",IF(L19="Defeito","Troque de microfone e separe este para conserto",IF(L19="Repetido","Já está em um canal anterior: escolha outro",IF(L19="Sem fonte","Escolha o tipo de fonte",IF(L19="Tipo diferente","Sugestão: "&amp;IFERROR(VLOOKUP(C19,Referência!$B$6:$I$15,7,FALSE()),"")&amp;". Confira se este serve",IF(L19="Padrão diferente","Confira o padrão e o lugar do retorno",IF(L19="Testar","Teste com a voz antes do evento",IF(I19="Sim","Ligue o phantom com o canal fechado","Manter"))))))))))</f>
        <v>Ligue o phantom com o canal fechado</v>
      </c>
      <c r="N19" s="22" t="str">
        <f aca="false">IF(C19="","",IFERROR(VLOOKUP(C19,Referência!$B$6:$I$15,6,FALSE()),""))</f>
        <v>Apontado para a junção do braço com o corpo, e não para a boca do violão.</v>
      </c>
    </row>
    <row r="20" customFormat="false" ht="30" hidden="false" customHeight="true" outlineLevel="0" collapsed="false">
      <c r="B20" s="17" t="n">
        <v>8</v>
      </c>
      <c r="C20" s="32" t="s">
        <v>198</v>
      </c>
      <c r="D20" s="30" t="s">
        <v>198</v>
      </c>
      <c r="E20" s="32" t="n">
        <v>9</v>
      </c>
      <c r="F20" s="21" t="str">
        <f aca="false">IF(E20="","",IFERROR(""&amp;VLOOKUP(E20,$B$51:$J$60,3,FALSE()),""))</f>
        <v>Instrumento</v>
      </c>
      <c r="G20" s="21" t="str">
        <f aca="false">IF(E20="","",IFERROR(""&amp;VLOOKUP(E20,$B$51:$J$60,4,FALSE()),""))</f>
        <v>Dinâmico</v>
      </c>
      <c r="H20" s="21" t="str">
        <f aca="false">IF(E20="","",IFERROR(""&amp;VLOOKUP(E20,$B$51:$J$60,5,FALSE()),""))</f>
        <v>Cardioide</v>
      </c>
      <c r="I20" s="20" t="str">
        <f aca="false">IF(E20="","",IFERROR(""&amp;VLOOKUP(E20,$B$51:$J$60,9,FALSE()),""))</f>
        <v>Não</v>
      </c>
      <c r="J20" s="22" t="str">
        <f aca="false">IF(C20="","",IFERROR(VLOOKUP(C20,Referência!$B$6:$I$15,2,FALSE()),"")&amp;", "&amp;IFERROR(VLOOKUP(C20,Referência!$B$6:$I$15,3,FALSE()),""))</f>
        <v>Dinâmico, Cardioide</v>
      </c>
      <c r="K20" s="22" t="str">
        <f aca="false">IF(C20="","",IFERROR(VLOOKUP(C20,Referência!$B$6:$I$15,5,FALSE()),""))</f>
        <v>Dentro do casco ou no furo da pele</v>
      </c>
      <c r="L20" s="20" t="str">
        <f aca="false">IF(E20="",IF(C20="","","Sem microfone"),IF(IFERROR(""&amp;VLOOKUP(E20,$B$51:$J$60,3,FALSE()),"")&amp;IFERROR(""&amp;VLOOKUP(E20,$B$51:$J$60,4,FALSE()),"")&amp;IFERROR(""&amp;VLOOKUP(E20,$B$51:$J$60,7,FALSE()),"")="","Não cadastrado",IF(IFERROR(""&amp;VLOOKUP(E20,$B$51:$J$60,7,FALSE()),"")="Defeito","Defeito",IF(COUNTIF($E$13:E20,E20)&gt;1,"Repetido",IF(C20="","Sem fonte",IF(AND(IFERROR(VLOOKUP(C20,Referência!$B$6:$I$15,7,FALSE()),"")&lt;&gt;"Qualquer",G20&lt;&gt;IFERROR(VLOOKUP(C20,Referência!$B$6:$I$15,7,FALSE()),"")),"Tipo diferente",IF(NOT(OR(IFERROR(VLOOKUP(C20,Referência!$B$6:$I$15,8,FALSE()),"")="Qualquer",AND(IFERROR(VLOOKUP(C20,Referência!$B$6:$I$15,8,FALSE()),"")="Direcional",OR(H20="Cardioide",H20="Supercardioide",H20="Hipercardioide")),IFERROR(VLOOKUP(C20,Referência!$B$6:$I$15,8,FALSE()),"")=H20)),"Padrão diferente",IF(IFERROR(""&amp;VLOOKUP(E20,$B$51:$J$60,7,FALSE()),"")&lt;&gt;"OK","Testar","OK"))))))))</f>
        <v>OK</v>
      </c>
      <c r="M20" s="22" t="str">
        <f aca="false">IF(L20="","",IF(L20="Sem microfone","Escolha um microfone do inventário",IF(L20="Não cadastrado","Cadastre o microfone na aba Inventário",IF(L20="Defeito","Troque de microfone e separe este para conserto",IF(L20="Repetido","Já está em um canal anterior: escolha outro",IF(L20="Sem fonte","Escolha o tipo de fonte",IF(L20="Tipo diferente","Sugestão: "&amp;IFERROR(VLOOKUP(C20,Referência!$B$6:$I$15,7,FALSE()),"")&amp;". Confira se este serve",IF(L20="Padrão diferente","Confira o padrão e o lugar do retorno",IF(L20="Testar","Teste com a voz antes do evento",IF(I20="Sim","Ligue o phantom com o canal fechado","Manter"))))))))))</f>
        <v>Manter</v>
      </c>
      <c r="N20" s="22" t="str">
        <f aca="false">IF(C20="","",IFERROR(VLOOKUP(C20,Referência!$B$6:$I$15,6,FALSE()),""))</f>
        <v>Perto da pele batida, mais ataque. No furo, mais corpo.</v>
      </c>
    </row>
    <row r="21" customFormat="false" ht="30" hidden="false" customHeight="true" outlineLevel="0" collapsed="false">
      <c r="B21" s="17" t="n">
        <v>9</v>
      </c>
      <c r="C21" s="32" t="s">
        <v>180</v>
      </c>
      <c r="D21" s="30" t="s">
        <v>306</v>
      </c>
      <c r="E21" s="32" t="n">
        <v>10</v>
      </c>
      <c r="F21" s="21" t="str">
        <f aca="false">IF(E21="","",IFERROR(""&amp;VLOOKUP(E21,$B$51:$J$60,3,FALSE()),""))</f>
        <v>Gooseneck</v>
      </c>
      <c r="G21" s="21" t="str">
        <f aca="false">IF(E21="","",IFERROR(""&amp;VLOOKUP(E21,$B$51:$J$60,4,FALSE()),""))</f>
        <v>Condensador</v>
      </c>
      <c r="H21" s="21" t="str">
        <f aca="false">IF(E21="","",IFERROR(""&amp;VLOOKUP(E21,$B$51:$J$60,5,FALSE()),""))</f>
        <v>Cardioide</v>
      </c>
      <c r="I21" s="20" t="str">
        <f aca="false">IF(E21="","",IFERROR(""&amp;VLOOKUP(E21,$B$51:$J$60,9,FALSE()),""))</f>
        <v>Sim</v>
      </c>
      <c r="J21" s="22" t="str">
        <f aca="false">IF(C21="","",IFERROR(VLOOKUP(C21,Referência!$B$6:$I$15,2,FALSE()),"")&amp;", "&amp;IFERROR(VLOOKUP(C21,Referência!$B$6:$I$15,3,FALSE()),""))</f>
        <v>Dinâmico ou condensador, Conforme o formato</v>
      </c>
      <c r="K21" s="22" t="str">
        <f aca="false">IF(C21="","",IFERROR(VLOOKUP(C21,Referência!$B$6:$I$15,5,FALSE()),""))</f>
        <v>O mais perto que o formato permite</v>
      </c>
      <c r="L21" s="20" t="str">
        <f aca="false">IF(E21="",IF(C21="","","Sem microfone"),IF(IFERROR(""&amp;VLOOKUP(E21,$B$51:$J$60,3,FALSE()),"")&amp;IFERROR(""&amp;VLOOKUP(E21,$B$51:$J$60,4,FALSE()),"")&amp;IFERROR(""&amp;VLOOKUP(E21,$B$51:$J$60,7,FALSE()),"")="","Não cadastrado",IF(IFERROR(""&amp;VLOOKUP(E21,$B$51:$J$60,7,FALSE()),"")="Defeito","Defeito",IF(COUNTIF($E$13:E21,E21)&gt;1,"Repetido",IF(C21="","Sem fonte",IF(AND(IFERROR(VLOOKUP(C21,Referência!$B$6:$I$15,7,FALSE()),"")&lt;&gt;"Qualquer",G21&lt;&gt;IFERROR(VLOOKUP(C21,Referência!$B$6:$I$15,7,FALSE()),"")),"Tipo diferente",IF(NOT(OR(IFERROR(VLOOKUP(C21,Referência!$B$6:$I$15,8,FALSE()),"")="Qualquer",AND(IFERROR(VLOOKUP(C21,Referência!$B$6:$I$15,8,FALSE()),"")="Direcional",OR(H21="Cardioide",H21="Supercardioide",H21="Hipercardioide")),IFERROR(VLOOKUP(C21,Referência!$B$6:$I$15,8,FALSE()),"")=H21)),"Padrão diferente",IF(IFERROR(""&amp;VLOOKUP(E21,$B$51:$J$60,7,FALSE()),"")&lt;&gt;"OK","Testar","OK"))))))))</f>
        <v>OK</v>
      </c>
      <c r="M21" s="22" t="str">
        <f aca="false">IF(L21="","",IF(L21="Sem microfone","Escolha um microfone do inventário",IF(L21="Não cadastrado","Cadastre o microfone na aba Inventário",IF(L21="Defeito","Troque de microfone e separe este para conserto",IF(L21="Repetido","Já está em um canal anterior: escolha outro",IF(L21="Sem fonte","Escolha o tipo de fonte",IF(L21="Tipo diferente","Sugestão: "&amp;IFERROR(VLOOKUP(C21,Referência!$B$6:$I$15,7,FALSE()),"")&amp;". Confira se este serve",IF(L21="Padrão diferente","Confira o padrão e o lugar do retorno",IF(L21="Testar","Teste com a voz antes do evento",IF(I21="Sim","Ligue o phantom com o canal fechado","Manter"))))))))))</f>
        <v>Ligue o phantom com o canal fechado</v>
      </c>
      <c r="N21" s="22" t="str">
        <f aca="false">IF(C21="","",IFERROR(VLOOKUP(C21,Referência!$B$6:$I$15,6,FALSE()),""))</f>
        <v>Um microfone por pessoa que fala, e só o dela aberto.</v>
      </c>
    </row>
    <row r="22" customFormat="false" ht="30" hidden="false" customHeight="true" outlineLevel="0" collapsed="false">
      <c r="B22" s="17" t="n">
        <v>10</v>
      </c>
      <c r="C22" s="32"/>
      <c r="D22" s="30"/>
      <c r="E22" s="32"/>
      <c r="F22" s="21" t="str">
        <f aca="false">IF(E22="","",IFERROR(""&amp;VLOOKUP(E22,$B$51:$J$60,3,FALSE()),""))</f>
        <v/>
      </c>
      <c r="G22" s="21" t="str">
        <f aca="false">IF(E22="","",IFERROR(""&amp;VLOOKUP(E22,$B$51:$J$60,4,FALSE()),""))</f>
        <v/>
      </c>
      <c r="H22" s="21" t="str">
        <f aca="false">IF(E22="","",IFERROR(""&amp;VLOOKUP(E22,$B$51:$J$60,5,FALSE()),""))</f>
        <v/>
      </c>
      <c r="I22" s="20" t="str">
        <f aca="false">IF(E22="","",IFERROR(""&amp;VLOOKUP(E22,$B$51:$J$60,9,FALSE()),""))</f>
        <v/>
      </c>
      <c r="J22" s="22" t="str">
        <f aca="false">IF(C22="","",IFERROR(VLOOKUP(C22,Referência!$B$6:$I$15,2,FALSE()),"")&amp;", "&amp;IFERROR(VLOOKUP(C22,Referência!$B$6:$I$15,3,FALSE()),""))</f>
        <v/>
      </c>
      <c r="K22" s="22" t="str">
        <f aca="false">IF(C22="","",IFERROR(VLOOKUP(C22,Referência!$B$6:$I$15,5,FALSE()),""))</f>
        <v/>
      </c>
      <c r="L22" s="20" t="str">
        <f aca="false">IF(E22="",IF(C22="","","Sem microfone"),IF(IFERROR(""&amp;VLOOKUP(E22,$B$51:$J$60,3,FALSE()),"")&amp;IFERROR(""&amp;VLOOKUP(E22,$B$51:$J$60,4,FALSE()),"")&amp;IFERROR(""&amp;VLOOKUP(E22,$B$51:$J$60,7,FALSE()),"")="","Não cadastrado",IF(IFERROR(""&amp;VLOOKUP(E22,$B$51:$J$60,7,FALSE()),"")="Defeito","Defeito",IF(COUNTIF($E$13:E22,E22)&gt;1,"Repetido",IF(C22="","Sem fonte",IF(AND(IFERROR(VLOOKUP(C22,Referência!$B$6:$I$15,7,FALSE()),"")&lt;&gt;"Qualquer",G22&lt;&gt;IFERROR(VLOOKUP(C22,Referência!$B$6:$I$15,7,FALSE()),"")),"Tipo diferente",IF(NOT(OR(IFERROR(VLOOKUP(C22,Referência!$B$6:$I$15,8,FALSE()),"")="Qualquer",AND(IFERROR(VLOOKUP(C22,Referência!$B$6:$I$15,8,FALSE()),"")="Direcional",OR(H22="Cardioide",H22="Supercardioide",H22="Hipercardioide")),IFERROR(VLOOKUP(C22,Referência!$B$6:$I$15,8,FALSE()),"")=H22)),"Padrão diferente",IF(IFERROR(""&amp;VLOOKUP(E22,$B$51:$J$60,7,FALSE()),"")&lt;&gt;"OK","Testar","OK"))))))))</f>
        <v/>
      </c>
      <c r="M22" s="22" t="str">
        <f aca="false">IF(L22="","",IF(L22="Sem microfone","Escolha um microfone do inventário",IF(L22="Não cadastrado","Cadastre o microfone na aba Inventário",IF(L22="Defeito","Troque de microfone e separe este para conserto",IF(L22="Repetido","Já está em um canal anterior: escolha outro",IF(L22="Sem fonte","Escolha o tipo de fonte",IF(L22="Tipo diferente","Sugestão: "&amp;IFERROR(VLOOKUP(C22,Referência!$B$6:$I$15,7,FALSE()),"")&amp;". Confira se este serve",IF(L22="Padrão diferente","Confira o padrão e o lugar do retorno",IF(L22="Testar","Teste com a voz antes do evento",IF(I22="Sim","Ligue o phantom com o canal fechado","Manter"))))))))))</f>
        <v/>
      </c>
      <c r="N22" s="22" t="str">
        <f aca="false">IF(C22="","",IFERROR(VLOOKUP(C22,Referência!$B$6:$I$15,6,FALSE()),""))</f>
        <v/>
      </c>
    </row>
    <row r="23" customFormat="false" ht="30" hidden="false" customHeight="true" outlineLevel="0" collapsed="false">
      <c r="B23" s="17" t="n">
        <v>11</v>
      </c>
      <c r="C23" s="32"/>
      <c r="D23" s="30"/>
      <c r="E23" s="32"/>
      <c r="F23" s="21" t="str">
        <f aca="false">IF(E23="","",IFERROR(""&amp;VLOOKUP(E23,$B$51:$J$60,3,FALSE()),""))</f>
        <v/>
      </c>
      <c r="G23" s="21" t="str">
        <f aca="false">IF(E23="","",IFERROR(""&amp;VLOOKUP(E23,$B$51:$J$60,4,FALSE()),""))</f>
        <v/>
      </c>
      <c r="H23" s="21" t="str">
        <f aca="false">IF(E23="","",IFERROR(""&amp;VLOOKUP(E23,$B$51:$J$60,5,FALSE()),""))</f>
        <v/>
      </c>
      <c r="I23" s="20" t="str">
        <f aca="false">IF(E23="","",IFERROR(""&amp;VLOOKUP(E23,$B$51:$J$60,9,FALSE()),""))</f>
        <v/>
      </c>
      <c r="J23" s="22" t="str">
        <f aca="false">IF(C23="","",IFERROR(VLOOKUP(C23,Referência!$B$6:$I$15,2,FALSE()),"")&amp;", "&amp;IFERROR(VLOOKUP(C23,Referência!$B$6:$I$15,3,FALSE()),""))</f>
        <v/>
      </c>
      <c r="K23" s="22" t="str">
        <f aca="false">IF(C23="","",IFERROR(VLOOKUP(C23,Referência!$B$6:$I$15,5,FALSE()),""))</f>
        <v/>
      </c>
      <c r="L23" s="20" t="str">
        <f aca="false">IF(E23="",IF(C23="","","Sem microfone"),IF(IFERROR(""&amp;VLOOKUP(E23,$B$51:$J$60,3,FALSE()),"")&amp;IFERROR(""&amp;VLOOKUP(E23,$B$51:$J$60,4,FALSE()),"")&amp;IFERROR(""&amp;VLOOKUP(E23,$B$51:$J$60,7,FALSE()),"")="","Não cadastrado",IF(IFERROR(""&amp;VLOOKUP(E23,$B$51:$J$60,7,FALSE()),"")="Defeito","Defeito",IF(COUNTIF($E$13:E23,E23)&gt;1,"Repetido",IF(C23="","Sem fonte",IF(AND(IFERROR(VLOOKUP(C23,Referência!$B$6:$I$15,7,FALSE()),"")&lt;&gt;"Qualquer",G23&lt;&gt;IFERROR(VLOOKUP(C23,Referência!$B$6:$I$15,7,FALSE()),"")),"Tipo diferente",IF(NOT(OR(IFERROR(VLOOKUP(C23,Referência!$B$6:$I$15,8,FALSE()),"")="Qualquer",AND(IFERROR(VLOOKUP(C23,Referência!$B$6:$I$15,8,FALSE()),"")="Direcional",OR(H23="Cardioide",H23="Supercardioide",H23="Hipercardioide")),IFERROR(VLOOKUP(C23,Referência!$B$6:$I$15,8,FALSE()),"")=H23)),"Padrão diferente",IF(IFERROR(""&amp;VLOOKUP(E23,$B$51:$J$60,7,FALSE()),"")&lt;&gt;"OK","Testar","OK"))))))))</f>
        <v/>
      </c>
      <c r="M23" s="22" t="str">
        <f aca="false">IF(L23="","",IF(L23="Sem microfone","Escolha um microfone do inventário",IF(L23="Não cadastrado","Cadastre o microfone na aba Inventário",IF(L23="Defeito","Troque de microfone e separe este para conserto",IF(L23="Repetido","Já está em um canal anterior: escolha outro",IF(L23="Sem fonte","Escolha o tipo de fonte",IF(L23="Tipo diferente","Sugestão: "&amp;IFERROR(VLOOKUP(C23,Referência!$B$6:$I$15,7,FALSE()),"")&amp;". Confira se este serve",IF(L23="Padrão diferente","Confira o padrão e o lugar do retorno",IF(L23="Testar","Teste com a voz antes do evento",IF(I23="Sim","Ligue o phantom com o canal fechado","Manter"))))))))))</f>
        <v/>
      </c>
      <c r="N23" s="22" t="str">
        <f aca="false">IF(C23="","",IFERROR(VLOOKUP(C23,Referência!$B$6:$I$15,6,FALSE()),""))</f>
        <v/>
      </c>
    </row>
    <row r="24" customFormat="false" ht="30" hidden="false" customHeight="true" outlineLevel="0" collapsed="false">
      <c r="B24" s="17" t="n">
        <v>12</v>
      </c>
      <c r="C24" s="32"/>
      <c r="D24" s="30"/>
      <c r="E24" s="32"/>
      <c r="F24" s="21" t="str">
        <f aca="false">IF(E24="","",IFERROR(""&amp;VLOOKUP(E24,$B$51:$J$60,3,FALSE()),""))</f>
        <v/>
      </c>
      <c r="G24" s="21" t="str">
        <f aca="false">IF(E24="","",IFERROR(""&amp;VLOOKUP(E24,$B$51:$J$60,4,FALSE()),""))</f>
        <v/>
      </c>
      <c r="H24" s="21" t="str">
        <f aca="false">IF(E24="","",IFERROR(""&amp;VLOOKUP(E24,$B$51:$J$60,5,FALSE()),""))</f>
        <v/>
      </c>
      <c r="I24" s="20" t="str">
        <f aca="false">IF(E24="","",IFERROR(""&amp;VLOOKUP(E24,$B$51:$J$60,9,FALSE()),""))</f>
        <v/>
      </c>
      <c r="J24" s="22" t="str">
        <f aca="false">IF(C24="","",IFERROR(VLOOKUP(C24,Referência!$B$6:$I$15,2,FALSE()),"")&amp;", "&amp;IFERROR(VLOOKUP(C24,Referência!$B$6:$I$15,3,FALSE()),""))</f>
        <v/>
      </c>
      <c r="K24" s="22" t="str">
        <f aca="false">IF(C24="","",IFERROR(VLOOKUP(C24,Referência!$B$6:$I$15,5,FALSE()),""))</f>
        <v/>
      </c>
      <c r="L24" s="20" t="str">
        <f aca="false">IF(E24="",IF(C24="","","Sem microfone"),IF(IFERROR(""&amp;VLOOKUP(E24,$B$51:$J$60,3,FALSE()),"")&amp;IFERROR(""&amp;VLOOKUP(E24,$B$51:$J$60,4,FALSE()),"")&amp;IFERROR(""&amp;VLOOKUP(E24,$B$51:$J$60,7,FALSE()),"")="","Não cadastrado",IF(IFERROR(""&amp;VLOOKUP(E24,$B$51:$J$60,7,FALSE()),"")="Defeito","Defeito",IF(COUNTIF($E$13:E24,E24)&gt;1,"Repetido",IF(C24="","Sem fonte",IF(AND(IFERROR(VLOOKUP(C24,Referência!$B$6:$I$15,7,FALSE()),"")&lt;&gt;"Qualquer",G24&lt;&gt;IFERROR(VLOOKUP(C24,Referência!$B$6:$I$15,7,FALSE()),"")),"Tipo diferente",IF(NOT(OR(IFERROR(VLOOKUP(C24,Referência!$B$6:$I$15,8,FALSE()),"")="Qualquer",AND(IFERROR(VLOOKUP(C24,Referência!$B$6:$I$15,8,FALSE()),"")="Direcional",OR(H24="Cardioide",H24="Supercardioide",H24="Hipercardioide")),IFERROR(VLOOKUP(C24,Referência!$B$6:$I$15,8,FALSE()),"")=H24)),"Padrão diferente",IF(IFERROR(""&amp;VLOOKUP(E24,$B$51:$J$60,7,FALSE()),"")&lt;&gt;"OK","Testar","OK"))))))))</f>
        <v/>
      </c>
      <c r="M24" s="22" t="str">
        <f aca="false">IF(L24="","",IF(L24="Sem microfone","Escolha um microfone do inventário",IF(L24="Não cadastrado","Cadastre o microfone na aba Inventário",IF(L24="Defeito","Troque de microfone e separe este para conserto",IF(L24="Repetido","Já está em um canal anterior: escolha outro",IF(L24="Sem fonte","Escolha o tipo de fonte",IF(L24="Tipo diferente","Sugestão: "&amp;IFERROR(VLOOKUP(C24,Referência!$B$6:$I$15,7,FALSE()),"")&amp;". Confira se este serve",IF(L24="Padrão diferente","Confira o padrão e o lugar do retorno",IF(L24="Testar","Teste com a voz antes do evento",IF(I24="Sim","Ligue o phantom com o canal fechado","Manter"))))))))))</f>
        <v/>
      </c>
      <c r="N24" s="22" t="str">
        <f aca="false">IF(C24="","",IFERROR(VLOOKUP(C24,Referência!$B$6:$I$15,6,FALSE()),""))</f>
        <v/>
      </c>
    </row>
    <row r="25" customFormat="false" ht="30" hidden="false" customHeight="true" outlineLevel="0" collapsed="false">
      <c r="B25" s="17" t="n">
        <v>13</v>
      </c>
      <c r="C25" s="32"/>
      <c r="D25" s="30"/>
      <c r="E25" s="32"/>
      <c r="F25" s="21" t="str">
        <f aca="false">IF(E25="","",IFERROR(""&amp;VLOOKUP(E25,$B$51:$J$60,3,FALSE()),""))</f>
        <v/>
      </c>
      <c r="G25" s="21" t="str">
        <f aca="false">IF(E25="","",IFERROR(""&amp;VLOOKUP(E25,$B$51:$J$60,4,FALSE()),""))</f>
        <v/>
      </c>
      <c r="H25" s="21" t="str">
        <f aca="false">IF(E25="","",IFERROR(""&amp;VLOOKUP(E25,$B$51:$J$60,5,FALSE()),""))</f>
        <v/>
      </c>
      <c r="I25" s="20" t="str">
        <f aca="false">IF(E25="","",IFERROR(""&amp;VLOOKUP(E25,$B$51:$J$60,9,FALSE()),""))</f>
        <v/>
      </c>
      <c r="J25" s="22" t="str">
        <f aca="false">IF(C25="","",IFERROR(VLOOKUP(C25,Referência!$B$6:$I$15,2,FALSE()),"")&amp;", "&amp;IFERROR(VLOOKUP(C25,Referência!$B$6:$I$15,3,FALSE()),""))</f>
        <v/>
      </c>
      <c r="K25" s="22" t="str">
        <f aca="false">IF(C25="","",IFERROR(VLOOKUP(C25,Referência!$B$6:$I$15,5,FALSE()),""))</f>
        <v/>
      </c>
      <c r="L25" s="20" t="str">
        <f aca="false">IF(E25="",IF(C25="","","Sem microfone"),IF(IFERROR(""&amp;VLOOKUP(E25,$B$51:$J$60,3,FALSE()),"")&amp;IFERROR(""&amp;VLOOKUP(E25,$B$51:$J$60,4,FALSE()),"")&amp;IFERROR(""&amp;VLOOKUP(E25,$B$51:$J$60,7,FALSE()),"")="","Não cadastrado",IF(IFERROR(""&amp;VLOOKUP(E25,$B$51:$J$60,7,FALSE()),"")="Defeito","Defeito",IF(COUNTIF($E$13:E25,E25)&gt;1,"Repetido",IF(C25="","Sem fonte",IF(AND(IFERROR(VLOOKUP(C25,Referência!$B$6:$I$15,7,FALSE()),"")&lt;&gt;"Qualquer",G25&lt;&gt;IFERROR(VLOOKUP(C25,Referência!$B$6:$I$15,7,FALSE()),"")),"Tipo diferente",IF(NOT(OR(IFERROR(VLOOKUP(C25,Referência!$B$6:$I$15,8,FALSE()),"")="Qualquer",AND(IFERROR(VLOOKUP(C25,Referência!$B$6:$I$15,8,FALSE()),"")="Direcional",OR(H25="Cardioide",H25="Supercardioide",H25="Hipercardioide")),IFERROR(VLOOKUP(C25,Referência!$B$6:$I$15,8,FALSE()),"")=H25)),"Padrão diferente",IF(IFERROR(""&amp;VLOOKUP(E25,$B$51:$J$60,7,FALSE()),"")&lt;&gt;"OK","Testar","OK"))))))))</f>
        <v/>
      </c>
      <c r="M25" s="22" t="str">
        <f aca="false">IF(L25="","",IF(L25="Sem microfone","Escolha um microfone do inventário",IF(L25="Não cadastrado","Cadastre o microfone na aba Inventário",IF(L25="Defeito","Troque de microfone e separe este para conserto",IF(L25="Repetido","Já está em um canal anterior: escolha outro",IF(L25="Sem fonte","Escolha o tipo de fonte",IF(L25="Tipo diferente","Sugestão: "&amp;IFERROR(VLOOKUP(C25,Referência!$B$6:$I$15,7,FALSE()),"")&amp;". Confira se este serve",IF(L25="Padrão diferente","Confira o padrão e o lugar do retorno",IF(L25="Testar","Teste com a voz antes do evento",IF(I25="Sim","Ligue o phantom com o canal fechado","Manter"))))))))))</f>
        <v/>
      </c>
      <c r="N25" s="22" t="str">
        <f aca="false">IF(C25="","",IFERROR(VLOOKUP(C25,Referência!$B$6:$I$15,6,FALSE()),""))</f>
        <v/>
      </c>
    </row>
    <row r="26" customFormat="false" ht="30" hidden="false" customHeight="true" outlineLevel="0" collapsed="false">
      <c r="B26" s="17" t="n">
        <v>14</v>
      </c>
      <c r="C26" s="32"/>
      <c r="D26" s="30"/>
      <c r="E26" s="32"/>
      <c r="F26" s="21" t="str">
        <f aca="false">IF(E26="","",IFERROR(""&amp;VLOOKUP(E26,$B$51:$J$60,3,FALSE()),""))</f>
        <v/>
      </c>
      <c r="G26" s="21" t="str">
        <f aca="false">IF(E26="","",IFERROR(""&amp;VLOOKUP(E26,$B$51:$J$60,4,FALSE()),""))</f>
        <v/>
      </c>
      <c r="H26" s="21" t="str">
        <f aca="false">IF(E26="","",IFERROR(""&amp;VLOOKUP(E26,$B$51:$J$60,5,FALSE()),""))</f>
        <v/>
      </c>
      <c r="I26" s="20" t="str">
        <f aca="false">IF(E26="","",IFERROR(""&amp;VLOOKUP(E26,$B$51:$J$60,9,FALSE()),""))</f>
        <v/>
      </c>
      <c r="J26" s="22" t="str">
        <f aca="false">IF(C26="","",IFERROR(VLOOKUP(C26,Referência!$B$6:$I$15,2,FALSE()),"")&amp;", "&amp;IFERROR(VLOOKUP(C26,Referência!$B$6:$I$15,3,FALSE()),""))</f>
        <v/>
      </c>
      <c r="K26" s="22" t="str">
        <f aca="false">IF(C26="","",IFERROR(VLOOKUP(C26,Referência!$B$6:$I$15,5,FALSE()),""))</f>
        <v/>
      </c>
      <c r="L26" s="20" t="str">
        <f aca="false">IF(E26="",IF(C26="","","Sem microfone"),IF(IFERROR(""&amp;VLOOKUP(E26,$B$51:$J$60,3,FALSE()),"")&amp;IFERROR(""&amp;VLOOKUP(E26,$B$51:$J$60,4,FALSE()),"")&amp;IFERROR(""&amp;VLOOKUP(E26,$B$51:$J$60,7,FALSE()),"")="","Não cadastrado",IF(IFERROR(""&amp;VLOOKUP(E26,$B$51:$J$60,7,FALSE()),"")="Defeito","Defeito",IF(COUNTIF($E$13:E26,E26)&gt;1,"Repetido",IF(C26="","Sem fonte",IF(AND(IFERROR(VLOOKUP(C26,Referência!$B$6:$I$15,7,FALSE()),"")&lt;&gt;"Qualquer",G26&lt;&gt;IFERROR(VLOOKUP(C26,Referência!$B$6:$I$15,7,FALSE()),"")),"Tipo diferente",IF(NOT(OR(IFERROR(VLOOKUP(C26,Referência!$B$6:$I$15,8,FALSE()),"")="Qualquer",AND(IFERROR(VLOOKUP(C26,Referência!$B$6:$I$15,8,FALSE()),"")="Direcional",OR(H26="Cardioide",H26="Supercardioide",H26="Hipercardioide")),IFERROR(VLOOKUP(C26,Referência!$B$6:$I$15,8,FALSE()),"")=H26)),"Padrão diferente",IF(IFERROR(""&amp;VLOOKUP(E26,$B$51:$J$60,7,FALSE()),"")&lt;&gt;"OK","Testar","OK"))))))))</f>
        <v/>
      </c>
      <c r="M26" s="22" t="str">
        <f aca="false">IF(L26="","",IF(L26="Sem microfone","Escolha um microfone do inventário",IF(L26="Não cadastrado","Cadastre o microfone na aba Inventário",IF(L26="Defeito","Troque de microfone e separe este para conserto",IF(L26="Repetido","Já está em um canal anterior: escolha outro",IF(L26="Sem fonte","Escolha o tipo de fonte",IF(L26="Tipo diferente","Sugestão: "&amp;IFERROR(VLOOKUP(C26,Referência!$B$6:$I$15,7,FALSE()),"")&amp;". Confira se este serve",IF(L26="Padrão diferente","Confira o padrão e o lugar do retorno",IF(L26="Testar","Teste com a voz antes do evento",IF(I26="Sim","Ligue o phantom com o canal fechado","Manter"))))))))))</f>
        <v/>
      </c>
      <c r="N26" s="22" t="str">
        <f aca="false">IF(C26="","",IFERROR(VLOOKUP(C26,Referência!$B$6:$I$15,6,FALSE()),""))</f>
        <v/>
      </c>
    </row>
    <row r="27" customFormat="false" ht="30" hidden="false" customHeight="true" outlineLevel="0" collapsed="false">
      <c r="B27" s="17" t="n">
        <v>15</v>
      </c>
      <c r="C27" s="32"/>
      <c r="D27" s="30"/>
      <c r="E27" s="32"/>
      <c r="F27" s="21" t="str">
        <f aca="false">IF(E27="","",IFERROR(""&amp;VLOOKUP(E27,$B$51:$J$60,3,FALSE()),""))</f>
        <v/>
      </c>
      <c r="G27" s="21" t="str">
        <f aca="false">IF(E27="","",IFERROR(""&amp;VLOOKUP(E27,$B$51:$J$60,4,FALSE()),""))</f>
        <v/>
      </c>
      <c r="H27" s="21" t="str">
        <f aca="false">IF(E27="","",IFERROR(""&amp;VLOOKUP(E27,$B$51:$J$60,5,FALSE()),""))</f>
        <v/>
      </c>
      <c r="I27" s="20" t="str">
        <f aca="false">IF(E27="","",IFERROR(""&amp;VLOOKUP(E27,$B$51:$J$60,9,FALSE()),""))</f>
        <v/>
      </c>
      <c r="J27" s="22" t="str">
        <f aca="false">IF(C27="","",IFERROR(VLOOKUP(C27,Referência!$B$6:$I$15,2,FALSE()),"")&amp;", "&amp;IFERROR(VLOOKUP(C27,Referência!$B$6:$I$15,3,FALSE()),""))</f>
        <v/>
      </c>
      <c r="K27" s="22" t="str">
        <f aca="false">IF(C27="","",IFERROR(VLOOKUP(C27,Referência!$B$6:$I$15,5,FALSE()),""))</f>
        <v/>
      </c>
      <c r="L27" s="20" t="str">
        <f aca="false">IF(E27="",IF(C27="","","Sem microfone"),IF(IFERROR(""&amp;VLOOKUP(E27,$B$51:$J$60,3,FALSE()),"")&amp;IFERROR(""&amp;VLOOKUP(E27,$B$51:$J$60,4,FALSE()),"")&amp;IFERROR(""&amp;VLOOKUP(E27,$B$51:$J$60,7,FALSE()),"")="","Não cadastrado",IF(IFERROR(""&amp;VLOOKUP(E27,$B$51:$J$60,7,FALSE()),"")="Defeito","Defeito",IF(COUNTIF($E$13:E27,E27)&gt;1,"Repetido",IF(C27="","Sem fonte",IF(AND(IFERROR(VLOOKUP(C27,Referência!$B$6:$I$15,7,FALSE()),"")&lt;&gt;"Qualquer",G27&lt;&gt;IFERROR(VLOOKUP(C27,Referência!$B$6:$I$15,7,FALSE()),"")),"Tipo diferente",IF(NOT(OR(IFERROR(VLOOKUP(C27,Referência!$B$6:$I$15,8,FALSE()),"")="Qualquer",AND(IFERROR(VLOOKUP(C27,Referência!$B$6:$I$15,8,FALSE()),"")="Direcional",OR(H27="Cardioide",H27="Supercardioide",H27="Hipercardioide")),IFERROR(VLOOKUP(C27,Referência!$B$6:$I$15,8,FALSE()),"")=H27)),"Padrão diferente",IF(IFERROR(""&amp;VLOOKUP(E27,$B$51:$J$60,7,FALSE()),"")&lt;&gt;"OK","Testar","OK"))))))))</f>
        <v/>
      </c>
      <c r="M27" s="22" t="str">
        <f aca="false">IF(L27="","",IF(L27="Sem microfone","Escolha um microfone do inventário",IF(L27="Não cadastrado","Cadastre o microfone na aba Inventário",IF(L27="Defeito","Troque de microfone e separe este para conserto",IF(L27="Repetido","Já está em um canal anterior: escolha outro",IF(L27="Sem fonte","Escolha o tipo de fonte",IF(L27="Tipo diferente","Sugestão: "&amp;IFERROR(VLOOKUP(C27,Referência!$B$6:$I$15,7,FALSE()),"")&amp;". Confira se este serve",IF(L27="Padrão diferente","Confira o padrão e o lugar do retorno",IF(L27="Testar","Teste com a voz antes do evento",IF(I27="Sim","Ligue o phantom com o canal fechado","Manter"))))))))))</f>
        <v/>
      </c>
      <c r="N27" s="22" t="str">
        <f aca="false">IF(C27="","",IFERROR(VLOOKUP(C27,Referência!$B$6:$I$15,6,FALSE()),""))</f>
        <v/>
      </c>
    </row>
    <row r="28" customFormat="false" ht="30" hidden="false" customHeight="true" outlineLevel="0" collapsed="false">
      <c r="B28" s="17" t="n">
        <v>16</v>
      </c>
      <c r="C28" s="32"/>
      <c r="D28" s="30"/>
      <c r="E28" s="32"/>
      <c r="F28" s="21" t="str">
        <f aca="false">IF(E28="","",IFERROR(""&amp;VLOOKUP(E28,$B$51:$J$60,3,FALSE()),""))</f>
        <v/>
      </c>
      <c r="G28" s="21" t="str">
        <f aca="false">IF(E28="","",IFERROR(""&amp;VLOOKUP(E28,$B$51:$J$60,4,FALSE()),""))</f>
        <v/>
      </c>
      <c r="H28" s="21" t="str">
        <f aca="false">IF(E28="","",IFERROR(""&amp;VLOOKUP(E28,$B$51:$J$60,5,FALSE()),""))</f>
        <v/>
      </c>
      <c r="I28" s="20" t="str">
        <f aca="false">IF(E28="","",IFERROR(""&amp;VLOOKUP(E28,$B$51:$J$60,9,FALSE()),""))</f>
        <v/>
      </c>
      <c r="J28" s="22" t="str">
        <f aca="false">IF(C28="","",IFERROR(VLOOKUP(C28,Referência!$B$6:$I$15,2,FALSE()),"")&amp;", "&amp;IFERROR(VLOOKUP(C28,Referência!$B$6:$I$15,3,FALSE()),""))</f>
        <v/>
      </c>
      <c r="K28" s="22" t="str">
        <f aca="false">IF(C28="","",IFERROR(VLOOKUP(C28,Referência!$B$6:$I$15,5,FALSE()),""))</f>
        <v/>
      </c>
      <c r="L28" s="20" t="str">
        <f aca="false">IF(E28="",IF(C28="","","Sem microfone"),IF(IFERROR(""&amp;VLOOKUP(E28,$B$51:$J$60,3,FALSE()),"")&amp;IFERROR(""&amp;VLOOKUP(E28,$B$51:$J$60,4,FALSE()),"")&amp;IFERROR(""&amp;VLOOKUP(E28,$B$51:$J$60,7,FALSE()),"")="","Não cadastrado",IF(IFERROR(""&amp;VLOOKUP(E28,$B$51:$J$60,7,FALSE()),"")="Defeito","Defeito",IF(COUNTIF($E$13:E28,E28)&gt;1,"Repetido",IF(C28="","Sem fonte",IF(AND(IFERROR(VLOOKUP(C28,Referência!$B$6:$I$15,7,FALSE()),"")&lt;&gt;"Qualquer",G28&lt;&gt;IFERROR(VLOOKUP(C28,Referência!$B$6:$I$15,7,FALSE()),"")),"Tipo diferente",IF(NOT(OR(IFERROR(VLOOKUP(C28,Referência!$B$6:$I$15,8,FALSE()),"")="Qualquer",AND(IFERROR(VLOOKUP(C28,Referência!$B$6:$I$15,8,FALSE()),"")="Direcional",OR(H28="Cardioide",H28="Supercardioide",H28="Hipercardioide")),IFERROR(VLOOKUP(C28,Referência!$B$6:$I$15,8,FALSE()),"")=H28)),"Padrão diferente",IF(IFERROR(""&amp;VLOOKUP(E28,$B$51:$J$60,7,FALSE()),"")&lt;&gt;"OK","Testar","OK"))))))))</f>
        <v/>
      </c>
      <c r="M28" s="22" t="str">
        <f aca="false">IF(L28="","",IF(L28="Sem microfone","Escolha um microfone do inventário",IF(L28="Não cadastrado","Cadastre o microfone na aba Inventário",IF(L28="Defeito","Troque de microfone e separe este para conserto",IF(L28="Repetido","Já está em um canal anterior: escolha outro",IF(L28="Sem fonte","Escolha o tipo de fonte",IF(L28="Tipo diferente","Sugestão: "&amp;IFERROR(VLOOKUP(C28,Referência!$B$6:$I$15,7,FALSE()),"")&amp;". Confira se este serve",IF(L28="Padrão diferente","Confira o padrão e o lugar do retorno",IF(L28="Testar","Teste com a voz antes do evento",IF(I28="Sim","Ligue o phantom com o canal fechado","Manter"))))))))))</f>
        <v/>
      </c>
      <c r="N28" s="22" t="str">
        <f aca="false">IF(C28="","",IFERROR(VLOOKUP(C28,Referência!$B$6:$I$15,6,FALSE()),""))</f>
        <v/>
      </c>
    </row>
    <row r="29" customFormat="false" ht="30" hidden="false" customHeight="true" outlineLevel="0" collapsed="false">
      <c r="B29" s="17" t="n">
        <v>17</v>
      </c>
      <c r="C29" s="32"/>
      <c r="D29" s="30"/>
      <c r="E29" s="32"/>
      <c r="F29" s="21" t="str">
        <f aca="false">IF(E29="","",IFERROR(""&amp;VLOOKUP(E29,$B$51:$J$60,3,FALSE()),""))</f>
        <v/>
      </c>
      <c r="G29" s="21" t="str">
        <f aca="false">IF(E29="","",IFERROR(""&amp;VLOOKUP(E29,$B$51:$J$60,4,FALSE()),""))</f>
        <v/>
      </c>
      <c r="H29" s="21" t="str">
        <f aca="false">IF(E29="","",IFERROR(""&amp;VLOOKUP(E29,$B$51:$J$60,5,FALSE()),""))</f>
        <v/>
      </c>
      <c r="I29" s="20" t="str">
        <f aca="false">IF(E29="","",IFERROR(""&amp;VLOOKUP(E29,$B$51:$J$60,9,FALSE()),""))</f>
        <v/>
      </c>
      <c r="J29" s="22" t="str">
        <f aca="false">IF(C29="","",IFERROR(VLOOKUP(C29,Referência!$B$6:$I$15,2,FALSE()),"")&amp;", "&amp;IFERROR(VLOOKUP(C29,Referência!$B$6:$I$15,3,FALSE()),""))</f>
        <v/>
      </c>
      <c r="K29" s="22" t="str">
        <f aca="false">IF(C29="","",IFERROR(VLOOKUP(C29,Referência!$B$6:$I$15,5,FALSE()),""))</f>
        <v/>
      </c>
      <c r="L29" s="20" t="str">
        <f aca="false">IF(E29="",IF(C29="","","Sem microfone"),IF(IFERROR(""&amp;VLOOKUP(E29,$B$51:$J$60,3,FALSE()),"")&amp;IFERROR(""&amp;VLOOKUP(E29,$B$51:$J$60,4,FALSE()),"")&amp;IFERROR(""&amp;VLOOKUP(E29,$B$51:$J$60,7,FALSE()),"")="","Não cadastrado",IF(IFERROR(""&amp;VLOOKUP(E29,$B$51:$J$60,7,FALSE()),"")="Defeito","Defeito",IF(COUNTIF($E$13:E29,E29)&gt;1,"Repetido",IF(C29="","Sem fonte",IF(AND(IFERROR(VLOOKUP(C29,Referência!$B$6:$I$15,7,FALSE()),"")&lt;&gt;"Qualquer",G29&lt;&gt;IFERROR(VLOOKUP(C29,Referência!$B$6:$I$15,7,FALSE()),"")),"Tipo diferente",IF(NOT(OR(IFERROR(VLOOKUP(C29,Referência!$B$6:$I$15,8,FALSE()),"")="Qualquer",AND(IFERROR(VLOOKUP(C29,Referência!$B$6:$I$15,8,FALSE()),"")="Direcional",OR(H29="Cardioide",H29="Supercardioide",H29="Hipercardioide")),IFERROR(VLOOKUP(C29,Referência!$B$6:$I$15,8,FALSE()),"")=H29)),"Padrão diferente",IF(IFERROR(""&amp;VLOOKUP(E29,$B$51:$J$60,7,FALSE()),"")&lt;&gt;"OK","Testar","OK"))))))))</f>
        <v/>
      </c>
      <c r="M29" s="22" t="str">
        <f aca="false">IF(L29="","",IF(L29="Sem microfone","Escolha um microfone do inventário",IF(L29="Não cadastrado","Cadastre o microfone na aba Inventário",IF(L29="Defeito","Troque de microfone e separe este para conserto",IF(L29="Repetido","Já está em um canal anterior: escolha outro",IF(L29="Sem fonte","Escolha o tipo de fonte",IF(L29="Tipo diferente","Sugestão: "&amp;IFERROR(VLOOKUP(C29,Referência!$B$6:$I$15,7,FALSE()),"")&amp;". Confira se este serve",IF(L29="Padrão diferente","Confira o padrão e o lugar do retorno",IF(L29="Testar","Teste com a voz antes do evento",IF(I29="Sim","Ligue o phantom com o canal fechado","Manter"))))))))))</f>
        <v/>
      </c>
      <c r="N29" s="22" t="str">
        <f aca="false">IF(C29="","",IFERROR(VLOOKUP(C29,Referência!$B$6:$I$15,6,FALSE()),""))</f>
        <v/>
      </c>
    </row>
    <row r="30" customFormat="false" ht="30" hidden="false" customHeight="true" outlineLevel="0" collapsed="false">
      <c r="B30" s="17" t="n">
        <v>18</v>
      </c>
      <c r="C30" s="32"/>
      <c r="D30" s="30"/>
      <c r="E30" s="32"/>
      <c r="F30" s="21" t="str">
        <f aca="false">IF(E30="","",IFERROR(""&amp;VLOOKUP(E30,$B$51:$J$60,3,FALSE()),""))</f>
        <v/>
      </c>
      <c r="G30" s="21" t="str">
        <f aca="false">IF(E30="","",IFERROR(""&amp;VLOOKUP(E30,$B$51:$J$60,4,FALSE()),""))</f>
        <v/>
      </c>
      <c r="H30" s="21" t="str">
        <f aca="false">IF(E30="","",IFERROR(""&amp;VLOOKUP(E30,$B$51:$J$60,5,FALSE()),""))</f>
        <v/>
      </c>
      <c r="I30" s="20" t="str">
        <f aca="false">IF(E30="","",IFERROR(""&amp;VLOOKUP(E30,$B$51:$J$60,9,FALSE()),""))</f>
        <v/>
      </c>
      <c r="J30" s="22" t="str">
        <f aca="false">IF(C30="","",IFERROR(VLOOKUP(C30,Referência!$B$6:$I$15,2,FALSE()),"")&amp;", "&amp;IFERROR(VLOOKUP(C30,Referência!$B$6:$I$15,3,FALSE()),""))</f>
        <v/>
      </c>
      <c r="K30" s="22" t="str">
        <f aca="false">IF(C30="","",IFERROR(VLOOKUP(C30,Referência!$B$6:$I$15,5,FALSE()),""))</f>
        <v/>
      </c>
      <c r="L30" s="20" t="str">
        <f aca="false">IF(E30="",IF(C30="","","Sem microfone"),IF(IFERROR(""&amp;VLOOKUP(E30,$B$51:$J$60,3,FALSE()),"")&amp;IFERROR(""&amp;VLOOKUP(E30,$B$51:$J$60,4,FALSE()),"")&amp;IFERROR(""&amp;VLOOKUP(E30,$B$51:$J$60,7,FALSE()),"")="","Não cadastrado",IF(IFERROR(""&amp;VLOOKUP(E30,$B$51:$J$60,7,FALSE()),"")="Defeito","Defeito",IF(COUNTIF($E$13:E30,E30)&gt;1,"Repetido",IF(C30="","Sem fonte",IF(AND(IFERROR(VLOOKUP(C30,Referência!$B$6:$I$15,7,FALSE()),"")&lt;&gt;"Qualquer",G30&lt;&gt;IFERROR(VLOOKUP(C30,Referência!$B$6:$I$15,7,FALSE()),"")),"Tipo diferente",IF(NOT(OR(IFERROR(VLOOKUP(C30,Referência!$B$6:$I$15,8,FALSE()),"")="Qualquer",AND(IFERROR(VLOOKUP(C30,Referência!$B$6:$I$15,8,FALSE()),"")="Direcional",OR(H30="Cardioide",H30="Supercardioide",H30="Hipercardioide")),IFERROR(VLOOKUP(C30,Referência!$B$6:$I$15,8,FALSE()),"")=H30)),"Padrão diferente",IF(IFERROR(""&amp;VLOOKUP(E30,$B$51:$J$60,7,FALSE()),"")&lt;&gt;"OK","Testar","OK"))))))))</f>
        <v/>
      </c>
      <c r="M30" s="22" t="str">
        <f aca="false">IF(L30="","",IF(L30="Sem microfone","Escolha um microfone do inventário",IF(L30="Não cadastrado","Cadastre o microfone na aba Inventário",IF(L30="Defeito","Troque de microfone e separe este para conserto",IF(L30="Repetido","Já está em um canal anterior: escolha outro",IF(L30="Sem fonte","Escolha o tipo de fonte",IF(L30="Tipo diferente","Sugestão: "&amp;IFERROR(VLOOKUP(C30,Referência!$B$6:$I$15,7,FALSE()),"")&amp;". Confira se este serve",IF(L30="Padrão diferente","Confira o padrão e o lugar do retorno",IF(L30="Testar","Teste com a voz antes do evento",IF(I30="Sim","Ligue o phantom com o canal fechado","Manter"))))))))))</f>
        <v/>
      </c>
      <c r="N30" s="22" t="str">
        <f aca="false">IF(C30="","",IFERROR(VLOOKUP(C30,Referência!$B$6:$I$15,6,FALSE()),""))</f>
        <v/>
      </c>
    </row>
    <row r="31" customFormat="false" ht="30" hidden="false" customHeight="true" outlineLevel="0" collapsed="false">
      <c r="B31" s="17" t="n">
        <v>19</v>
      </c>
      <c r="C31" s="32"/>
      <c r="D31" s="30"/>
      <c r="E31" s="32"/>
      <c r="F31" s="21" t="str">
        <f aca="false">IF(E31="","",IFERROR(""&amp;VLOOKUP(E31,$B$51:$J$60,3,FALSE()),""))</f>
        <v/>
      </c>
      <c r="G31" s="21" t="str">
        <f aca="false">IF(E31="","",IFERROR(""&amp;VLOOKUP(E31,$B$51:$J$60,4,FALSE()),""))</f>
        <v/>
      </c>
      <c r="H31" s="21" t="str">
        <f aca="false">IF(E31="","",IFERROR(""&amp;VLOOKUP(E31,$B$51:$J$60,5,FALSE()),""))</f>
        <v/>
      </c>
      <c r="I31" s="20" t="str">
        <f aca="false">IF(E31="","",IFERROR(""&amp;VLOOKUP(E31,$B$51:$J$60,9,FALSE()),""))</f>
        <v/>
      </c>
      <c r="J31" s="22" t="str">
        <f aca="false">IF(C31="","",IFERROR(VLOOKUP(C31,Referência!$B$6:$I$15,2,FALSE()),"")&amp;", "&amp;IFERROR(VLOOKUP(C31,Referência!$B$6:$I$15,3,FALSE()),""))</f>
        <v/>
      </c>
      <c r="K31" s="22" t="str">
        <f aca="false">IF(C31="","",IFERROR(VLOOKUP(C31,Referência!$B$6:$I$15,5,FALSE()),""))</f>
        <v/>
      </c>
      <c r="L31" s="20" t="str">
        <f aca="false">IF(E31="",IF(C31="","","Sem microfone"),IF(IFERROR(""&amp;VLOOKUP(E31,$B$51:$J$60,3,FALSE()),"")&amp;IFERROR(""&amp;VLOOKUP(E31,$B$51:$J$60,4,FALSE()),"")&amp;IFERROR(""&amp;VLOOKUP(E31,$B$51:$J$60,7,FALSE()),"")="","Não cadastrado",IF(IFERROR(""&amp;VLOOKUP(E31,$B$51:$J$60,7,FALSE()),"")="Defeito","Defeito",IF(COUNTIF($E$13:E31,E31)&gt;1,"Repetido",IF(C31="","Sem fonte",IF(AND(IFERROR(VLOOKUP(C31,Referência!$B$6:$I$15,7,FALSE()),"")&lt;&gt;"Qualquer",G31&lt;&gt;IFERROR(VLOOKUP(C31,Referência!$B$6:$I$15,7,FALSE()),"")),"Tipo diferente",IF(NOT(OR(IFERROR(VLOOKUP(C31,Referência!$B$6:$I$15,8,FALSE()),"")="Qualquer",AND(IFERROR(VLOOKUP(C31,Referência!$B$6:$I$15,8,FALSE()),"")="Direcional",OR(H31="Cardioide",H31="Supercardioide",H31="Hipercardioide")),IFERROR(VLOOKUP(C31,Referência!$B$6:$I$15,8,FALSE()),"")=H31)),"Padrão diferente",IF(IFERROR(""&amp;VLOOKUP(E31,$B$51:$J$60,7,FALSE()),"")&lt;&gt;"OK","Testar","OK"))))))))</f>
        <v/>
      </c>
      <c r="M31" s="22" t="str">
        <f aca="false">IF(L31="","",IF(L31="Sem microfone","Escolha um microfone do inventário",IF(L31="Não cadastrado","Cadastre o microfone na aba Inventário",IF(L31="Defeito","Troque de microfone e separe este para conserto",IF(L31="Repetido","Já está em um canal anterior: escolha outro",IF(L31="Sem fonte","Escolha o tipo de fonte",IF(L31="Tipo diferente","Sugestão: "&amp;IFERROR(VLOOKUP(C31,Referência!$B$6:$I$15,7,FALSE()),"")&amp;". Confira se este serve",IF(L31="Padrão diferente","Confira o padrão e o lugar do retorno",IF(L31="Testar","Teste com a voz antes do evento",IF(I31="Sim","Ligue o phantom com o canal fechado","Manter"))))))))))</f>
        <v/>
      </c>
      <c r="N31" s="22" t="str">
        <f aca="false">IF(C31="","",IFERROR(VLOOKUP(C31,Referência!$B$6:$I$15,6,FALSE()),""))</f>
        <v/>
      </c>
    </row>
    <row r="32" customFormat="false" ht="30" hidden="false" customHeight="true" outlineLevel="0" collapsed="false">
      <c r="B32" s="17" t="n">
        <v>20</v>
      </c>
      <c r="C32" s="32"/>
      <c r="D32" s="30"/>
      <c r="E32" s="32"/>
      <c r="F32" s="21" t="str">
        <f aca="false">IF(E32="","",IFERROR(""&amp;VLOOKUP(E32,$B$51:$J$60,3,FALSE()),""))</f>
        <v/>
      </c>
      <c r="G32" s="21" t="str">
        <f aca="false">IF(E32="","",IFERROR(""&amp;VLOOKUP(E32,$B$51:$J$60,4,FALSE()),""))</f>
        <v/>
      </c>
      <c r="H32" s="21" t="str">
        <f aca="false">IF(E32="","",IFERROR(""&amp;VLOOKUP(E32,$B$51:$J$60,5,FALSE()),""))</f>
        <v/>
      </c>
      <c r="I32" s="20" t="str">
        <f aca="false">IF(E32="","",IFERROR(""&amp;VLOOKUP(E32,$B$51:$J$60,9,FALSE()),""))</f>
        <v/>
      </c>
      <c r="J32" s="22" t="str">
        <f aca="false">IF(C32="","",IFERROR(VLOOKUP(C32,Referência!$B$6:$I$15,2,FALSE()),"")&amp;", "&amp;IFERROR(VLOOKUP(C32,Referência!$B$6:$I$15,3,FALSE()),""))</f>
        <v/>
      </c>
      <c r="K32" s="22" t="str">
        <f aca="false">IF(C32="","",IFERROR(VLOOKUP(C32,Referência!$B$6:$I$15,5,FALSE()),""))</f>
        <v/>
      </c>
      <c r="L32" s="20" t="str">
        <f aca="false">IF(E32="",IF(C32="","","Sem microfone"),IF(IFERROR(""&amp;VLOOKUP(E32,$B$51:$J$60,3,FALSE()),"")&amp;IFERROR(""&amp;VLOOKUP(E32,$B$51:$J$60,4,FALSE()),"")&amp;IFERROR(""&amp;VLOOKUP(E32,$B$51:$J$60,7,FALSE()),"")="","Não cadastrado",IF(IFERROR(""&amp;VLOOKUP(E32,$B$51:$J$60,7,FALSE()),"")="Defeito","Defeito",IF(COUNTIF($E$13:E32,E32)&gt;1,"Repetido",IF(C32="","Sem fonte",IF(AND(IFERROR(VLOOKUP(C32,Referência!$B$6:$I$15,7,FALSE()),"")&lt;&gt;"Qualquer",G32&lt;&gt;IFERROR(VLOOKUP(C32,Referência!$B$6:$I$15,7,FALSE()),"")),"Tipo diferente",IF(NOT(OR(IFERROR(VLOOKUP(C32,Referência!$B$6:$I$15,8,FALSE()),"")="Qualquer",AND(IFERROR(VLOOKUP(C32,Referência!$B$6:$I$15,8,FALSE()),"")="Direcional",OR(H32="Cardioide",H32="Supercardioide",H32="Hipercardioide")),IFERROR(VLOOKUP(C32,Referência!$B$6:$I$15,8,FALSE()),"")=H32)),"Padrão diferente",IF(IFERROR(""&amp;VLOOKUP(E32,$B$51:$J$60,7,FALSE()),"")&lt;&gt;"OK","Testar","OK"))))))))</f>
        <v/>
      </c>
      <c r="M32" s="22" t="str">
        <f aca="false">IF(L32="","",IF(L32="Sem microfone","Escolha um microfone do inventário",IF(L32="Não cadastrado","Cadastre o microfone na aba Inventário",IF(L32="Defeito","Troque de microfone e separe este para conserto",IF(L32="Repetido","Já está em um canal anterior: escolha outro",IF(L32="Sem fonte","Escolha o tipo de fonte",IF(L32="Tipo diferente","Sugestão: "&amp;IFERROR(VLOOKUP(C32,Referência!$B$6:$I$15,7,FALSE()),"")&amp;". Confira se este serve",IF(L32="Padrão diferente","Confira o padrão e o lugar do retorno",IF(L32="Testar","Teste com a voz antes do evento",IF(I32="Sim","Ligue o phantom com o canal fechado","Manter"))))))))))</f>
        <v/>
      </c>
      <c r="N32" s="22" t="str">
        <f aca="false">IF(C32="","",IFERROR(VLOOKUP(C32,Referência!$B$6:$I$15,6,FALSE()),""))</f>
        <v/>
      </c>
    </row>
    <row r="34" customFormat="false" ht="21.75" hidden="false" customHeight="true" outlineLevel="0" collapsed="false">
      <c r="B34" s="11" t="s">
        <v>93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customFormat="false" ht="19.5" hidden="false" customHeight="true" outlineLevel="0" collapsed="false">
      <c r="B35" s="23" t="s">
        <v>130</v>
      </c>
      <c r="C35" s="23"/>
      <c r="D35" s="23"/>
      <c r="E35" s="8" t="n">
        <f aca="false">COUNTA(D13:D32)</f>
        <v>9</v>
      </c>
    </row>
    <row r="36" customFormat="false" ht="19.5" hidden="false" customHeight="true" outlineLevel="0" collapsed="false">
      <c r="B36" s="23" t="s">
        <v>131</v>
      </c>
      <c r="C36" s="23"/>
      <c r="D36" s="23"/>
      <c r="E36" s="8" t="n">
        <f aca="false">COUNTIF(L13:L32,"OK")</f>
        <v>6</v>
      </c>
    </row>
    <row r="37" customFormat="false" ht="19.5" hidden="false" customHeight="true" outlineLevel="0" collapsed="false">
      <c r="B37" s="23" t="s">
        <v>132</v>
      </c>
      <c r="C37" s="23"/>
      <c r="D37" s="23"/>
      <c r="E37" s="8" t="n">
        <f aca="false">COUNTIF(I13:I32,"Sim")</f>
        <v>2</v>
      </c>
    </row>
    <row r="38" customFormat="false" ht="19.5" hidden="false" customHeight="true" outlineLevel="0" collapsed="false">
      <c r="B38" s="23" t="s">
        <v>133</v>
      </c>
      <c r="C38" s="23"/>
      <c r="D38" s="23"/>
      <c r="E38" s="8" t="n">
        <f aca="false">COUNTIF(L13:L32,"Defeito")+COUNTIF(L13:L32,"Repetido")+COUNTIF(L13:L32,"Não cadastrado")</f>
        <v>2</v>
      </c>
    </row>
    <row r="39" customFormat="false" ht="19.5" hidden="false" customHeight="true" outlineLevel="0" collapsed="false">
      <c r="B39" s="23" t="s">
        <v>134</v>
      </c>
      <c r="C39" s="23"/>
      <c r="D39" s="23"/>
      <c r="E39" s="8" t="n">
        <f aca="false">COUNTIF(L13:L32,"Tipo diferente")+COUNTIF(L13:L32,"Padrão diferente")+COUNTIF(L13:L32,"Testar")+COUNTIF(L13:L32,"Sem microfone")+COUNTIF(L13:L32,"Sem fonte")</f>
        <v>1</v>
      </c>
    </row>
    <row r="40" customFormat="false" ht="21.75" hidden="false" customHeight="true" outlineLevel="0" collapsed="false">
      <c r="B40" s="23" t="s">
        <v>101</v>
      </c>
      <c r="C40" s="23"/>
      <c r="D40" s="23"/>
      <c r="E40" s="24" t="str">
        <f aca="false">IF(COUNTA(C13:C32)+COUNT(E13:E32)=0,"Liste as fontes do evento",IF(E38&gt;0,"Há microfone com defeito, repetido ou não cadastrado: troque antes do evento",IF(E39&gt;0,"Há escolhas a conferir","OK")))</f>
        <v>Há microfone com defeito, repetido ou não cadastrado: troque antes do evento</v>
      </c>
      <c r="F40" s="24"/>
      <c r="G40" s="24"/>
      <c r="H40" s="24"/>
      <c r="I40" s="24"/>
      <c r="J40" s="24"/>
      <c r="K40" s="24"/>
      <c r="L40" s="24"/>
      <c r="M40" s="24"/>
      <c r="N40" s="24"/>
    </row>
    <row r="42" customFormat="false" ht="21.75" hidden="false" customHeight="true" outlineLevel="0" collapsed="false">
      <c r="B42" s="11" t="s">
        <v>307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customFormat="false" ht="21.75" hidden="false" customHeight="true" outlineLevel="0" collapsed="false">
      <c r="B43" s="8" t="s">
        <v>110</v>
      </c>
      <c r="C43" s="8" t="s">
        <v>308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customFormat="false" ht="21.75" hidden="false" customHeight="true" outlineLevel="0" collapsed="false">
      <c r="B44" s="17" t="s">
        <v>22</v>
      </c>
      <c r="C44" s="7" t="s">
        <v>309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customFormat="false" ht="21.75" hidden="false" customHeight="true" outlineLevel="0" collapsed="false">
      <c r="B45" s="17" t="s">
        <v>24</v>
      </c>
      <c r="C45" s="7" t="s">
        <v>310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customFormat="false" ht="21.75" hidden="false" customHeight="true" outlineLevel="0" collapsed="false">
      <c r="B46" s="17" t="s">
        <v>26</v>
      </c>
      <c r="C46" s="7" t="s">
        <v>311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customFormat="false" ht="21.75" hidden="false" customHeight="true" outlineLevel="0" collapsed="false">
      <c r="B47" s="17" t="s">
        <v>312</v>
      </c>
      <c r="C47" s="7" t="s">
        <v>313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9" customFormat="false" ht="21.75" hidden="false" customHeight="true" outlineLevel="0" collapsed="false">
      <c r="B49" s="11" t="s">
        <v>314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customFormat="false" ht="21.75" hidden="false" customHeight="true" outlineLevel="0" collapsed="false">
      <c r="B50" s="33" t="s">
        <v>62</v>
      </c>
      <c r="C50" s="33" t="s">
        <v>63</v>
      </c>
      <c r="D50" s="33" t="s">
        <v>64</v>
      </c>
      <c r="E50" s="33" t="s">
        <v>65</v>
      </c>
      <c r="F50" s="33" t="s">
        <v>114</v>
      </c>
      <c r="G50" s="33" t="s">
        <v>67</v>
      </c>
      <c r="H50" s="33" t="s">
        <v>68</v>
      </c>
      <c r="I50" s="33" t="s">
        <v>69</v>
      </c>
      <c r="J50" s="33" t="s">
        <v>42</v>
      </c>
      <c r="K50" s="33" t="s">
        <v>73</v>
      </c>
      <c r="L50" s="33"/>
      <c r="M50" s="33"/>
      <c r="N50" s="33"/>
    </row>
    <row r="51" customFormat="false" ht="21.75" hidden="false" customHeight="true" outlineLevel="0" collapsed="false">
      <c r="B51" s="17" t="n">
        <v>1</v>
      </c>
      <c r="C51" s="30" t="s">
        <v>315</v>
      </c>
      <c r="D51" s="32" t="s">
        <v>83</v>
      </c>
      <c r="E51" s="32" t="s">
        <v>84</v>
      </c>
      <c r="F51" s="32" t="s">
        <v>187</v>
      </c>
      <c r="G51" s="32" t="s">
        <v>86</v>
      </c>
      <c r="H51" s="32" t="s">
        <v>87</v>
      </c>
      <c r="I51" s="34"/>
      <c r="J51" s="8" t="str">
        <f aca="false">IF(E51="","",IF(G51="Sem fio","Não",IF(E51="Condensador","Sim",IF(E51="Fita","Não: veja o manual","Não"))))</f>
        <v>Não</v>
      </c>
      <c r="K51" s="7"/>
      <c r="L51" s="7"/>
      <c r="M51" s="7"/>
      <c r="N51" s="7"/>
    </row>
    <row r="52" customFormat="false" ht="21.75" hidden="false" customHeight="true" outlineLevel="0" collapsed="false">
      <c r="B52" s="17" t="n">
        <v>2</v>
      </c>
      <c r="C52" s="30" t="s">
        <v>316</v>
      </c>
      <c r="D52" s="32" t="s">
        <v>83</v>
      </c>
      <c r="E52" s="32" t="s">
        <v>84</v>
      </c>
      <c r="F52" s="32" t="s">
        <v>187</v>
      </c>
      <c r="G52" s="32" t="s">
        <v>86</v>
      </c>
      <c r="H52" s="32" t="s">
        <v>87</v>
      </c>
      <c r="I52" s="34"/>
      <c r="J52" s="8" t="str">
        <f aca="false">IF(E52="","",IF(G52="Sem fio","Não",IF(E52="Condensador","Sim",IF(E52="Fita","Não: veja o manual","Não"))))</f>
        <v>Não</v>
      </c>
      <c r="K52" s="7"/>
      <c r="L52" s="7"/>
      <c r="M52" s="7"/>
      <c r="N52" s="7"/>
    </row>
    <row r="53" customFormat="false" ht="21.75" hidden="false" customHeight="true" outlineLevel="0" collapsed="false">
      <c r="B53" s="17" t="n">
        <v>3</v>
      </c>
      <c r="C53" s="30" t="s">
        <v>82</v>
      </c>
      <c r="D53" s="32" t="s">
        <v>83</v>
      </c>
      <c r="E53" s="32" t="s">
        <v>84</v>
      </c>
      <c r="F53" s="32" t="s">
        <v>85</v>
      </c>
      <c r="G53" s="32" t="s">
        <v>86</v>
      </c>
      <c r="H53" s="32" t="s">
        <v>87</v>
      </c>
      <c r="I53" s="34"/>
      <c r="J53" s="8" t="str">
        <f aca="false">IF(E53="","",IF(G53="Sem fio","Não",IF(E53="Condensador","Sim",IF(E53="Fita","Não: veja o manual","Não"))))</f>
        <v>Não</v>
      </c>
      <c r="K53" s="7" t="s">
        <v>317</v>
      </c>
      <c r="L53" s="7"/>
      <c r="M53" s="7"/>
      <c r="N53" s="7"/>
    </row>
    <row r="54" customFormat="false" ht="21.75" hidden="false" customHeight="true" outlineLevel="0" collapsed="false">
      <c r="B54" s="17" t="n">
        <v>4</v>
      </c>
      <c r="C54" s="30" t="s">
        <v>318</v>
      </c>
      <c r="D54" s="32" t="s">
        <v>83</v>
      </c>
      <c r="E54" s="32" t="s">
        <v>84</v>
      </c>
      <c r="F54" s="32" t="s">
        <v>187</v>
      </c>
      <c r="G54" s="32" t="s">
        <v>86</v>
      </c>
      <c r="H54" s="32" t="s">
        <v>319</v>
      </c>
      <c r="I54" s="34"/>
      <c r="J54" s="8" t="str">
        <f aca="false">IF(E54="","",IF(G54="Sem fio","Não",IF(E54="Condensador","Sim",IF(E54="Fita","Não: veja o manual","Não"))))</f>
        <v>Não</v>
      </c>
      <c r="K54" s="7" t="s">
        <v>320</v>
      </c>
      <c r="L54" s="7"/>
      <c r="M54" s="7"/>
      <c r="N54" s="7"/>
    </row>
    <row r="55" customFormat="false" ht="21.75" hidden="false" customHeight="true" outlineLevel="0" collapsed="false">
      <c r="B55" s="17" t="n">
        <v>5</v>
      </c>
      <c r="C55" s="30" t="s">
        <v>321</v>
      </c>
      <c r="D55" s="32" t="s">
        <v>322</v>
      </c>
      <c r="E55" s="32" t="s">
        <v>186</v>
      </c>
      <c r="F55" s="32" t="s">
        <v>232</v>
      </c>
      <c r="G55" s="32" t="s">
        <v>98</v>
      </c>
      <c r="H55" s="32" t="s">
        <v>87</v>
      </c>
      <c r="I55" s="34"/>
      <c r="J55" s="8" t="str">
        <f aca="false">IF(E55="","",IF(G55="Sem fio","Não",IF(E55="Condensador","Sim",IF(E55="Fita","Não: veja o manual","Não"))))</f>
        <v>Não</v>
      </c>
      <c r="K55" s="7" t="s">
        <v>323</v>
      </c>
      <c r="L55" s="7"/>
      <c r="M55" s="7"/>
      <c r="N55" s="7"/>
    </row>
    <row r="56" customFormat="false" ht="21.75" hidden="false" customHeight="true" outlineLevel="0" collapsed="false">
      <c r="B56" s="17" t="n">
        <v>6</v>
      </c>
      <c r="C56" s="30" t="s">
        <v>324</v>
      </c>
      <c r="D56" s="32" t="s">
        <v>270</v>
      </c>
      <c r="E56" s="32" t="s">
        <v>186</v>
      </c>
      <c r="F56" s="32" t="s">
        <v>187</v>
      </c>
      <c r="G56" s="32" t="s">
        <v>86</v>
      </c>
      <c r="H56" s="32" t="s">
        <v>87</v>
      </c>
      <c r="I56" s="34"/>
      <c r="J56" s="8" t="str">
        <f aca="false">IF(E56="","",IF(G56="Sem fio","Não",IF(E56="Condensador","Sim",IF(E56="Fita","Não: veja o manual","Não"))))</f>
        <v>Sim</v>
      </c>
      <c r="K56" s="7"/>
      <c r="L56" s="7"/>
      <c r="M56" s="7"/>
      <c r="N56" s="7"/>
    </row>
    <row r="57" customFormat="false" ht="21.75" hidden="false" customHeight="true" outlineLevel="0" collapsed="false">
      <c r="B57" s="17" t="n">
        <v>7</v>
      </c>
      <c r="C57" s="30" t="s">
        <v>325</v>
      </c>
      <c r="D57" s="32" t="s">
        <v>270</v>
      </c>
      <c r="E57" s="32" t="s">
        <v>186</v>
      </c>
      <c r="F57" s="32" t="s">
        <v>187</v>
      </c>
      <c r="G57" s="32" t="s">
        <v>86</v>
      </c>
      <c r="H57" s="32" t="s">
        <v>87</v>
      </c>
      <c r="I57" s="34"/>
      <c r="J57" s="8" t="str">
        <f aca="false">IF(E57="","",IF(G57="Sem fio","Não",IF(E57="Condensador","Sim",IF(E57="Fita","Não: veja o manual","Não"))))</f>
        <v>Sim</v>
      </c>
      <c r="K57" s="7"/>
      <c r="L57" s="7"/>
      <c r="M57" s="7"/>
      <c r="N57" s="7"/>
    </row>
    <row r="58" customFormat="false" ht="21.75" hidden="false" customHeight="true" outlineLevel="0" collapsed="false">
      <c r="B58" s="17" t="n">
        <v>8</v>
      </c>
      <c r="C58" s="30" t="s">
        <v>326</v>
      </c>
      <c r="D58" s="32" t="s">
        <v>191</v>
      </c>
      <c r="E58" s="32" t="s">
        <v>186</v>
      </c>
      <c r="F58" s="32" t="s">
        <v>187</v>
      </c>
      <c r="G58" s="32" t="s">
        <v>86</v>
      </c>
      <c r="H58" s="32" t="s">
        <v>87</v>
      </c>
      <c r="I58" s="34"/>
      <c r="J58" s="8" t="str">
        <f aca="false">IF(E58="","",IF(G58="Sem fio","Não",IF(E58="Condensador","Sim",IF(E58="Fita","Não: veja o manual","Não"))))</f>
        <v>Sim</v>
      </c>
      <c r="K58" s="7"/>
      <c r="L58" s="7"/>
      <c r="M58" s="7"/>
      <c r="N58" s="7"/>
    </row>
    <row r="59" customFormat="false" ht="21.75" hidden="false" customHeight="true" outlineLevel="0" collapsed="false">
      <c r="B59" s="17" t="n">
        <v>9</v>
      </c>
      <c r="C59" s="30" t="s">
        <v>198</v>
      </c>
      <c r="D59" s="32" t="s">
        <v>327</v>
      </c>
      <c r="E59" s="32" t="s">
        <v>84</v>
      </c>
      <c r="F59" s="32" t="s">
        <v>187</v>
      </c>
      <c r="G59" s="32" t="s">
        <v>86</v>
      </c>
      <c r="H59" s="32" t="s">
        <v>87</v>
      </c>
      <c r="I59" s="34"/>
      <c r="J59" s="8" t="str">
        <f aca="false">IF(E59="","",IF(G59="Sem fio","Não",IF(E59="Condensador","Sim",IF(E59="Fita","Não: veja o manual","Não"))))</f>
        <v>Não</v>
      </c>
      <c r="K59" s="7" t="s">
        <v>328</v>
      </c>
      <c r="L59" s="7"/>
      <c r="M59" s="7"/>
      <c r="N59" s="7"/>
    </row>
    <row r="60" customFormat="false" ht="21.75" hidden="false" customHeight="true" outlineLevel="0" collapsed="false">
      <c r="B60" s="17" t="n">
        <v>10</v>
      </c>
      <c r="C60" s="30" t="s">
        <v>306</v>
      </c>
      <c r="D60" s="32" t="s">
        <v>329</v>
      </c>
      <c r="E60" s="32" t="s">
        <v>186</v>
      </c>
      <c r="F60" s="32" t="s">
        <v>187</v>
      </c>
      <c r="G60" s="32" t="s">
        <v>86</v>
      </c>
      <c r="H60" s="32" t="s">
        <v>87</v>
      </c>
      <c r="I60" s="34"/>
      <c r="J60" s="8" t="str">
        <f aca="false">IF(E60="","",IF(G60="Sem fio","Não",IF(E60="Condensador","Sim",IF(E60="Fita","Não: veja o manual","Não"))))</f>
        <v>Sim</v>
      </c>
      <c r="K60" s="7"/>
      <c r="L60" s="7"/>
      <c r="M60" s="7"/>
      <c r="N60" s="7"/>
    </row>
  </sheetData>
  <mergeCells count="39">
    <mergeCell ref="B1:N1"/>
    <mergeCell ref="B2:N2"/>
    <mergeCell ref="B4:C4"/>
    <mergeCell ref="D4:G4"/>
    <mergeCell ref="I4:N6"/>
    <mergeCell ref="B5:C5"/>
    <mergeCell ref="D5:G5"/>
    <mergeCell ref="B6:C6"/>
    <mergeCell ref="D6:G6"/>
    <mergeCell ref="B7:C7"/>
    <mergeCell ref="D7:G7"/>
    <mergeCell ref="B9:N9"/>
    <mergeCell ref="B12:N12"/>
    <mergeCell ref="B34:N34"/>
    <mergeCell ref="B35:D35"/>
    <mergeCell ref="B36:D36"/>
    <mergeCell ref="B37:D37"/>
    <mergeCell ref="B38:D38"/>
    <mergeCell ref="B39:D39"/>
    <mergeCell ref="B40:D40"/>
    <mergeCell ref="E40:N40"/>
    <mergeCell ref="B42:N42"/>
    <mergeCell ref="C43:N43"/>
    <mergeCell ref="C44:N44"/>
    <mergeCell ref="C45:N45"/>
    <mergeCell ref="C46:N46"/>
    <mergeCell ref="C47:N47"/>
    <mergeCell ref="B49:N49"/>
    <mergeCell ref="K50:N50"/>
    <mergeCell ref="K51:N51"/>
    <mergeCell ref="K52:N52"/>
    <mergeCell ref="K53:N53"/>
    <mergeCell ref="K54:N54"/>
    <mergeCell ref="K55:N55"/>
    <mergeCell ref="K56:N56"/>
    <mergeCell ref="K57:N57"/>
    <mergeCell ref="K58:N58"/>
    <mergeCell ref="K59:N59"/>
    <mergeCell ref="K60:N60"/>
  </mergeCells>
  <conditionalFormatting sqref="L13:L32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2">
      <formula>"Defeito"</formula>
    </cfRule>
    <cfRule type="cellIs" priority="4" operator="equal" aboveAverage="0" equalAverage="0" bottom="0" percent="0" rank="0" text="" dxfId="2">
      <formula>"Não cadastrado"</formula>
    </cfRule>
    <cfRule type="cellIs" priority="5" operator="equal" aboveAverage="0" equalAverage="0" bottom="0" percent="0" rank="0" text="" dxfId="2">
      <formula>"Repetido"</formula>
    </cfRule>
    <cfRule type="cellIs" priority="6" operator="equal" aboveAverage="0" equalAverage="0" bottom="0" percent="0" rank="0" text="" dxfId="1">
      <formula>"Tipo diferente"</formula>
    </cfRule>
    <cfRule type="cellIs" priority="7" operator="equal" aboveAverage="0" equalAverage="0" bottom="0" percent="0" rank="0" text="" dxfId="1">
      <formula>"Padrão diferente"</formula>
    </cfRule>
    <cfRule type="cellIs" priority="8" operator="equal" aboveAverage="0" equalAverage="0" bottom="0" percent="0" rank="0" text="" dxfId="1">
      <formula>"Testar"</formula>
    </cfRule>
    <cfRule type="cellIs" priority="9" operator="equal" aboveAverage="0" equalAverage="0" bottom="0" percent="0" rank="0" text="" dxfId="1">
      <formula>"Sem microfone"</formula>
    </cfRule>
    <cfRule type="cellIs" priority="10" operator="equal" aboveAverage="0" equalAverage="0" bottom="0" percent="0" rank="0" text="" dxfId="1">
      <formula>"Sem fonte"</formula>
    </cfRule>
  </conditionalFormatting>
  <conditionalFormatting sqref="I13:I32">
    <cfRule type="cellIs" priority="11" operator="equal" aboveAverage="0" equalAverage="0" bottom="0" percent="0" rank="0" text="" dxfId="3">
      <formula>"Sim"</formula>
    </cfRule>
  </conditionalFormatting>
  <conditionalFormatting sqref="E40:N40">
    <cfRule type="cellIs" priority="12" operator="equal" aboveAverage="0" equalAverage="0" bottom="0" percent="0" rank="0" text="" dxfId="0">
      <formula>"OK"</formula>
    </cfRule>
    <cfRule type="cellIs" priority="13" operator="notEqual" aboveAverage="0" equalAverage="0" bottom="0" percent="0" rank="0" text="" dxfId="1">
      <formula>"OK"</formula>
    </cfRule>
  </conditionalFormatting>
  <dataValidations count="8">
    <dataValidation allowBlank="true" error="Digite uma data no formato dia/mês/ano." errorStyle="stop" errorTitle="Data inválida" operator="greaterThanOrEqual" showDropDown="false" showErrorMessage="true" showInputMessage="false" sqref="D6 I51:I60" type="date">
      <formula1>36526</formula1>
      <formula2>0</formula2>
    </dataValidation>
    <dataValidation allowBlank="true" error="Escolha uma das opções da lista." errorStyle="stop" errorTitle="Valor inválido" operator="between" prompt="Tipo de fonte. Puxa a sugestão da aba Referência." promptTitle="Opções" showDropDown="false" showErrorMessage="true" showInputMessage="true" sqref="C13:C32" type="list">
      <formula1>"Voz cantada,Voz falada,Coral,Violão,Amplificador,Bumbo,Caixa e tons,Chimbal e pratos,Piano,Ambiente"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13:E32" type="decimal">
      <formula1>-1000000000</formula1>
      <formula2>1000000000</formula2>
    </dataValidation>
    <dataValidation allowBlank="true" error="Escolha uma das opções da lista." errorStyle="stop" errorTitle="Valor inválido" operator="between" prompt="Formato do microfone." promptTitle="Opções" showDropDown="false" showErrorMessage="true" showInputMessage="true" sqref="D51:D60" type="list">
      <formula1>"De mão,Lapela,Headset,Gooseneck,Coral suspenso,Lápis,Clip,Contato,Instrumento"</formula1>
      <formula2>0</formula2>
    </dataValidation>
    <dataValidation allowBlank="true" error="Escolha uma das opções da lista." errorStyle="stop" errorTitle="Valor inválido" operator="between" prompt="Dinâmico, Condensador ou Fita." promptTitle="Opções" showDropDown="false" showErrorMessage="true" showInputMessage="true" sqref="E51:E60" type="list">
      <formula1>"Dinâmico,Condensador,Fita"</formula1>
      <formula2>0</formula2>
    </dataValidation>
    <dataValidation allowBlank="true" error="Escolha uma das opções da lista." errorStyle="stop" errorTitle="Valor inválido" operator="between" prompt="Padrão polar, conforme o manual do modelo." promptTitle="Opções" showDropDown="false" showErrorMessage="true" showInputMessage="true" sqref="F51:F60" type="list">
      <formula1>"Cardioide,Supercardioide,Hipercardioide,Omni,Figura de 8"</formula1>
      <formula2>0</formula2>
    </dataValidation>
    <dataValidation allowBlank="true" error="Escolha uma das opções da lista." errorStyle="stop" errorTitle="Valor inválido" operator="between" prompt="Com fio ou Sem fio." promptTitle="Opções" showDropDown="false" showErrorMessage="true" showInputMessage="true" sqref="G51:G60" type="list">
      <formula1>"Com fio,Sem fio"</formula1>
      <formula2>0</formula2>
    </dataValidation>
    <dataValidation allowBlank="true" error="Escolha uma das opções da lista." errorStyle="stop" errorTitle="Valor inválido" operator="between" prompt="Resultado do último teste com a voz." promptTitle="Opções" showDropDown="false" showErrorMessage="true" showInputMessage="true" sqref="H51:H60" type="list">
      <formula1>"OK,Defeito,Não testado"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2026-10-01T12:58:56Z</dcterms:created>
  <dc:creator>Estudos: Técnico em áudio e vídeo</dc:creator>
  <dc:description/>
  <dc:language>pt-BR</dc:language>
  <cp:lastModifiedBy/>
  <dcterms:modified xsi:type="dcterms:W3CDTF">2026-10-01T12:58:56Z</dcterms:modified>
  <cp:revision>0</cp:revision>
  <dc:subject/>
  <dc:title>Microfones — inventário, escolha por fonte e regra 3:1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