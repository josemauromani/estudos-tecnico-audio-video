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Canais" sheetId="2" state="visible" r:id="rId4"/>
    <sheet name="Saídas e auxiliares" sheetId="3" state="visible" r:id="rId5"/>
    <sheet name="Cenas" sheetId="4" state="visible" r:id="rId6"/>
    <sheet name="Referência" sheetId="5" state="visible" r:id="rId7"/>
    <sheet name="Checklist" sheetId="6" state="visible" r:id="rId8"/>
    <sheet name="Exemplo - Canais" sheetId="7" state="visible" r:id="rId9"/>
  </sheets>
  <definedNames>
    <definedName function="false" hidden="false" localSheetId="1" name="_xlnm.Print_Area" vbProcedure="false">Canais!$B$1:$R$54</definedName>
    <definedName function="false" hidden="false" localSheetId="3" name="_xlnm.Print_Area" vbProcedure="false">Cenas!$B$1:$J$37</definedName>
    <definedName function="false" hidden="false" localSheetId="5" name="_xlnm.Print_Area" vbProcedure="false">Checklist!$B$1:$F$20</definedName>
    <definedName function="false" hidden="false" localSheetId="6" name="_xlnm.Print_Area" vbProcedure="false">'Exemplo - Canais'!$B$1:$R$61</definedName>
    <definedName function="false" hidden="false" localSheetId="0" name="_xlnm.Print_Area" vbProcedure="false">Instruções!$B$1:$C$38</definedName>
    <definedName function="false" hidden="false" localSheetId="4" name="_xlnm.Print_Area" vbProcedure="false">Referência!$B$1:$E$42</definedName>
    <definedName function="false" hidden="false" localSheetId="2" name="_xlnm.Print_Area" vbProcedure="false">'Saídas e auxiliares'!$B$1:$M$39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1" authorId="0">
      <text>
        <r>
          <rPr>
            <sz val="10"/>
            <rFont val="Arial"/>
            <family val="2"/>
          </rPr>
          <t xml:space="preserve">Tipo de fonte. Condensador e DI ativa precisam de phantom.
Fita: não ligue phantom sem conferir o manual do microfone.
USB ou rede: sinal que chega sem conector de áudio.</t>
        </r>
      </text>
    </comment>
    <comment ref="E11" authorId="0">
      <text>
        <r>
          <rPr>
            <sz val="10"/>
            <rFont val="Arial"/>
            <family val="2"/>
          </rPr>
          <t xml:space="preserve">Número do conector físico ligado ao canal.
Na mesa digital, é a entrada escolhida no patch.
Deixe em branco só para fontes por USB ou rede.</t>
        </r>
      </text>
    </comment>
    <comment ref="I11" authorId="0">
      <text>
        <r>
          <rPr>
            <sz val="10"/>
            <rFont val="Arial"/>
            <family val="2"/>
          </rPr>
          <t xml:space="preserve">Barramento que recebe o canal depois do fader.
LR + grupo: o canal vai ao master direto e também pelo grupo, o que dá caminho duplo.
Só auxiliares: canal que não vai às caixas da frente (comunicação com o palco, por exemplo).</t>
        </r>
      </text>
    </comment>
    <comment ref="K11" authorId="0">
      <text>
        <r>
          <rPr>
            <sz val="10"/>
            <rFont val="Arial"/>
            <family val="2"/>
          </rPr>
          <t xml:space="preserve">Calculado pelo tipo: Sim para condensador e DI ativa.
Há condensadores que funcionam com pilha; nesse caso, anote na Observação.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9" authorId="0">
      <text>
        <r>
          <rPr>
            <sz val="10"/>
            <rFont val="Arial"/>
            <family val="2"/>
          </rPr>
          <t xml:space="preserve">Só para auxiliar: o envio sai antes (pré) ou depois (pós) do fader do canal.
Veja a chave PRE/POST da mesa, ou a tela da digital.</t>
        </r>
      </text>
    </comment>
    <comment ref="G9" authorId="0">
      <text>
        <r>
          <rPr>
            <sz val="10"/>
            <rFont val="Arial"/>
            <family val="2"/>
          </rPr>
          <t xml:space="preserve">Conector por onde o barramento sai: Main L/R, Aux 1, Out 5, XLR 3...
Grupo que só vai ao master pode ficar em branco.</t>
        </r>
      </text>
    </comment>
    <comment ref="I9" authorId="0">
      <text>
        <r>
          <rPr>
            <sz val="10"/>
            <rFont val="Arial"/>
            <family val="2"/>
          </rPr>
          <t xml:space="preserve">Só para grupo: o botão que envia o grupo ao master está apertado?
Sem ele, os canais do grupo não saem nas caixas.</t>
        </r>
      </text>
    </comment>
  </commentList>
</comments>
</file>

<file path=xl/sharedStrings.xml><?xml version="1.0" encoding="utf-8"?>
<sst xmlns="http://schemas.openxmlformats.org/spreadsheetml/2006/main" count="517" uniqueCount="334">
  <si>
    <t xml:space="preserve">Mesa de som — como usar esta planilha</t>
  </si>
  <si>
    <t xml:space="preserve">Folha de canais, mapa de saídas e auxiliares e registro de cenas, para preparar a mesa antes do teste de linha.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</si>
  <si>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</si>
  <si>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</si>
  <si>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</si>
  <si>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</si>
  <si>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</si>
  <si>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</si>
  <si>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</si>
  <si>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</si>
  <si>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Tipo, destino, tomada, uso e as colunas Sim / Não aceitam só as opções da lista.</t>
  </si>
  <si>
    <t xml:space="preserve">Situação</t>
  </si>
  <si>
    <t xml:space="preserve">Verde: OK. Amarelo: confira. Vermelho: corrija antes do teste de linha.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</si>
  <si>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</si>
  <si>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</si>
  <si>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</si>
  <si>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</si>
  <si>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Canais: preencha o cabeçalho e o número de entradas físicas da mesa ou da caixa de palco.</t>
  </si>
  <si>
    <t xml:space="preserve">2</t>
  </si>
  <si>
    <t xml:space="preserve">Aba Canais: um canal por linha, com a fonte, o tipo, a entrada física, o phantom, o filtro, o destino e o DCA.</t>
  </si>
  <si>
    <t xml:space="preserve">3</t>
  </si>
  <si>
    <t xml:space="preserve">Veja a situação de cada canal e o bloco Entradas físicas, à direita. Corrija na mesa e na planilha.</t>
  </si>
  <si>
    <t xml:space="preserve">4</t>
  </si>
  <si>
    <t xml:space="preserve">Aba Saídas e auxiliares: um barramento por linha, com a tomada, o uso, a saída física e o destino.</t>
  </si>
  <si>
    <t xml:space="preserve">5</t>
  </si>
  <si>
    <t xml:space="preserve">Na mesa: zere, carregue a cena de partida (na digital) e faça o teste de linha com a folha na mão.</t>
  </si>
  <si>
    <t xml:space="preserve">6</t>
  </si>
  <si>
    <t xml:space="preserve">Aba Cenas (mesa digital): registre a cena salva ao fim da passagem e confirme a cópia fora da mesa.</t>
  </si>
  <si>
    <t xml:space="preserve">7</t>
  </si>
  <si>
    <t xml:space="preserve">Aba Checklist: confira os doze itens antes do teste de linha e de novo ao fim da passagem.</t>
  </si>
  <si>
    <t xml:space="preserve">Abas da planilha</t>
  </si>
  <si>
    <t xml:space="preserve">Canais</t>
  </si>
  <si>
    <t xml:space="preserve">Folha de canais com até 32 canais, situação calculada e conferência das entradas físicas.</t>
  </si>
  <si>
    <t xml:space="preserve">Saídas e auxiliares</t>
  </si>
  <si>
    <t xml:space="preserve">Mapa de até 20 barramentos, com a tomada indicada para cada uso e a situação.</t>
  </si>
  <si>
    <t xml:space="preserve">Cenas</t>
  </si>
  <si>
    <t xml:space="preserve">Registro de até 20 cenas, com número repetido, falta de data e falta de cópia.</t>
  </si>
  <si>
    <t xml:space="preserve">Referência</t>
  </si>
  <si>
    <t xml:space="preserve">Controles do canal e posição ao zerar, barramentos, tomada por uso e o roteiro “siga o sinal”.</t>
  </si>
  <si>
    <t xml:space="preserve">Checklist</t>
  </si>
  <si>
    <t xml:space="preserve">Os doze itens do treinamento, com percentual atendido.</t>
  </si>
  <si>
    <t xml:space="preserve">Exemplo - Canais</t>
  </si>
  <si>
    <t xml:space="preserve">A folha de canais do exemplo 1 do treinamento, antes da correção, e o que foi corrigido.</t>
  </si>
  <si>
    <t xml:space="preserve">Regras e premissas do modelo</t>
  </si>
  <si>
    <t xml:space="preserve">Precisa de phantom</t>
  </si>
  <si>
    <t xml:space="preserve">Sim para condensador e DI ativa; Não para os outros tipos. Condensador com pilha: anote na Observação e ignore o aviso.</t>
  </si>
  <si>
    <t xml:space="preserve">Phantom sem uso</t>
  </si>
  <si>
    <t xml:space="preserve">Em microfone dinâmico balanceado, o phantom costuma não causar dano, mas o modelo avisa: desligue o que não precisa. Em microfone de fita e em aparelho de linha ligado por XLR, há risco real.</t>
  </si>
  <si>
    <t xml:space="preserve">Entrada repetida</t>
  </si>
  <si>
    <t xml:space="preserve">Dois canais com a mesma entrada física. Às vezes é proposital (um canal para a sala e outro para a transmissão): anote na Observação.</t>
  </si>
  <si>
    <t xml:space="preserve">Caminho duplo</t>
  </si>
  <si>
    <t xml:space="preserve">Destino LR + grupo: o canal chega ao master duas vezes, até 6 dB mais alto, e o fader do grupo não o controla.</t>
  </si>
  <si>
    <t xml:space="preserve">Tomada indicada</t>
  </si>
  <si>
    <t xml:space="preserve">Retorno e fone em pré-fader. Efeito, subwoofer, outra sala, caixas de delay e conjunto de canais em pós-fader. Gravação e transmissão: qualquer uma, conforme quem mixa.</t>
  </si>
  <si>
    <t xml:space="preserve">Valores</t>
  </si>
  <si>
    <t xml:space="preserve">As regras são práticas comuns, e não norma. Confira o manual e o diagrama de blocos da sua mesa.</t>
  </si>
  <si>
    <t xml:space="preserve">Exemplos</t>
  </si>
  <si>
    <t xml:space="preserve">Os dados da aba de exemplo são ilustrativos, criados para este material.</t>
  </si>
  <si>
    <t xml:space="preserve">Folha de canais — o que entra em cada canal, e para onde vai</t>
  </si>
  <si>
    <t xml:space="preserve">Preencha as células em amarelo-claro. As células cinza são calculadas.</t>
  </si>
  <si>
    <t xml:space="preserve">Evento</t>
  </si>
  <si>
    <t xml:space="preserve">Entradas físicas</t>
  </si>
  <si>
    <t xml:space="preserve">Quantas entradas a mesa ou a caixa de palco tem. Usado para conferir os números.</t>
  </si>
  <si>
    <t xml:space="preserve">Local</t>
  </si>
  <si>
    <t xml:space="preserve">Data</t>
  </si>
  <si>
    <t xml:space="preserve">A entrada física é o número do conector (na mesa ou na caixa de palco) ligado ao canal. Na mesa analógica, é o próprio número do canal. Na digital, é o que o patch diz.</t>
  </si>
  <si>
    <t xml:space="preserve">Operador</t>
  </si>
  <si>
    <t xml:space="preserve">Mesa</t>
  </si>
  <si>
    <t xml:space="preserve">Folha de canais (input list)</t>
  </si>
  <si>
    <t xml:space="preserve">Canal</t>
  </si>
  <si>
    <t xml:space="preserve">Fonte</t>
  </si>
  <si>
    <t xml:space="preserve">Tipo</t>
  </si>
  <si>
    <t xml:space="preserve">Entrada física</t>
  </si>
  <si>
    <t xml:space="preserve">Phantom ligado</t>
  </si>
  <si>
    <t xml:space="preserve">HPF</t>
  </si>
  <si>
    <t xml:space="preserve">HPF (Hz)</t>
  </si>
  <si>
    <t xml:space="preserve">Destino</t>
  </si>
  <si>
    <t xml:space="preserve">DCA</t>
  </si>
  <si>
    <t xml:space="preserve">O que fazer</t>
  </si>
  <si>
    <t xml:space="preserve">Observação</t>
  </si>
  <si>
    <t xml:space="preserve">Entrada</t>
  </si>
  <si>
    <t xml:space="preserve">Canais que usam</t>
  </si>
  <si>
    <t xml:space="preserve">nº</t>
  </si>
  <si>
    <t xml:space="preserve">o que está ligado</t>
  </si>
  <si>
    <t xml:space="preserve">lista</t>
  </si>
  <si>
    <t xml:space="preserve">nº do conector</t>
  </si>
  <si>
    <t xml:space="preserve">Sim / Não</t>
  </si>
  <si>
    <t xml:space="preserve">se ajustável</t>
  </si>
  <si>
    <t xml:space="preserve">nome</t>
  </si>
  <si>
    <t xml:space="preserve">calculado</t>
  </si>
  <si>
    <t xml:space="preserve">contagem</t>
  </si>
  <si>
    <t xml:space="preserve">Ex.</t>
  </si>
  <si>
    <t xml:space="preserve">Coral (condensador suspenso)</t>
  </si>
  <si>
    <t xml:space="preserve">Condensador</t>
  </si>
  <si>
    <t xml:space="preserve">Não</t>
  </si>
  <si>
    <t xml:space="preserve">Sim</t>
  </si>
  <si>
    <t xml:space="preserve">Grupo 1-2</t>
  </si>
  <si>
    <t xml:space="preserve">Vozes</t>
  </si>
  <si>
    <t xml:space="preserve">Falta phantom</t>
  </si>
  <si>
    <t xml:space="preserve">Ligue o phantom com o canal em mute</t>
  </si>
  <si>
    <t xml:space="preserve">Resumo automático</t>
  </si>
  <si>
    <t xml:space="preserve">Canais registrados</t>
  </si>
  <si>
    <t xml:space="preserve">Canais OK</t>
  </si>
  <si>
    <t xml:space="preserve">Canais com aviso</t>
  </si>
  <si>
    <t xml:space="preserve">Canais com phantom ligado</t>
  </si>
  <si>
    <t xml:space="preserve">Entradas físicas repetidas</t>
  </si>
  <si>
    <t xml:space="preserve">Entradas físicas livres</t>
  </si>
  <si>
    <t xml:space="preserve">Aviso</t>
  </si>
  <si>
    <t xml:space="preserve">Saídas e auxiliares — o mapa dos barramentos</t>
  </si>
  <si>
    <t xml:space="preserve">Um barramento por linha: o que ele é, como recebe os canais, para que serve e onde termina.</t>
  </si>
  <si>
    <t xml:space="preserve">Evento ou local</t>
  </si>
  <si>
    <t xml:space="preserve">A tomada indicada vem do uso: retorno e fone em pré-fader; efeito, subwoofer, outra sala e delay em pós-fader; gravação e transmissão dependem de quem mixa.</t>
  </si>
  <si>
    <t xml:space="preserve">Mapa de saídas e auxiliares</t>
  </si>
  <si>
    <t xml:space="preserve">#</t>
  </si>
  <si>
    <t xml:space="preserve">Barramento</t>
  </si>
  <si>
    <t xml:space="preserve">Tomada</t>
  </si>
  <si>
    <t xml:space="preserve">Uso</t>
  </si>
  <si>
    <t xml:space="preserve">Saída física</t>
  </si>
  <si>
    <t xml:space="preserve">Grupo vai ao master</t>
  </si>
  <si>
    <t xml:space="preserve">nome na mesa</t>
  </si>
  <si>
    <t xml:space="preserve">só auxiliar</t>
  </si>
  <si>
    <t xml:space="preserve">conector</t>
  </si>
  <si>
    <t xml:space="preserve">só grupo</t>
  </si>
  <si>
    <t xml:space="preserve">calculada</t>
  </si>
  <si>
    <t xml:space="preserve">Aux 1</t>
  </si>
  <si>
    <t xml:space="preserve">Auxiliar</t>
  </si>
  <si>
    <t xml:space="preserve">Pós-fader</t>
  </si>
  <si>
    <t xml:space="preserve">Retorno de palco</t>
  </si>
  <si>
    <t xml:space="preserve">Caixa de chão da cantora</t>
  </si>
  <si>
    <t xml:space="preserve">–</t>
  </si>
  <si>
    <t xml:space="preserve">Pré-fader</t>
  </si>
  <si>
    <t xml:space="preserve">Trocar para pré</t>
  </si>
  <si>
    <t xml:space="preserve">Retorno em pós muda a cada ajuste do fader: passe para pré</t>
  </si>
  <si>
    <t xml:space="preserve">Barramentos registrados</t>
  </si>
  <si>
    <t xml:space="preserve">Auxiliares em pré-fader</t>
  </si>
  <si>
    <t xml:space="preserve">Auxiliares em pós-fader</t>
  </si>
  <si>
    <t xml:space="preserve">Barramentos com aviso</t>
  </si>
  <si>
    <t xml:space="preserve">Cenas — o registro das cenas da mesa digital</t>
  </si>
  <si>
    <t xml:space="preserve">Uma cena por linha. Anote também o que ela muda e se há cópia fora da mesa.</t>
  </si>
  <si>
    <t xml:space="preserve">A cena de partida guarda o patch, os nomes e as saídas do local, com o resto zerado. Grave por cima dela só de propósito.</t>
  </si>
  <si>
    <t xml:space="preserve">Cena de partida (nº)</t>
  </si>
  <si>
    <t xml:space="preserve">Registro de cenas</t>
  </si>
  <si>
    <t xml:space="preserve">Nº da cena</t>
  </si>
  <si>
    <t xml:space="preserve">Nome</t>
  </si>
  <si>
    <t xml:space="preserve">Evento ou uso</t>
  </si>
  <si>
    <t xml:space="preserve">O que ela muda ou protege</t>
  </si>
  <si>
    <t xml:space="preserve">Cópia fora da mesa</t>
  </si>
  <si>
    <t xml:space="preserve">na mesa</t>
  </si>
  <si>
    <t xml:space="preserve">dd/mm/aaaa</t>
  </si>
  <si>
    <t xml:space="preserve">ganhos, retornos, filtro de cena</t>
  </si>
  <si>
    <t xml:space="preserve">Culto 04-10 passagem</t>
  </si>
  <si>
    <t xml:space="preserve">04/10/2026</t>
  </si>
  <si>
    <t xml:space="preserve">Culto de domingo, 19 h</t>
  </si>
  <si>
    <t xml:space="preserve">Ganhos e retornos da banda; filtro protege o canal do púlpito</t>
  </si>
  <si>
    <t xml:space="preserve">OK</t>
  </si>
  <si>
    <t xml:space="preserve">Cenas registradas</t>
  </si>
  <si>
    <t xml:space="preserve">Cenas sem cópia fora da mesa</t>
  </si>
  <si>
    <t xml:space="preserve">Cena mais recente (data)</t>
  </si>
  <si>
    <t xml:space="preserve">Referência — a mesa de som</t>
  </si>
  <si>
    <t xml:space="preserve">Consulta rápida. Confira o manual e o diagrama de blocos da sua mesa.</t>
  </si>
  <si>
    <t xml:space="preserve">Os controles do canal, de cima para baixo</t>
  </si>
  <si>
    <t xml:space="preserve">Controle</t>
  </si>
  <si>
    <t xml:space="preserve">O que faz</t>
  </si>
  <si>
    <t xml:space="preserve">Ao zerar a mesa</t>
  </si>
  <si>
    <t xml:space="preserve">Onde se aprofunda</t>
  </si>
  <si>
    <t xml:space="preserve">Phantom (+48 V)</t>
  </si>
  <si>
    <t xml:space="preserve">Alimenta condensadores e DI ativas pelo cabo XLR.</t>
  </si>
  <si>
    <t xml:space="preserve">Desligado</t>
  </si>
  <si>
    <t xml:space="preserve">Cabos, conectores e níveis de sinal</t>
  </si>
  <si>
    <t xml:space="preserve">Pad</t>
  </si>
  <si>
    <t xml:space="preserve">Reduz o sinal antes do pré, para fontes fortes.</t>
  </si>
  <si>
    <t xml:space="preserve">Ganho e fader</t>
  </si>
  <si>
    <t xml:space="preserve">Ganho (gain, trim)</t>
  </si>
  <si>
    <t xml:space="preserve">Define com que nível o sinal entra na mesa.</t>
  </si>
  <si>
    <t xml:space="preserve">No mínimo</t>
  </si>
  <si>
    <t xml:space="preserve">Polaridade (Ø)</t>
  </si>
  <si>
    <t xml:space="preserve">Inverte a onda, para dois microfones que se cancelam.</t>
  </si>
  <si>
    <t xml:space="preserve">Normal</t>
  </si>
  <si>
    <t xml:space="preserve">Som, frequência e decibel</t>
  </si>
  <si>
    <t xml:space="preserve">Filtro passa-altas (HPF)</t>
  </si>
  <si>
    <t xml:space="preserve">Corta os graves abaixo de uma frequência.</t>
  </si>
  <si>
    <t xml:space="preserve">Desligado; religar pela folha de canais</t>
  </si>
  <si>
    <t xml:space="preserve">Equalização</t>
  </si>
  <si>
    <t xml:space="preserve">Equalizador (EQ)</t>
  </si>
  <si>
    <t xml:space="preserve">Corta ou realça faixas de frequência.</t>
  </si>
  <si>
    <t xml:space="preserve">Plano: botões no centro</t>
  </si>
  <si>
    <t xml:space="preserve">Auxiliares (aux, send)</t>
  </si>
  <si>
    <t xml:space="preserve">Mandam uma cópia do canal a cada mixagem extra.</t>
  </si>
  <si>
    <t xml:space="preserve">Fechados</t>
  </si>
  <si>
    <t xml:space="preserve">Monitores e retornos; Dinâmica e efeitos</t>
  </si>
  <si>
    <t xml:space="preserve">Pan</t>
  </si>
  <si>
    <t xml:space="preserve">Posição do canal entre esquerda e direita.</t>
  </si>
  <si>
    <t xml:space="preserve">No centro</t>
  </si>
  <si>
    <t xml:space="preserve">Passagem de som e mixagem ao vivo</t>
  </si>
  <si>
    <t xml:space="preserve">Mute</t>
  </si>
  <si>
    <t xml:space="preserve">Cala o canal no master e nos envios pós-fader (e, em muitas mesas, nos pré-fader).</t>
  </si>
  <si>
    <t xml:space="preserve">Ligado</t>
  </si>
  <si>
    <t xml:space="preserve">Teste na sua mesa</t>
  </si>
  <si>
    <t xml:space="preserve">PFL ou solo</t>
  </si>
  <si>
    <t xml:space="preserve">Leva o canal ao fone e ao medidor, sem mudar as caixas.</t>
  </si>
  <si>
    <t xml:space="preserve">Solto</t>
  </si>
  <si>
    <t xml:space="preserve">Endereçamento (L-R, 1-2, 3-4)</t>
  </si>
  <si>
    <t xml:space="preserve">Escolhe os barramentos que recebem o canal depois do fader.</t>
  </si>
  <si>
    <t xml:space="preserve">Só L-R, ou só o grupo</t>
  </si>
  <si>
    <t xml:space="preserve">Este estudo</t>
  </si>
  <si>
    <t xml:space="preserve">Fader</t>
  </si>
  <si>
    <t xml:space="preserve">Quanto do canal vai aos barramentos escolhidos.</t>
  </si>
  <si>
    <t xml:space="preserve">Embaixo</t>
  </si>
  <si>
    <t xml:space="preserve">Master, grupos e masters dos auxiliares</t>
  </si>
  <si>
    <t xml:space="preserve">Nível geral de cada barramento.</t>
  </si>
  <si>
    <t xml:space="preserve">Os barramentos</t>
  </si>
  <si>
    <t xml:space="preserve">O que soma</t>
  </si>
  <si>
    <t xml:space="preserve">Controle geral</t>
  </si>
  <si>
    <t xml:space="preserve">Uso típico</t>
  </si>
  <si>
    <t xml:space="preserve">Master LR</t>
  </si>
  <si>
    <t xml:space="preserve">Os canais e os grupos endereçados a ele.</t>
  </si>
  <si>
    <t xml:space="preserve">Fader master</t>
  </si>
  <si>
    <t xml:space="preserve">Caixas da frente: a mixagem do público.</t>
  </si>
  <si>
    <t xml:space="preserve">Grupo (subgrupo)</t>
  </si>
  <si>
    <t xml:space="preserve">Os canais endereçados a ele. Desemboca no master.</t>
  </si>
  <si>
    <t xml:space="preserve">Fader do grupo</t>
  </si>
  <si>
    <t xml:space="preserve">Controlar e processar um conjunto: vozes, bateria, coral.</t>
  </si>
  <si>
    <t xml:space="preserve">Uma cópia de cada canal, na medida do botão de envio.</t>
  </si>
  <si>
    <t xml:space="preserve">Master do auxiliar</t>
  </si>
  <si>
    <t xml:space="preserve">Retornos, efeitos e mixagens independentes.</t>
  </si>
  <si>
    <t xml:space="preserve">Matriz</t>
  </si>
  <si>
    <t xml:space="preserve">Outros barramentos: master, grupos e, em muitas mesas, auxiliares.</t>
  </si>
  <si>
    <t xml:space="preserve">Master da matriz</t>
  </si>
  <si>
    <t xml:space="preserve">Outra sala, caixas de delay, gravação, transmissão.</t>
  </si>
  <si>
    <t xml:space="preserve">DCA ou VCA</t>
  </si>
  <si>
    <t xml:space="preserve">Nada: não carrega áudio. Comanda os faders atribuídos.</t>
  </si>
  <si>
    <t xml:space="preserve">Fader do DCA</t>
  </si>
  <si>
    <t xml:space="preserve">Subir e baixar vários canais de uma vez, com os efeitos pós-fader juntos.</t>
  </si>
  <si>
    <t xml:space="preserve">A tomada de cada auxiliar</t>
  </si>
  <si>
    <t xml:space="preserve">Por quê</t>
  </si>
  <si>
    <t xml:space="preserve">Se estiver trocada</t>
  </si>
  <si>
    <t xml:space="preserve">Retorno de chão ou fone</t>
  </si>
  <si>
    <t xml:space="preserve">A mixagem do músico não muda quando o operador ajusta a sala.</t>
  </si>
  <si>
    <t xml:space="preserve">O retorno sobe e desce com o fader.</t>
  </si>
  <si>
    <t xml:space="preserve">Efeito (reverb, delay)</t>
  </si>
  <si>
    <t xml:space="preserve">O efeito acompanha o canal.</t>
  </si>
  <si>
    <t xml:space="preserve">O canal fechado continua soando no efeito.</t>
  </si>
  <si>
    <t xml:space="preserve">Subwoofer por auxiliar</t>
  </si>
  <si>
    <t xml:space="preserve">Os graves sobem e descem com a mixagem.</t>
  </si>
  <si>
    <t xml:space="preserve">O grave não acompanha os faders.</t>
  </si>
  <si>
    <t xml:space="preserve">Outra sala ou caixas de delay, sem matriz</t>
  </si>
  <si>
    <t xml:space="preserve">A sala anexa ouve a mesma mixagem, com os mesmos mutes.</t>
  </si>
  <si>
    <t xml:space="preserve">Canais fechados no salão continuam na outra sala.</t>
  </si>
  <si>
    <t xml:space="preserve">Gravação ou transmissão</t>
  </si>
  <si>
    <t xml:space="preserve">Depende</t>
  </si>
  <si>
    <t xml:space="preserve">Pós-fader para seguir a sala; pré-fader se alguém mixa só para isso.</t>
  </si>
  <si>
    <t xml:space="preserve">Veja o estudo Transmissão ao vivo.</t>
  </si>
  <si>
    <t xml:space="preserve">Siga o sinal: canal sem som</t>
  </si>
  <si>
    <t xml:space="preserve">O que você vê</t>
  </si>
  <si>
    <t xml:space="preserve">Onde procurar</t>
  </si>
  <si>
    <t xml:space="preserve">O que conferir</t>
  </si>
  <si>
    <t xml:space="preserve">Sem sinal no PFL do canal</t>
  </si>
  <si>
    <t xml:space="preserve">Antes do canal ou na entrada</t>
  </si>
  <si>
    <t xml:space="preserve">Fonte, cabo, entrada, patch, phantom, ganho.</t>
  </si>
  <si>
    <t xml:space="preserve">Na digital, desconfie primeiro do patch.</t>
  </si>
  <si>
    <t xml:space="preserve">Sinal no PFL, nada no master</t>
  </si>
  <si>
    <t xml:space="preserve">Parte de baixo do canal</t>
  </si>
  <si>
    <t xml:space="preserve">Mute, fader, L-R, grupo fechado ou fora do master, DCA, grupo de mute.</t>
  </si>
  <si>
    <t xml:space="preserve">Na digital: camada errada ou envios nos faders ligado.</t>
  </si>
  <si>
    <t xml:space="preserve">Sinal no master, nada nas caixas</t>
  </si>
  <si>
    <t xml:space="preserve">Depois da mesa</t>
  </si>
  <si>
    <t xml:space="preserve">Patch de saída, cabo, processador, amplificador ou caixa ativa.</t>
  </si>
  <si>
    <t xml:space="preserve">Feche o master antes de mexer em cabos.</t>
  </si>
  <si>
    <t xml:space="preserve">Som nas caixas, nada no retorno ou no efeito</t>
  </si>
  <si>
    <t xml:space="preserve">No auxiliar</t>
  </si>
  <si>
    <t xml:space="preserve">Envio do canal, master do auxiliar, chave pré ou pós, saída e cabo.</t>
  </si>
  <si>
    <t xml:space="preserve">Use o AFL do auxiliar para ouvir o barramento.</t>
  </si>
  <si>
    <t xml:space="preserve">Práticas comuns, e não norma. A ordem dos blocos e o efeito do mute variam de uma mesa para outra: confira o diagrama de blocos.</t>
  </si>
  <si>
    <t xml:space="preserve">Checklist da mesa</t>
  </si>
  <si>
    <t xml:space="preserve">Confira antes do teste de linha e de novo ao fim da passagem. Escolha a situação de cada item na lista suspensa.</t>
  </si>
  <si>
    <t xml:space="preserve">Grupo</t>
  </si>
  <si>
    <t xml:space="preserve">Item</t>
  </si>
  <si>
    <t xml:space="preserve">Preparação</t>
  </si>
  <si>
    <t xml:space="preserve">A folha de canais está preenchida e bate com os nomes escritos na mesa e na caixa de palco.</t>
  </si>
  <si>
    <t xml:space="preserve">A mesa foi zerada, ou a cena de partida foi carregada, antes de ligar as caixas.</t>
  </si>
  <si>
    <t xml:space="preserve">Cada fonte está na entrada anotada, e nenhuma entrada física aparece em dois canais sem querer.</t>
  </si>
  <si>
    <t xml:space="preserve">O phantom (+48 V) está ligado só nos canais que precisam dele.</t>
  </si>
  <si>
    <t xml:space="preserve">O filtro passa-altas de cada canal está como anotado na folha de canais.</t>
  </si>
  <si>
    <t xml:space="preserve">Barramentos</t>
  </si>
  <si>
    <t xml:space="preserve">Cada canal tem um só caminho até o master: direto ou pelo grupo.</t>
  </si>
  <si>
    <t xml:space="preserve">Os grupos em uso estão endereçados ao master, e os DCA em uso estão em 0 dB.</t>
  </si>
  <si>
    <t xml:space="preserve">Os auxiliares de retorno estão em pré-fader, e os de efeito, em pós-fader.</t>
  </si>
  <si>
    <t xml:space="preserve">Saídas</t>
  </si>
  <si>
    <t xml:space="preserve">Cada saída física está ligada ao destino anotado no mapa de saídas.</t>
  </si>
  <si>
    <t xml:space="preserve">Operação</t>
  </si>
  <si>
    <t xml:space="preserve">Nenhum solo ficou apertado, e o modo de solo da mesa é PFL, e não solo in place.</t>
  </si>
  <si>
    <t xml:space="preserve">Na mesa digital, a camada à vista é a dos canais principais, e o modo de envios nos faders está desligado.</t>
  </si>
  <si>
    <t xml:space="preserve">A configuração final foi guardada: cena salva com cópia fora da mesa, ou foto do painel da mesa analógica.</t>
  </si>
  <si>
    <t xml:space="preserve">Itens respondidos</t>
  </si>
  <si>
    <t xml:space="preserve">Percentual atendido (Parcial vale metade)</t>
  </si>
  <si>
    <t xml:space="preserve">Exemplo preenchido, como estava antes da correção. Use a aba Canais para o seu evento.</t>
  </si>
  <si>
    <t xml:space="preserve">Igreja de 200 lugares</t>
  </si>
  <si>
    <t xml:space="preserve">Operador de som da escala</t>
  </si>
  <si>
    <t xml:space="preserve">Mesa digital de 16 canais, caixa de palco de 16 entradas</t>
  </si>
  <si>
    <t xml:space="preserve">Os dados são os do exemplo 1 do treinamento, como estavam na mesa antes da correção. As colunas de K a M são calculadas.</t>
  </si>
  <si>
    <t xml:space="preserve">Voz do pastor (sem fio)</t>
  </si>
  <si>
    <t xml:space="preserve">Sem fio</t>
  </si>
  <si>
    <t xml:space="preserve">LR</t>
  </si>
  <si>
    <t xml:space="preserve">Microfone do púlpito</t>
  </si>
  <si>
    <t xml:space="preserve">Voz da cantora</t>
  </si>
  <si>
    <t xml:space="preserve">Dinâmico</t>
  </si>
  <si>
    <t xml:space="preserve">Voz de apoio 1</t>
  </si>
  <si>
    <t xml:space="preserve">Voz de apoio 2</t>
  </si>
  <si>
    <t xml:space="preserve">LR + grupo</t>
  </si>
  <si>
    <t xml:space="preserve">Violão</t>
  </si>
  <si>
    <t xml:space="preserve">DI ativa</t>
  </si>
  <si>
    <t xml:space="preserve">Banda</t>
  </si>
  <si>
    <t xml:space="preserve">Baixo</t>
  </si>
  <si>
    <t xml:space="preserve">DI passiva</t>
  </si>
  <si>
    <t xml:space="preserve">Teclado E</t>
  </si>
  <si>
    <t xml:space="preserve">Linha</t>
  </si>
  <si>
    <t xml:space="preserve">Teclado D</t>
  </si>
  <si>
    <t xml:space="preserve">Bumbo</t>
  </si>
  <si>
    <t xml:space="preserve">Grupo 3-4</t>
  </si>
  <si>
    <t xml:space="preserve">Caixa da bateria</t>
  </si>
  <si>
    <t xml:space="preserve">Overhead da bateria</t>
  </si>
  <si>
    <t xml:space="preserve">Guitarra (amplificador)</t>
  </si>
  <si>
    <t xml:space="preserve">Computador E (vídeos)</t>
  </si>
  <si>
    <t xml:space="preserve">USB ou rede</t>
  </si>
  <si>
    <t xml:space="preserve">Mídia</t>
  </si>
  <si>
    <t xml:space="preserve">Computador D (vídeos)</t>
  </si>
  <si>
    <t xml:space="preserve">O que foi corrigido</t>
  </si>
  <si>
    <t xml:space="preserve">O que foi feito</t>
  </si>
  <si>
    <t xml:space="preserve">Botão L-R desligado. A voz passou a ir ao master só pelo grupo 1-2 e voltou ao nível das outras vozes.</t>
  </si>
  <si>
    <t xml:space="preserve">Phantom ligado com o canal em mute. O sinal do coral apareceu no PFL.</t>
  </si>
  <si>
    <t xml:space="preserve">9 e 10</t>
  </si>
  <si>
    <t xml:space="preserve">Patch do canal 10 corrigido para a entrada 10, que estava livre. O teclado voltou a soar dos dois lados.</t>
  </si>
  <si>
    <t xml:space="preserve">Todos</t>
  </si>
  <si>
    <t xml:space="preserve">Teste de linha com a folha na mão. Cena salva depois da passagem, com cópia no pendrive.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</si>
</sst>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  <fill>
      <patternFill patternType="solid">
        <fgColor rgb="FF5B6B76"/>
        <bgColor rgb="FF808080"/>
      </patternFill>
    </fill>
    <fill>
      <patternFill patternType="solid">
        <fgColor rgb="FFA96A12"/>
        <bgColor rgb="FF99330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6D9D7"/>
        </patternFill>
      </fill>
    </dxf>
    <dxf>
      <fill>
        <patternFill>
          <bgColor rgb="FFD8EFDD"/>
        </patternFill>
      </fill>
    </dxf>
    <dxf>
      <fill>
        <patternFill>
          <bgColor rgb="FFFBEB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7A4A9A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19.5" hidden="false" customHeight="true" outlineLevel="0" collapsed="false">
      <c r="B13" s="8" t="s">
        <v>16</v>
      </c>
      <c r="C13" s="7" t="s">
        <v>17</v>
      </c>
    </row>
    <row r="14" customFormat="false" ht="31.5" hidden="false" customHeight="true" outlineLevel="0" collapsed="false">
      <c r="B14" s="8" t="s">
        <v>18</v>
      </c>
      <c r="C14" s="7" t="s">
        <v>19</v>
      </c>
    </row>
    <row r="15" customFormat="false" ht="19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8" t="s">
        <v>22</v>
      </c>
      <c r="C16" s="7" t="s">
        <v>23</v>
      </c>
    </row>
    <row r="17" customFormat="false" ht="19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6" customFormat="false" ht="19.5" hidden="false" customHeight="true" outlineLevel="0" collapsed="false">
      <c r="B36" s="4" t="s">
        <v>56</v>
      </c>
      <c r="C36" s="7" t="s">
        <v>57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R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8" min="7" style="0" width="8"/>
    <col collapsed="false" customWidth="true" hidden="false" outlineLevel="0" max="9" min="9" style="0" width="14"/>
    <col collapsed="false" customWidth="true" hidden="false" outlineLevel="0" max="11" min="10" style="0" width="11"/>
    <col collapsed="false" customWidth="true" hidden="false" outlineLevel="0" max="12" min="12" style="0" width="19"/>
    <col collapsed="false" customWidth="true" hidden="false" outlineLevel="0" max="13" min="13" style="0" width="46"/>
    <col collapsed="false" customWidth="true" hidden="false" outlineLevel="0" max="14" min="14" style="0" width="26"/>
    <col collapsed="false" customWidth="true" hidden="false" outlineLevel="0" max="15" min="15" style="0" width="2"/>
    <col collapsed="false" customWidth="true" hidden="false" outlineLevel="0" max="17" min="16" style="0" width="10"/>
    <col collapsed="false" customWidth="true" hidden="false" outlineLevel="0" max="18" min="18" style="0" width="11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58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59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B4" s="4" t="s">
        <v>60</v>
      </c>
      <c r="C4" s="4"/>
      <c r="D4" s="5"/>
      <c r="E4" s="5"/>
      <c r="F4" s="5"/>
      <c r="G4" s="5"/>
      <c r="H4" s="5"/>
      <c r="J4" s="4" t="s">
        <v>61</v>
      </c>
      <c r="K4" s="4"/>
      <c r="L4" s="9" t="n">
        <v>16</v>
      </c>
      <c r="M4" s="10" t="s">
        <v>62</v>
      </c>
      <c r="N4" s="10"/>
      <c r="O4" s="10"/>
      <c r="P4" s="10"/>
      <c r="Q4" s="10"/>
      <c r="R4" s="10"/>
    </row>
    <row r="5" customFormat="false" ht="21.75" hidden="false" customHeight="true" outlineLevel="0" collapsed="false">
      <c r="B5" s="4" t="s">
        <v>63</v>
      </c>
      <c r="C5" s="4"/>
      <c r="D5" s="5"/>
      <c r="E5" s="5"/>
      <c r="F5" s="5"/>
      <c r="G5" s="5"/>
      <c r="H5" s="5"/>
    </row>
    <row r="6" customFormat="false" ht="21.75" hidden="false" customHeight="true" outlineLevel="0" collapsed="false">
      <c r="B6" s="4" t="s">
        <v>64</v>
      </c>
      <c r="C6" s="4"/>
      <c r="D6" s="11"/>
      <c r="E6" s="11"/>
      <c r="F6" s="11"/>
      <c r="G6" s="11"/>
      <c r="H6" s="11"/>
      <c r="J6" s="10" t="s">
        <v>65</v>
      </c>
      <c r="K6" s="10"/>
      <c r="L6" s="10"/>
      <c r="M6" s="10"/>
      <c r="N6" s="10"/>
      <c r="O6" s="10"/>
      <c r="P6" s="10"/>
      <c r="Q6" s="10"/>
      <c r="R6" s="10"/>
    </row>
    <row r="7" customFormat="false" ht="21.75" hidden="false" customHeight="true" outlineLevel="0" collapsed="false">
      <c r="B7" s="4" t="s">
        <v>66</v>
      </c>
      <c r="C7" s="4"/>
      <c r="D7" s="5"/>
      <c r="E7" s="5"/>
      <c r="F7" s="5"/>
      <c r="G7" s="5"/>
      <c r="H7" s="5"/>
      <c r="J7" s="10"/>
      <c r="K7" s="10"/>
      <c r="L7" s="10"/>
      <c r="M7" s="10"/>
      <c r="N7" s="10"/>
      <c r="O7" s="10"/>
      <c r="P7" s="10"/>
      <c r="Q7" s="10"/>
      <c r="R7" s="10"/>
    </row>
    <row r="8" customFormat="false" ht="21.75" hidden="false" customHeight="true" outlineLevel="0" collapsed="false">
      <c r="B8" s="4" t="s">
        <v>67</v>
      </c>
      <c r="C8" s="4"/>
      <c r="D8" s="5"/>
      <c r="E8" s="5"/>
      <c r="F8" s="5"/>
      <c r="G8" s="5"/>
      <c r="H8" s="5"/>
      <c r="J8" s="10"/>
      <c r="K8" s="10"/>
      <c r="L8" s="10"/>
      <c r="M8" s="10"/>
      <c r="N8" s="10"/>
      <c r="O8" s="10"/>
      <c r="P8" s="10"/>
      <c r="Q8" s="10"/>
      <c r="R8" s="10"/>
    </row>
    <row r="10" customFormat="false" ht="21.75" hidden="false" customHeight="true" outlineLevel="0" collapsed="false">
      <c r="B10" s="12" t="s">
        <v>68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P10" s="12" t="s">
        <v>61</v>
      </c>
      <c r="Q10" s="12"/>
      <c r="R10" s="12"/>
    </row>
    <row r="11" customFormat="false" ht="30" hidden="false" customHeight="true" outlineLevel="0" collapsed="false">
      <c r="B11" s="13" t="s">
        <v>69</v>
      </c>
      <c r="C11" s="13" t="s">
        <v>70</v>
      </c>
      <c r="D11" s="14" t="s">
        <v>71</v>
      </c>
      <c r="E11" s="14" t="s">
        <v>72</v>
      </c>
      <c r="F11" s="14" t="s">
        <v>73</v>
      </c>
      <c r="G11" s="14" t="s">
        <v>74</v>
      </c>
      <c r="H11" s="14" t="s">
        <v>75</v>
      </c>
      <c r="I11" s="15" t="s">
        <v>76</v>
      </c>
      <c r="J11" s="15" t="s">
        <v>77</v>
      </c>
      <c r="K11" s="16" t="s">
        <v>44</v>
      </c>
      <c r="L11" s="16" t="s">
        <v>11</v>
      </c>
      <c r="M11" s="16" t="s">
        <v>78</v>
      </c>
      <c r="N11" s="13" t="s">
        <v>79</v>
      </c>
      <c r="P11" s="13" t="s">
        <v>80</v>
      </c>
      <c r="Q11" s="16" t="s">
        <v>81</v>
      </c>
      <c r="R11" s="16" t="s">
        <v>11</v>
      </c>
    </row>
    <row r="12" customFormat="false" ht="21.75" hidden="false" customHeight="true" outlineLevel="0" collapsed="false">
      <c r="B12" s="17" t="s">
        <v>82</v>
      </c>
      <c r="C12" s="17" t="s">
        <v>83</v>
      </c>
      <c r="D12" s="17" t="s">
        <v>84</v>
      </c>
      <c r="E12" s="17" t="s">
        <v>85</v>
      </c>
      <c r="F12" s="17" t="s">
        <v>86</v>
      </c>
      <c r="G12" s="17" t="s">
        <v>86</v>
      </c>
      <c r="H12" s="17" t="s">
        <v>87</v>
      </c>
      <c r="I12" s="17" t="s">
        <v>84</v>
      </c>
      <c r="J12" s="17" t="s">
        <v>88</v>
      </c>
      <c r="K12" s="17" t="s">
        <v>89</v>
      </c>
      <c r="L12" s="17"/>
      <c r="M12" s="17"/>
      <c r="N12" s="17"/>
      <c r="P12" s="17" t="s">
        <v>82</v>
      </c>
      <c r="Q12" s="17" t="s">
        <v>90</v>
      </c>
      <c r="R12" s="17"/>
    </row>
    <row r="13" customFormat="false" ht="24" hidden="false" customHeight="true" outlineLevel="0" collapsed="false">
      <c r="B13" s="17" t="s">
        <v>91</v>
      </c>
      <c r="C13" s="10" t="s">
        <v>92</v>
      </c>
      <c r="D13" s="17" t="s">
        <v>93</v>
      </c>
      <c r="E13" s="17" t="n">
        <v>6</v>
      </c>
      <c r="F13" s="17" t="s">
        <v>94</v>
      </c>
      <c r="G13" s="17" t="s">
        <v>95</v>
      </c>
      <c r="H13" s="17" t="n">
        <v>120</v>
      </c>
      <c r="I13" s="17" t="s">
        <v>96</v>
      </c>
      <c r="J13" s="17" t="s">
        <v>97</v>
      </c>
      <c r="K13" s="17" t="s">
        <v>95</v>
      </c>
      <c r="L13" s="17" t="s">
        <v>98</v>
      </c>
      <c r="M13" s="10" t="s">
        <v>99</v>
      </c>
      <c r="N13" s="10"/>
    </row>
    <row r="14" customFormat="false" ht="21.75" hidden="false" customHeight="true" outlineLevel="0" collapsed="false">
      <c r="B14" s="18" t="n">
        <v>1</v>
      </c>
      <c r="C14" s="5"/>
      <c r="D14" s="9"/>
      <c r="E14" s="9"/>
      <c r="F14" s="9"/>
      <c r="G14" s="9"/>
      <c r="H14" s="9"/>
      <c r="I14" s="9"/>
      <c r="J14" s="9"/>
      <c r="K14" s="19" t="str">
        <f aca="false">IF(D14="","",IF(OR(D14="Condensador",D14="DI ativa"),"Sim","Não"))</f>
        <v/>
      </c>
      <c r="L14" s="20" t="str">
        <f aca="false">IF(AND(C14="",D14="",E14=""),"",IF(AND(E14="",D14&lt;&gt;"USB ou rede"),"Falta entrada",IF(AND(E14&lt;&gt;"",$L$4&lt;&gt;"",E14&gt;$L$4),"Entrada inexistente",IF(AND(E14&lt;&gt;"",COUNTIF($E$14:$E$45,E14)&gt;1),"Entrada repetida",IF(D14="","Falta tipo",IF(AND(K14="Sim",F14&lt;&gt;"Sim"),"Falta phantom",IF(AND(K14="Não",F14="Sim"),"Phantom sem uso",IF(I14="LR + grupo","Caminho duplo",IF(OR(I14="",I14="Nenhum"),"Sem destino","OK")))))))))</f>
        <v/>
      </c>
      <c r="M14" s="21" t="str">
        <f aca="false">IF(L14="","",IF(L14="Falta entrada","Anote o conector ligado ao canal",IF(L14="Entrada inexistente","A mesa não tem essa entrada: confira o número",IF(L14="Entrada repetida","Dois canais na mesma entrada: confira o patch e os cabos",IF(L14="Falta tipo","Informe o tipo da fonte",IF(L14="Falta phantom","Ligue o phantom com o canal em mute",IF(L14="Phantom sem uso","Desligue o phantom com o canal em mute",IF(L14="Caminho duplo","Deixe um só caminho até o master: tire o L-R ou o grupo",IF(L14="Sem destino","Enderece o canal ao master ou a um grupo","Manter")))))))))</f>
        <v/>
      </c>
      <c r="N14" s="5"/>
      <c r="P14" s="18" t="n">
        <v>1</v>
      </c>
      <c r="Q14" s="19" t="n">
        <f aca="false">IF(OR($L$4="",P14&gt;$L$4),"",COUNTIF($E$14:$E$45,P14))</f>
        <v>0</v>
      </c>
      <c r="R14" s="19" t="str">
        <f aca="false">IF(Q14="","–",IF(Q14=0,"Livre",IF(Q14=1,"OK","Repetida")))</f>
        <v>Livre</v>
      </c>
    </row>
    <row r="15" customFormat="false" ht="21.75" hidden="false" customHeight="true" outlineLevel="0" collapsed="false">
      <c r="B15" s="18" t="n">
        <v>2</v>
      </c>
      <c r="C15" s="5"/>
      <c r="D15" s="9"/>
      <c r="E15" s="9"/>
      <c r="F15" s="9"/>
      <c r="G15" s="9"/>
      <c r="H15" s="9"/>
      <c r="I15" s="9"/>
      <c r="J15" s="9"/>
      <c r="K15" s="19" t="str">
        <f aca="false">IF(D15="","",IF(OR(D15="Condensador",D15="DI ativa"),"Sim","Não"))</f>
        <v/>
      </c>
      <c r="L15" s="20" t="str">
        <f aca="false">IF(AND(C15="",D15="",E15=""),"",IF(AND(E15="",D15&lt;&gt;"USB ou rede"),"Falta entrada",IF(AND(E15&lt;&gt;"",$L$4&lt;&gt;"",E15&gt;$L$4),"Entrada inexistente",IF(AND(E15&lt;&gt;"",COUNTIF($E$14:$E$45,E15)&gt;1),"Entrada repetida",IF(D15="","Falta tipo",IF(AND(K15="Sim",F15&lt;&gt;"Sim"),"Falta phantom",IF(AND(K15="Não",F15="Sim"),"Phantom sem uso",IF(I15="LR + grupo","Caminho duplo",IF(OR(I15="",I15="Nenhum"),"Sem destino","OK")))))))))</f>
        <v/>
      </c>
      <c r="M15" s="21" t="str">
        <f aca="false">IF(L15="","",IF(L15="Falta entrada","Anote o conector ligado ao canal",IF(L15="Entrada inexistente","A mesa não tem essa entrada: confira o número",IF(L15="Entrada repetida","Dois canais na mesma entrada: confira o patch e os cabos",IF(L15="Falta tipo","Informe o tipo da fonte",IF(L15="Falta phantom","Ligue o phantom com o canal em mute",IF(L15="Phantom sem uso","Desligue o phantom com o canal em mute",IF(L15="Caminho duplo","Deixe um só caminho até o master: tire o L-R ou o grupo",IF(L15="Sem destino","Enderece o canal ao master ou a um grupo","Manter")))))))))</f>
        <v/>
      </c>
      <c r="N15" s="5"/>
      <c r="P15" s="18" t="n">
        <v>2</v>
      </c>
      <c r="Q15" s="19" t="n">
        <f aca="false">IF(OR($L$4="",P15&gt;$L$4),"",COUNTIF($E$14:$E$45,P15))</f>
        <v>0</v>
      </c>
      <c r="R15" s="19" t="str">
        <f aca="false">IF(Q15="","–",IF(Q15=0,"Livre",IF(Q15=1,"OK","Repetida")))</f>
        <v>Livre</v>
      </c>
    </row>
    <row r="16" customFormat="false" ht="21.75" hidden="false" customHeight="true" outlineLevel="0" collapsed="false">
      <c r="B16" s="18" t="n">
        <v>3</v>
      </c>
      <c r="C16" s="5"/>
      <c r="D16" s="9"/>
      <c r="E16" s="9"/>
      <c r="F16" s="9"/>
      <c r="G16" s="9"/>
      <c r="H16" s="9"/>
      <c r="I16" s="9"/>
      <c r="J16" s="9"/>
      <c r="K16" s="19" t="str">
        <f aca="false">IF(D16="","",IF(OR(D16="Condensador",D16="DI ativa"),"Sim","Não"))</f>
        <v/>
      </c>
      <c r="L16" s="20" t="str">
        <f aca="false">IF(AND(C16="",D16="",E16=""),"",IF(AND(E16="",D16&lt;&gt;"USB ou rede"),"Falta entrada",IF(AND(E16&lt;&gt;"",$L$4&lt;&gt;"",E16&gt;$L$4),"Entrada inexistente",IF(AND(E16&lt;&gt;"",COUNTIF($E$14:$E$45,E16)&gt;1),"Entrada repetida",IF(D16="","Falta tipo",IF(AND(K16="Sim",F16&lt;&gt;"Sim"),"Falta phantom",IF(AND(K16="Não",F16="Sim"),"Phantom sem uso",IF(I16="LR + grupo","Caminho duplo",IF(OR(I16="",I16="Nenhum"),"Sem destino","OK")))))))))</f>
        <v/>
      </c>
      <c r="M16" s="21" t="str">
        <f aca="false">IF(L16="","",IF(L16="Falta entrada","Anote o conector ligado ao canal",IF(L16="Entrada inexistente","A mesa não tem essa entrada: confira o número",IF(L16="Entrada repetida","Dois canais na mesma entrada: confira o patch e os cabos",IF(L16="Falta tipo","Informe o tipo da fonte",IF(L16="Falta phantom","Ligue o phantom com o canal em mute",IF(L16="Phantom sem uso","Desligue o phantom com o canal em mute",IF(L16="Caminho duplo","Deixe um só caminho até o master: tire o L-R ou o grupo",IF(L16="Sem destino","Enderece o canal ao master ou a um grupo","Manter")))))))))</f>
        <v/>
      </c>
      <c r="N16" s="5"/>
      <c r="P16" s="18" t="n">
        <v>3</v>
      </c>
      <c r="Q16" s="19" t="n">
        <f aca="false">IF(OR($L$4="",P16&gt;$L$4),"",COUNTIF($E$14:$E$45,P16))</f>
        <v>0</v>
      </c>
      <c r="R16" s="19" t="str">
        <f aca="false">IF(Q16="","–",IF(Q16=0,"Livre",IF(Q16=1,"OK","Repetida")))</f>
        <v>Livre</v>
      </c>
    </row>
    <row r="17" customFormat="false" ht="21.75" hidden="false" customHeight="true" outlineLevel="0" collapsed="false">
      <c r="B17" s="18" t="n">
        <v>4</v>
      </c>
      <c r="C17" s="5"/>
      <c r="D17" s="9"/>
      <c r="E17" s="9"/>
      <c r="F17" s="9"/>
      <c r="G17" s="9"/>
      <c r="H17" s="9"/>
      <c r="I17" s="9"/>
      <c r="J17" s="9"/>
      <c r="K17" s="19" t="str">
        <f aca="false">IF(D17="","",IF(OR(D17="Condensador",D17="DI ativa"),"Sim","Não"))</f>
        <v/>
      </c>
      <c r="L17" s="20" t="str">
        <f aca="false">IF(AND(C17="",D17="",E17=""),"",IF(AND(E17="",D17&lt;&gt;"USB ou rede"),"Falta entrada",IF(AND(E17&lt;&gt;"",$L$4&lt;&gt;"",E17&gt;$L$4),"Entrada inexistente",IF(AND(E17&lt;&gt;"",COUNTIF($E$14:$E$45,E17)&gt;1),"Entrada repetida",IF(D17="","Falta tipo",IF(AND(K17="Sim",F17&lt;&gt;"Sim"),"Falta phantom",IF(AND(K17="Não",F17="Sim"),"Phantom sem uso",IF(I17="LR + grupo","Caminho duplo",IF(OR(I17="",I17="Nenhum"),"Sem destino","OK")))))))))</f>
        <v/>
      </c>
      <c r="M17" s="21" t="str">
        <f aca="false">IF(L17="","",IF(L17="Falta entrada","Anote o conector ligado ao canal",IF(L17="Entrada inexistente","A mesa não tem essa entrada: confira o número",IF(L17="Entrada repetida","Dois canais na mesma entrada: confira o patch e os cabos",IF(L17="Falta tipo","Informe o tipo da fonte",IF(L17="Falta phantom","Ligue o phantom com o canal em mute",IF(L17="Phantom sem uso","Desligue o phantom com o canal em mute",IF(L17="Caminho duplo","Deixe um só caminho até o master: tire o L-R ou o grupo",IF(L17="Sem destino","Enderece o canal ao master ou a um grupo","Manter")))))))))</f>
        <v/>
      </c>
      <c r="N17" s="5"/>
      <c r="P17" s="18" t="n">
        <v>4</v>
      </c>
      <c r="Q17" s="19" t="n">
        <f aca="false">IF(OR($L$4="",P17&gt;$L$4),"",COUNTIF($E$14:$E$45,P17))</f>
        <v>0</v>
      </c>
      <c r="R17" s="19" t="str">
        <f aca="false">IF(Q17="","–",IF(Q17=0,"Livre",IF(Q17=1,"OK","Repetida")))</f>
        <v>Livre</v>
      </c>
    </row>
    <row r="18" customFormat="false" ht="21.75" hidden="false" customHeight="true" outlineLevel="0" collapsed="false">
      <c r="B18" s="18" t="n">
        <v>5</v>
      </c>
      <c r="C18" s="5"/>
      <c r="D18" s="9"/>
      <c r="E18" s="9"/>
      <c r="F18" s="9"/>
      <c r="G18" s="9"/>
      <c r="H18" s="9"/>
      <c r="I18" s="9"/>
      <c r="J18" s="9"/>
      <c r="K18" s="19" t="str">
        <f aca="false">IF(D18="","",IF(OR(D18="Condensador",D18="DI ativa"),"Sim","Não"))</f>
        <v/>
      </c>
      <c r="L18" s="20" t="str">
        <f aca="false">IF(AND(C18="",D18="",E18=""),"",IF(AND(E18="",D18&lt;&gt;"USB ou rede"),"Falta entrada",IF(AND(E18&lt;&gt;"",$L$4&lt;&gt;"",E18&gt;$L$4),"Entrada inexistente",IF(AND(E18&lt;&gt;"",COUNTIF($E$14:$E$45,E18)&gt;1),"Entrada repetida",IF(D18="","Falta tipo",IF(AND(K18="Sim",F18&lt;&gt;"Sim"),"Falta phantom",IF(AND(K18="Não",F18="Sim"),"Phantom sem uso",IF(I18="LR + grupo","Caminho duplo",IF(OR(I18="",I18="Nenhum"),"Sem destino","OK")))))))))</f>
        <v/>
      </c>
      <c r="M18" s="21" t="str">
        <f aca="false">IF(L18="","",IF(L18="Falta entrada","Anote o conector ligado ao canal",IF(L18="Entrada inexistente","A mesa não tem essa entrada: confira o número",IF(L18="Entrada repetida","Dois canais na mesma entrada: confira o patch e os cabos",IF(L18="Falta tipo","Informe o tipo da fonte",IF(L18="Falta phantom","Ligue o phantom com o canal em mute",IF(L18="Phantom sem uso","Desligue o phantom com o canal em mute",IF(L18="Caminho duplo","Deixe um só caminho até o master: tire o L-R ou o grupo",IF(L18="Sem destino","Enderece o canal ao master ou a um grupo","Manter")))))))))</f>
        <v/>
      </c>
      <c r="N18" s="5"/>
      <c r="P18" s="18" t="n">
        <v>5</v>
      </c>
      <c r="Q18" s="19" t="n">
        <f aca="false">IF(OR($L$4="",P18&gt;$L$4),"",COUNTIF($E$14:$E$45,P18))</f>
        <v>0</v>
      </c>
      <c r="R18" s="19" t="str">
        <f aca="false">IF(Q18="","–",IF(Q18=0,"Livre",IF(Q18=1,"OK","Repetida")))</f>
        <v>Livre</v>
      </c>
    </row>
    <row r="19" customFormat="false" ht="21.75" hidden="false" customHeight="true" outlineLevel="0" collapsed="false">
      <c r="B19" s="18" t="n">
        <v>6</v>
      </c>
      <c r="C19" s="5"/>
      <c r="D19" s="9"/>
      <c r="E19" s="9"/>
      <c r="F19" s="9"/>
      <c r="G19" s="9"/>
      <c r="H19" s="9"/>
      <c r="I19" s="9"/>
      <c r="J19" s="9"/>
      <c r="K19" s="19" t="str">
        <f aca="false">IF(D19="","",IF(OR(D19="Condensador",D19="DI ativa"),"Sim","Não"))</f>
        <v/>
      </c>
      <c r="L19" s="20" t="str">
        <f aca="false">IF(AND(C19="",D19="",E19=""),"",IF(AND(E19="",D19&lt;&gt;"USB ou rede"),"Falta entrada",IF(AND(E19&lt;&gt;"",$L$4&lt;&gt;"",E19&gt;$L$4),"Entrada inexistente",IF(AND(E19&lt;&gt;"",COUNTIF($E$14:$E$45,E19)&gt;1),"Entrada repetida",IF(D19="","Falta tipo",IF(AND(K19="Sim",F19&lt;&gt;"Sim"),"Falta phantom",IF(AND(K19="Não",F19="Sim"),"Phantom sem uso",IF(I19="LR + grupo","Caminho duplo",IF(OR(I19="",I19="Nenhum"),"Sem destino","OK")))))))))</f>
        <v/>
      </c>
      <c r="M19" s="21" t="str">
        <f aca="false">IF(L19="","",IF(L19="Falta entrada","Anote o conector ligado ao canal",IF(L19="Entrada inexistente","A mesa não tem essa entrada: confira o número",IF(L19="Entrada repetida","Dois canais na mesma entrada: confira o patch e os cabos",IF(L19="Falta tipo","Informe o tipo da fonte",IF(L19="Falta phantom","Ligue o phantom com o canal em mute",IF(L19="Phantom sem uso","Desligue o phantom com o canal em mute",IF(L19="Caminho duplo","Deixe um só caminho até o master: tire o L-R ou o grupo",IF(L19="Sem destino","Enderece o canal ao master ou a um grupo","Manter")))))))))</f>
        <v/>
      </c>
      <c r="N19" s="5"/>
      <c r="P19" s="18" t="n">
        <v>6</v>
      </c>
      <c r="Q19" s="19" t="n">
        <f aca="false">IF(OR($L$4="",P19&gt;$L$4),"",COUNTIF($E$14:$E$45,P19))</f>
        <v>0</v>
      </c>
      <c r="R19" s="19" t="str">
        <f aca="false">IF(Q19="","–",IF(Q19=0,"Livre",IF(Q19=1,"OK","Repetida")))</f>
        <v>Livre</v>
      </c>
    </row>
    <row r="20" customFormat="false" ht="21.75" hidden="false" customHeight="true" outlineLevel="0" collapsed="false">
      <c r="B20" s="18" t="n">
        <v>7</v>
      </c>
      <c r="C20" s="5"/>
      <c r="D20" s="9"/>
      <c r="E20" s="9"/>
      <c r="F20" s="9"/>
      <c r="G20" s="9"/>
      <c r="H20" s="9"/>
      <c r="I20" s="9"/>
      <c r="J20" s="9"/>
      <c r="K20" s="19" t="str">
        <f aca="false">IF(D20="","",IF(OR(D20="Condensador",D20="DI ativa"),"Sim","Não"))</f>
        <v/>
      </c>
      <c r="L20" s="20" t="str">
        <f aca="false">IF(AND(C20="",D20="",E20=""),"",IF(AND(E20="",D20&lt;&gt;"USB ou rede"),"Falta entrada",IF(AND(E20&lt;&gt;"",$L$4&lt;&gt;"",E20&gt;$L$4),"Entrada inexistente",IF(AND(E20&lt;&gt;"",COUNTIF($E$14:$E$45,E20)&gt;1),"Entrada repetida",IF(D20="","Falta tipo",IF(AND(K20="Sim",F20&lt;&gt;"Sim"),"Falta phantom",IF(AND(K20="Não",F20="Sim"),"Phantom sem uso",IF(I20="LR + grupo","Caminho duplo",IF(OR(I20="",I20="Nenhum"),"Sem destino","OK")))))))))</f>
        <v/>
      </c>
      <c r="M20" s="21" t="str">
        <f aca="false">IF(L20="","",IF(L20="Falta entrada","Anote o conector ligado ao canal",IF(L20="Entrada inexistente","A mesa não tem essa entrada: confira o número",IF(L20="Entrada repetida","Dois canais na mesma entrada: confira o patch e os cabos",IF(L20="Falta tipo","Informe o tipo da fonte",IF(L20="Falta phantom","Ligue o phantom com o canal em mute",IF(L20="Phantom sem uso","Desligue o phantom com o canal em mute",IF(L20="Caminho duplo","Deixe um só caminho até o master: tire o L-R ou o grupo",IF(L20="Sem destino","Enderece o canal ao master ou a um grupo","Manter")))))))))</f>
        <v/>
      </c>
      <c r="N20" s="5"/>
      <c r="P20" s="18" t="n">
        <v>7</v>
      </c>
      <c r="Q20" s="19" t="n">
        <f aca="false">IF(OR($L$4="",P20&gt;$L$4),"",COUNTIF($E$14:$E$45,P20))</f>
        <v>0</v>
      </c>
      <c r="R20" s="19" t="str">
        <f aca="false">IF(Q20="","–",IF(Q20=0,"Livre",IF(Q20=1,"OK","Repetida")))</f>
        <v>Livre</v>
      </c>
    </row>
    <row r="21" customFormat="false" ht="21.75" hidden="false" customHeight="true" outlineLevel="0" collapsed="false">
      <c r="B21" s="18" t="n">
        <v>8</v>
      </c>
      <c r="C21" s="5"/>
      <c r="D21" s="9"/>
      <c r="E21" s="9"/>
      <c r="F21" s="9"/>
      <c r="G21" s="9"/>
      <c r="H21" s="9"/>
      <c r="I21" s="9"/>
      <c r="J21" s="9"/>
      <c r="K21" s="19" t="str">
        <f aca="false">IF(D21="","",IF(OR(D21="Condensador",D21="DI ativa"),"Sim","Não"))</f>
        <v/>
      </c>
      <c r="L21" s="20" t="str">
        <f aca="false">IF(AND(C21="",D21="",E21=""),"",IF(AND(E21="",D21&lt;&gt;"USB ou rede"),"Falta entrada",IF(AND(E21&lt;&gt;"",$L$4&lt;&gt;"",E21&gt;$L$4),"Entrada inexistente",IF(AND(E21&lt;&gt;"",COUNTIF($E$14:$E$45,E21)&gt;1),"Entrada repetida",IF(D21="","Falta tipo",IF(AND(K21="Sim",F21&lt;&gt;"Sim"),"Falta phantom",IF(AND(K21="Não",F21="Sim"),"Phantom sem uso",IF(I21="LR + grupo","Caminho duplo",IF(OR(I21="",I21="Nenhum"),"Sem destino","OK")))))))))</f>
        <v/>
      </c>
      <c r="M21" s="21" t="str">
        <f aca="false">IF(L21="","",IF(L21="Falta entrada","Anote o conector ligado ao canal",IF(L21="Entrada inexistente","A mesa não tem essa entrada: confira o número",IF(L21="Entrada repetida","Dois canais na mesma entrada: confira o patch e os cabos",IF(L21="Falta tipo","Informe o tipo da fonte",IF(L21="Falta phantom","Ligue o phantom com o canal em mute",IF(L21="Phantom sem uso","Desligue o phantom com o canal em mute",IF(L21="Caminho duplo","Deixe um só caminho até o master: tire o L-R ou o grupo",IF(L21="Sem destino","Enderece o canal ao master ou a um grupo","Manter")))))))))</f>
        <v/>
      </c>
      <c r="N21" s="5"/>
      <c r="P21" s="18" t="n">
        <v>8</v>
      </c>
      <c r="Q21" s="19" t="n">
        <f aca="false">IF(OR($L$4="",P21&gt;$L$4),"",COUNTIF($E$14:$E$45,P21))</f>
        <v>0</v>
      </c>
      <c r="R21" s="19" t="str">
        <f aca="false">IF(Q21="","–",IF(Q21=0,"Livre",IF(Q21=1,"OK","Repetida")))</f>
        <v>Livre</v>
      </c>
    </row>
    <row r="22" customFormat="false" ht="21.75" hidden="false" customHeight="true" outlineLevel="0" collapsed="false">
      <c r="B22" s="18" t="n">
        <v>9</v>
      </c>
      <c r="C22" s="5"/>
      <c r="D22" s="9"/>
      <c r="E22" s="9"/>
      <c r="F22" s="9"/>
      <c r="G22" s="9"/>
      <c r="H22" s="9"/>
      <c r="I22" s="9"/>
      <c r="J22" s="9"/>
      <c r="K22" s="19" t="str">
        <f aca="false">IF(D22="","",IF(OR(D22="Condensador",D22="DI ativa"),"Sim","Não"))</f>
        <v/>
      </c>
      <c r="L22" s="20" t="str">
        <f aca="false">IF(AND(C22="",D22="",E22=""),"",IF(AND(E22="",D22&lt;&gt;"USB ou rede"),"Falta entrada",IF(AND(E22&lt;&gt;"",$L$4&lt;&gt;"",E22&gt;$L$4),"Entrada inexistente",IF(AND(E22&lt;&gt;"",COUNTIF($E$14:$E$45,E22)&gt;1),"Entrada repetida",IF(D22="","Falta tipo",IF(AND(K22="Sim",F22&lt;&gt;"Sim"),"Falta phantom",IF(AND(K22="Não",F22="Sim"),"Phantom sem uso",IF(I22="LR + grupo","Caminho duplo",IF(OR(I22="",I22="Nenhum"),"Sem destino","OK")))))))))</f>
        <v/>
      </c>
      <c r="M22" s="21" t="str">
        <f aca="false">IF(L22="","",IF(L22="Falta entrada","Anote o conector ligado ao canal",IF(L22="Entrada inexistente","A mesa não tem essa entrada: confira o número",IF(L22="Entrada repetida","Dois canais na mesma entrada: confira o patch e os cabos",IF(L22="Falta tipo","Informe o tipo da fonte",IF(L22="Falta phantom","Ligue o phantom com o canal em mute",IF(L22="Phantom sem uso","Desligue o phantom com o canal em mute",IF(L22="Caminho duplo","Deixe um só caminho até o master: tire o L-R ou o grupo",IF(L22="Sem destino","Enderece o canal ao master ou a um grupo","Manter")))))))))</f>
        <v/>
      </c>
      <c r="N22" s="5"/>
      <c r="P22" s="18" t="n">
        <v>9</v>
      </c>
      <c r="Q22" s="19" t="n">
        <f aca="false">IF(OR($L$4="",P22&gt;$L$4),"",COUNTIF($E$14:$E$45,P22))</f>
        <v>0</v>
      </c>
      <c r="R22" s="19" t="str">
        <f aca="false">IF(Q22="","–",IF(Q22=0,"Livre",IF(Q22=1,"OK","Repetida")))</f>
        <v>Livre</v>
      </c>
    </row>
    <row r="23" customFormat="false" ht="21.75" hidden="false" customHeight="true" outlineLevel="0" collapsed="false">
      <c r="B23" s="18" t="n">
        <v>10</v>
      </c>
      <c r="C23" s="5"/>
      <c r="D23" s="9"/>
      <c r="E23" s="9"/>
      <c r="F23" s="9"/>
      <c r="G23" s="9"/>
      <c r="H23" s="9"/>
      <c r="I23" s="9"/>
      <c r="J23" s="9"/>
      <c r="K23" s="19" t="str">
        <f aca="false">IF(D23="","",IF(OR(D23="Condensador",D23="DI ativa"),"Sim","Não"))</f>
        <v/>
      </c>
      <c r="L23" s="20" t="str">
        <f aca="false">IF(AND(C23="",D23="",E23=""),"",IF(AND(E23="",D23&lt;&gt;"USB ou rede"),"Falta entrada",IF(AND(E23&lt;&gt;"",$L$4&lt;&gt;"",E23&gt;$L$4),"Entrada inexistente",IF(AND(E23&lt;&gt;"",COUNTIF($E$14:$E$45,E23)&gt;1),"Entrada repetida",IF(D23="","Falta tipo",IF(AND(K23="Sim",F23&lt;&gt;"Sim"),"Falta phantom",IF(AND(K23="Não",F23="Sim"),"Phantom sem uso",IF(I23="LR + grupo","Caminho duplo",IF(OR(I23="",I23="Nenhum"),"Sem destino","OK")))))))))</f>
        <v/>
      </c>
      <c r="M23" s="21" t="str">
        <f aca="false">IF(L23="","",IF(L23="Falta entrada","Anote o conector ligado ao canal",IF(L23="Entrada inexistente","A mesa não tem essa entrada: confira o número",IF(L23="Entrada repetida","Dois canais na mesma entrada: confira o patch e os cabos",IF(L23="Falta tipo","Informe o tipo da fonte",IF(L23="Falta phantom","Ligue o phantom com o canal em mute",IF(L23="Phantom sem uso","Desligue o phantom com o canal em mute",IF(L23="Caminho duplo","Deixe um só caminho até o master: tire o L-R ou o grupo",IF(L23="Sem destino","Enderece o canal ao master ou a um grupo","Manter")))))))))</f>
        <v/>
      </c>
      <c r="N23" s="5"/>
      <c r="P23" s="18" t="n">
        <v>10</v>
      </c>
      <c r="Q23" s="19" t="n">
        <f aca="false">IF(OR($L$4="",P23&gt;$L$4),"",COUNTIF($E$14:$E$45,P23))</f>
        <v>0</v>
      </c>
      <c r="R23" s="19" t="str">
        <f aca="false">IF(Q23="","–",IF(Q23=0,"Livre",IF(Q23=1,"OK","Repetida")))</f>
        <v>Livre</v>
      </c>
    </row>
    <row r="24" customFormat="false" ht="21.75" hidden="false" customHeight="true" outlineLevel="0" collapsed="false">
      <c r="B24" s="18" t="n">
        <v>11</v>
      </c>
      <c r="C24" s="5"/>
      <c r="D24" s="9"/>
      <c r="E24" s="9"/>
      <c r="F24" s="9"/>
      <c r="G24" s="9"/>
      <c r="H24" s="9"/>
      <c r="I24" s="9"/>
      <c r="J24" s="9"/>
      <c r="K24" s="19" t="str">
        <f aca="false">IF(D24="","",IF(OR(D24="Condensador",D24="DI ativa"),"Sim","Não"))</f>
        <v/>
      </c>
      <c r="L24" s="20" t="str">
        <f aca="false">IF(AND(C24="",D24="",E24=""),"",IF(AND(E24="",D24&lt;&gt;"USB ou rede"),"Falta entrada",IF(AND(E24&lt;&gt;"",$L$4&lt;&gt;"",E24&gt;$L$4),"Entrada inexistente",IF(AND(E24&lt;&gt;"",COUNTIF($E$14:$E$45,E24)&gt;1),"Entrada repetida",IF(D24="","Falta tipo",IF(AND(K24="Sim",F24&lt;&gt;"Sim"),"Falta phantom",IF(AND(K24="Não",F24="Sim"),"Phantom sem uso",IF(I24="LR + grupo","Caminho duplo",IF(OR(I24="",I24="Nenhum"),"Sem destino","OK")))))))))</f>
        <v/>
      </c>
      <c r="M24" s="21" t="str">
        <f aca="false">IF(L24="","",IF(L24="Falta entrada","Anote o conector ligado ao canal",IF(L24="Entrada inexistente","A mesa não tem essa entrada: confira o número",IF(L24="Entrada repetida","Dois canais na mesma entrada: confira o patch e os cabos",IF(L24="Falta tipo","Informe o tipo da fonte",IF(L24="Falta phantom","Ligue o phantom com o canal em mute",IF(L24="Phantom sem uso","Desligue o phantom com o canal em mute",IF(L24="Caminho duplo","Deixe um só caminho até o master: tire o L-R ou o grupo",IF(L24="Sem destino","Enderece o canal ao master ou a um grupo","Manter")))))))))</f>
        <v/>
      </c>
      <c r="N24" s="5"/>
      <c r="P24" s="18" t="n">
        <v>11</v>
      </c>
      <c r="Q24" s="19" t="n">
        <f aca="false">IF(OR($L$4="",P24&gt;$L$4),"",COUNTIF($E$14:$E$45,P24))</f>
        <v>0</v>
      </c>
      <c r="R24" s="19" t="str">
        <f aca="false">IF(Q24="","–",IF(Q24=0,"Livre",IF(Q24=1,"OK","Repetida")))</f>
        <v>Livre</v>
      </c>
    </row>
    <row r="25" customFormat="false" ht="21.75" hidden="false" customHeight="true" outlineLevel="0" collapsed="false">
      <c r="B25" s="18" t="n">
        <v>12</v>
      </c>
      <c r="C25" s="5"/>
      <c r="D25" s="9"/>
      <c r="E25" s="9"/>
      <c r="F25" s="9"/>
      <c r="G25" s="9"/>
      <c r="H25" s="9"/>
      <c r="I25" s="9"/>
      <c r="J25" s="9"/>
      <c r="K25" s="19" t="str">
        <f aca="false">IF(D25="","",IF(OR(D25="Condensador",D25="DI ativa"),"Sim","Não"))</f>
        <v/>
      </c>
      <c r="L25" s="20" t="str">
        <f aca="false">IF(AND(C25="",D25="",E25=""),"",IF(AND(E25="",D25&lt;&gt;"USB ou rede"),"Falta entrada",IF(AND(E25&lt;&gt;"",$L$4&lt;&gt;"",E25&gt;$L$4),"Entrada inexistente",IF(AND(E25&lt;&gt;"",COUNTIF($E$14:$E$45,E25)&gt;1),"Entrada repetida",IF(D25="","Falta tipo",IF(AND(K25="Sim",F25&lt;&gt;"Sim"),"Falta phantom",IF(AND(K25="Não",F25="Sim"),"Phantom sem uso",IF(I25="LR + grupo","Caminho duplo",IF(OR(I25="",I25="Nenhum"),"Sem destino","OK")))))))))</f>
        <v/>
      </c>
      <c r="M25" s="21" t="str">
        <f aca="false">IF(L25="","",IF(L25="Falta entrada","Anote o conector ligado ao canal",IF(L25="Entrada inexistente","A mesa não tem essa entrada: confira o número",IF(L25="Entrada repetida","Dois canais na mesma entrada: confira o patch e os cabos",IF(L25="Falta tipo","Informe o tipo da fonte",IF(L25="Falta phantom","Ligue o phantom com o canal em mute",IF(L25="Phantom sem uso","Desligue o phantom com o canal em mute",IF(L25="Caminho duplo","Deixe um só caminho até o master: tire o L-R ou o grupo",IF(L25="Sem destino","Enderece o canal ao master ou a um grupo","Manter")))))))))</f>
        <v/>
      </c>
      <c r="N25" s="5"/>
      <c r="P25" s="18" t="n">
        <v>12</v>
      </c>
      <c r="Q25" s="19" t="n">
        <f aca="false">IF(OR($L$4="",P25&gt;$L$4),"",COUNTIF($E$14:$E$45,P25))</f>
        <v>0</v>
      </c>
      <c r="R25" s="19" t="str">
        <f aca="false">IF(Q25="","–",IF(Q25=0,"Livre",IF(Q25=1,"OK","Repetida")))</f>
        <v>Livre</v>
      </c>
    </row>
    <row r="26" customFormat="false" ht="21.75" hidden="false" customHeight="true" outlineLevel="0" collapsed="false">
      <c r="B26" s="18" t="n">
        <v>13</v>
      </c>
      <c r="C26" s="5"/>
      <c r="D26" s="9"/>
      <c r="E26" s="9"/>
      <c r="F26" s="9"/>
      <c r="G26" s="9"/>
      <c r="H26" s="9"/>
      <c r="I26" s="9"/>
      <c r="J26" s="9"/>
      <c r="K26" s="19" t="str">
        <f aca="false">IF(D26="","",IF(OR(D26="Condensador",D26="DI ativa"),"Sim","Não"))</f>
        <v/>
      </c>
      <c r="L26" s="20" t="str">
        <f aca="false">IF(AND(C26="",D26="",E26=""),"",IF(AND(E26="",D26&lt;&gt;"USB ou rede"),"Falta entrada",IF(AND(E26&lt;&gt;"",$L$4&lt;&gt;"",E26&gt;$L$4),"Entrada inexistente",IF(AND(E26&lt;&gt;"",COUNTIF($E$14:$E$45,E26)&gt;1),"Entrada repetida",IF(D26="","Falta tipo",IF(AND(K26="Sim",F26&lt;&gt;"Sim"),"Falta phantom",IF(AND(K26="Não",F26="Sim"),"Phantom sem uso",IF(I26="LR + grupo","Caminho duplo",IF(OR(I26="",I26="Nenhum"),"Sem destino","OK")))))))))</f>
        <v/>
      </c>
      <c r="M26" s="21" t="str">
        <f aca="false">IF(L26="","",IF(L26="Falta entrada","Anote o conector ligado ao canal",IF(L26="Entrada inexistente","A mesa não tem essa entrada: confira o número",IF(L26="Entrada repetida","Dois canais na mesma entrada: confira o patch e os cabos",IF(L26="Falta tipo","Informe o tipo da fonte",IF(L26="Falta phantom","Ligue o phantom com o canal em mute",IF(L26="Phantom sem uso","Desligue o phantom com o canal em mute",IF(L26="Caminho duplo","Deixe um só caminho até o master: tire o L-R ou o grupo",IF(L26="Sem destino","Enderece o canal ao master ou a um grupo","Manter")))))))))</f>
        <v/>
      </c>
      <c r="N26" s="5"/>
      <c r="P26" s="18" t="n">
        <v>13</v>
      </c>
      <c r="Q26" s="19" t="n">
        <f aca="false">IF(OR($L$4="",P26&gt;$L$4),"",COUNTIF($E$14:$E$45,P26))</f>
        <v>0</v>
      </c>
      <c r="R26" s="19" t="str">
        <f aca="false">IF(Q26="","–",IF(Q26=0,"Livre",IF(Q26=1,"OK","Repetida")))</f>
        <v>Livre</v>
      </c>
    </row>
    <row r="27" customFormat="false" ht="21.75" hidden="false" customHeight="true" outlineLevel="0" collapsed="false">
      <c r="B27" s="18" t="n">
        <v>14</v>
      </c>
      <c r="C27" s="5"/>
      <c r="D27" s="9"/>
      <c r="E27" s="9"/>
      <c r="F27" s="9"/>
      <c r="G27" s="9"/>
      <c r="H27" s="9"/>
      <c r="I27" s="9"/>
      <c r="J27" s="9"/>
      <c r="K27" s="19" t="str">
        <f aca="false">IF(D27="","",IF(OR(D27="Condensador",D27="DI ativa"),"Sim","Não"))</f>
        <v/>
      </c>
      <c r="L27" s="20" t="str">
        <f aca="false">IF(AND(C27="",D27="",E27=""),"",IF(AND(E27="",D27&lt;&gt;"USB ou rede"),"Falta entrada",IF(AND(E27&lt;&gt;"",$L$4&lt;&gt;"",E27&gt;$L$4),"Entrada inexistente",IF(AND(E27&lt;&gt;"",COUNTIF($E$14:$E$45,E27)&gt;1),"Entrada repetida",IF(D27="","Falta tipo",IF(AND(K27="Sim",F27&lt;&gt;"Sim"),"Falta phantom",IF(AND(K27="Não",F27="Sim"),"Phantom sem uso",IF(I27="LR + grupo","Caminho duplo",IF(OR(I27="",I27="Nenhum"),"Sem destino","OK")))))))))</f>
        <v/>
      </c>
      <c r="M27" s="21" t="str">
        <f aca="false">IF(L27="","",IF(L27="Falta entrada","Anote o conector ligado ao canal",IF(L27="Entrada inexistente","A mesa não tem essa entrada: confira o número",IF(L27="Entrada repetida","Dois canais na mesma entrada: confira o patch e os cabos",IF(L27="Falta tipo","Informe o tipo da fonte",IF(L27="Falta phantom","Ligue o phantom com o canal em mute",IF(L27="Phantom sem uso","Desligue o phantom com o canal em mute",IF(L27="Caminho duplo","Deixe um só caminho até o master: tire o L-R ou o grupo",IF(L27="Sem destino","Enderece o canal ao master ou a um grupo","Manter")))))))))</f>
        <v/>
      </c>
      <c r="N27" s="5"/>
      <c r="P27" s="18" t="n">
        <v>14</v>
      </c>
      <c r="Q27" s="19" t="n">
        <f aca="false">IF(OR($L$4="",P27&gt;$L$4),"",COUNTIF($E$14:$E$45,P27))</f>
        <v>0</v>
      </c>
      <c r="R27" s="19" t="str">
        <f aca="false">IF(Q27="","–",IF(Q27=0,"Livre",IF(Q27=1,"OK","Repetida")))</f>
        <v>Livre</v>
      </c>
    </row>
    <row r="28" customFormat="false" ht="21.75" hidden="false" customHeight="true" outlineLevel="0" collapsed="false">
      <c r="B28" s="18" t="n">
        <v>15</v>
      </c>
      <c r="C28" s="5"/>
      <c r="D28" s="9"/>
      <c r="E28" s="9"/>
      <c r="F28" s="9"/>
      <c r="G28" s="9"/>
      <c r="H28" s="9"/>
      <c r="I28" s="9"/>
      <c r="J28" s="9"/>
      <c r="K28" s="19" t="str">
        <f aca="false">IF(D28="","",IF(OR(D28="Condensador",D28="DI ativa"),"Sim","Não"))</f>
        <v/>
      </c>
      <c r="L28" s="20" t="str">
        <f aca="false">IF(AND(C28="",D28="",E28=""),"",IF(AND(E28="",D28&lt;&gt;"USB ou rede"),"Falta entrada",IF(AND(E28&lt;&gt;"",$L$4&lt;&gt;"",E28&gt;$L$4),"Entrada inexistente",IF(AND(E28&lt;&gt;"",COUNTIF($E$14:$E$45,E28)&gt;1),"Entrada repetida",IF(D28="","Falta tipo",IF(AND(K28="Sim",F28&lt;&gt;"Sim"),"Falta phantom",IF(AND(K28="Não",F28="Sim"),"Phantom sem uso",IF(I28="LR + grupo","Caminho duplo",IF(OR(I28="",I28="Nenhum"),"Sem destino","OK")))))))))</f>
        <v/>
      </c>
      <c r="M28" s="21" t="str">
        <f aca="false">IF(L28="","",IF(L28="Falta entrada","Anote o conector ligado ao canal",IF(L28="Entrada inexistente","A mesa não tem essa entrada: confira o número",IF(L28="Entrada repetida","Dois canais na mesma entrada: confira o patch e os cabos",IF(L28="Falta tipo","Informe o tipo da fonte",IF(L28="Falta phantom","Ligue o phantom com o canal em mute",IF(L28="Phantom sem uso","Desligue o phantom com o canal em mute",IF(L28="Caminho duplo","Deixe um só caminho até o master: tire o L-R ou o grupo",IF(L28="Sem destino","Enderece o canal ao master ou a um grupo","Manter")))))))))</f>
        <v/>
      </c>
      <c r="N28" s="5"/>
      <c r="P28" s="18" t="n">
        <v>15</v>
      </c>
      <c r="Q28" s="19" t="n">
        <f aca="false">IF(OR($L$4="",P28&gt;$L$4),"",COUNTIF($E$14:$E$45,P28))</f>
        <v>0</v>
      </c>
      <c r="R28" s="19" t="str">
        <f aca="false">IF(Q28="","–",IF(Q28=0,"Livre",IF(Q28=1,"OK","Repetida")))</f>
        <v>Livre</v>
      </c>
    </row>
    <row r="29" customFormat="false" ht="21.75" hidden="false" customHeight="true" outlineLevel="0" collapsed="false">
      <c r="B29" s="18" t="n">
        <v>16</v>
      </c>
      <c r="C29" s="5"/>
      <c r="D29" s="9"/>
      <c r="E29" s="9"/>
      <c r="F29" s="9"/>
      <c r="G29" s="9"/>
      <c r="H29" s="9"/>
      <c r="I29" s="9"/>
      <c r="J29" s="9"/>
      <c r="K29" s="19" t="str">
        <f aca="false">IF(D29="","",IF(OR(D29="Condensador",D29="DI ativa"),"Sim","Não"))</f>
        <v/>
      </c>
      <c r="L29" s="20" t="str">
        <f aca="false">IF(AND(C29="",D29="",E29=""),"",IF(AND(E29="",D29&lt;&gt;"USB ou rede"),"Falta entrada",IF(AND(E29&lt;&gt;"",$L$4&lt;&gt;"",E29&gt;$L$4),"Entrada inexistente",IF(AND(E29&lt;&gt;"",COUNTIF($E$14:$E$45,E29)&gt;1),"Entrada repetida",IF(D29="","Falta tipo",IF(AND(K29="Sim",F29&lt;&gt;"Sim"),"Falta phantom",IF(AND(K29="Não",F29="Sim"),"Phantom sem uso",IF(I29="LR + grupo","Caminho duplo",IF(OR(I29="",I29="Nenhum"),"Sem destino","OK")))))))))</f>
        <v/>
      </c>
      <c r="M29" s="21" t="str">
        <f aca="false">IF(L29="","",IF(L29="Falta entrada","Anote o conector ligado ao canal",IF(L29="Entrada inexistente","A mesa não tem essa entrada: confira o número",IF(L29="Entrada repetida","Dois canais na mesma entrada: confira o patch e os cabos",IF(L29="Falta tipo","Informe o tipo da fonte",IF(L29="Falta phantom","Ligue o phantom com o canal em mute",IF(L29="Phantom sem uso","Desligue o phantom com o canal em mute",IF(L29="Caminho duplo","Deixe um só caminho até o master: tire o L-R ou o grupo",IF(L29="Sem destino","Enderece o canal ao master ou a um grupo","Manter")))))))))</f>
        <v/>
      </c>
      <c r="N29" s="5"/>
      <c r="P29" s="18" t="n">
        <v>16</v>
      </c>
      <c r="Q29" s="19" t="n">
        <f aca="false">IF(OR($L$4="",P29&gt;$L$4),"",COUNTIF($E$14:$E$45,P29))</f>
        <v>0</v>
      </c>
      <c r="R29" s="19" t="str">
        <f aca="false">IF(Q29="","–",IF(Q29=0,"Livre",IF(Q29=1,"OK","Repetida")))</f>
        <v>Livre</v>
      </c>
    </row>
    <row r="30" customFormat="false" ht="21.75" hidden="false" customHeight="true" outlineLevel="0" collapsed="false">
      <c r="B30" s="18" t="n">
        <v>17</v>
      </c>
      <c r="C30" s="5"/>
      <c r="D30" s="9"/>
      <c r="E30" s="9"/>
      <c r="F30" s="9"/>
      <c r="G30" s="9"/>
      <c r="H30" s="9"/>
      <c r="I30" s="9"/>
      <c r="J30" s="9"/>
      <c r="K30" s="19" t="str">
        <f aca="false">IF(D30="","",IF(OR(D30="Condensador",D30="DI ativa"),"Sim","Não"))</f>
        <v/>
      </c>
      <c r="L30" s="20" t="str">
        <f aca="false">IF(AND(C30="",D30="",E30=""),"",IF(AND(E30="",D30&lt;&gt;"USB ou rede"),"Falta entrada",IF(AND(E30&lt;&gt;"",$L$4&lt;&gt;"",E30&gt;$L$4),"Entrada inexistente",IF(AND(E30&lt;&gt;"",COUNTIF($E$14:$E$45,E30)&gt;1),"Entrada repetida",IF(D30="","Falta tipo",IF(AND(K30="Sim",F30&lt;&gt;"Sim"),"Falta phantom",IF(AND(K30="Não",F30="Sim"),"Phantom sem uso",IF(I30="LR + grupo","Caminho duplo",IF(OR(I30="",I30="Nenhum"),"Sem destino","OK")))))))))</f>
        <v/>
      </c>
      <c r="M30" s="21" t="str">
        <f aca="false">IF(L30="","",IF(L30="Falta entrada","Anote o conector ligado ao canal",IF(L30="Entrada inexistente","A mesa não tem essa entrada: confira o número",IF(L30="Entrada repetida","Dois canais na mesma entrada: confira o patch e os cabos",IF(L30="Falta tipo","Informe o tipo da fonte",IF(L30="Falta phantom","Ligue o phantom com o canal em mute",IF(L30="Phantom sem uso","Desligue o phantom com o canal em mute",IF(L30="Caminho duplo","Deixe um só caminho até o master: tire o L-R ou o grupo",IF(L30="Sem destino","Enderece o canal ao master ou a um grupo","Manter")))))))))</f>
        <v/>
      </c>
      <c r="N30" s="5"/>
      <c r="P30" s="18" t="n">
        <v>17</v>
      </c>
      <c r="Q30" s="19" t="str">
        <f aca="false">IF(OR($L$4="",P30&gt;$L$4),"",COUNTIF($E$14:$E$45,P30))</f>
        <v/>
      </c>
      <c r="R30" s="19" t="str">
        <f aca="false">IF(Q30="","–",IF(Q30=0,"Livre",IF(Q30=1,"OK","Repetida")))</f>
        <v>–</v>
      </c>
    </row>
    <row r="31" customFormat="false" ht="21.75" hidden="false" customHeight="true" outlineLevel="0" collapsed="false">
      <c r="B31" s="18" t="n">
        <v>18</v>
      </c>
      <c r="C31" s="5"/>
      <c r="D31" s="9"/>
      <c r="E31" s="9"/>
      <c r="F31" s="9"/>
      <c r="G31" s="9"/>
      <c r="H31" s="9"/>
      <c r="I31" s="9"/>
      <c r="J31" s="9"/>
      <c r="K31" s="19" t="str">
        <f aca="false">IF(D31="","",IF(OR(D31="Condensador",D31="DI ativa"),"Sim","Não"))</f>
        <v/>
      </c>
      <c r="L31" s="20" t="str">
        <f aca="false">IF(AND(C31="",D31="",E31=""),"",IF(AND(E31="",D31&lt;&gt;"USB ou rede"),"Falta entrada",IF(AND(E31&lt;&gt;"",$L$4&lt;&gt;"",E31&gt;$L$4),"Entrada inexistente",IF(AND(E31&lt;&gt;"",COUNTIF($E$14:$E$45,E31)&gt;1),"Entrada repetida",IF(D31="","Falta tipo",IF(AND(K31="Sim",F31&lt;&gt;"Sim"),"Falta phantom",IF(AND(K31="Não",F31="Sim"),"Phantom sem uso",IF(I31="LR + grupo","Caminho duplo",IF(OR(I31="",I31="Nenhum"),"Sem destino","OK")))))))))</f>
        <v/>
      </c>
      <c r="M31" s="21" t="str">
        <f aca="false">IF(L31="","",IF(L31="Falta entrada","Anote o conector ligado ao canal",IF(L31="Entrada inexistente","A mesa não tem essa entrada: confira o número",IF(L31="Entrada repetida","Dois canais na mesma entrada: confira o patch e os cabos",IF(L31="Falta tipo","Informe o tipo da fonte",IF(L31="Falta phantom","Ligue o phantom com o canal em mute",IF(L31="Phantom sem uso","Desligue o phantom com o canal em mute",IF(L31="Caminho duplo","Deixe um só caminho até o master: tire o L-R ou o grupo",IF(L31="Sem destino","Enderece o canal ao master ou a um grupo","Manter")))))))))</f>
        <v/>
      </c>
      <c r="N31" s="5"/>
      <c r="P31" s="18" t="n">
        <v>18</v>
      </c>
      <c r="Q31" s="19" t="str">
        <f aca="false">IF(OR($L$4="",P31&gt;$L$4),"",COUNTIF($E$14:$E$45,P31))</f>
        <v/>
      </c>
      <c r="R31" s="19" t="str">
        <f aca="false">IF(Q31="","–",IF(Q31=0,"Livre",IF(Q31=1,"OK","Repetida")))</f>
        <v>–</v>
      </c>
    </row>
    <row r="32" customFormat="false" ht="21.75" hidden="false" customHeight="true" outlineLevel="0" collapsed="false">
      <c r="B32" s="18" t="n">
        <v>19</v>
      </c>
      <c r="C32" s="5"/>
      <c r="D32" s="9"/>
      <c r="E32" s="9"/>
      <c r="F32" s="9"/>
      <c r="G32" s="9"/>
      <c r="H32" s="9"/>
      <c r="I32" s="9"/>
      <c r="J32" s="9"/>
      <c r="K32" s="19" t="str">
        <f aca="false">IF(D32="","",IF(OR(D32="Condensador",D32="DI ativa"),"Sim","Não"))</f>
        <v/>
      </c>
      <c r="L32" s="20" t="str">
        <f aca="false">IF(AND(C32="",D32="",E32=""),"",IF(AND(E32="",D32&lt;&gt;"USB ou rede"),"Falta entrada",IF(AND(E32&lt;&gt;"",$L$4&lt;&gt;"",E32&gt;$L$4),"Entrada inexistente",IF(AND(E32&lt;&gt;"",COUNTIF($E$14:$E$45,E32)&gt;1),"Entrada repetida",IF(D32="","Falta tipo",IF(AND(K32="Sim",F32&lt;&gt;"Sim"),"Falta phantom",IF(AND(K32="Não",F32="Sim"),"Phantom sem uso",IF(I32="LR + grupo","Caminho duplo",IF(OR(I32="",I32="Nenhum"),"Sem destino","OK")))))))))</f>
        <v/>
      </c>
      <c r="M32" s="21" t="str">
        <f aca="false">IF(L32="","",IF(L32="Falta entrada","Anote o conector ligado ao canal",IF(L32="Entrada inexistente","A mesa não tem essa entrada: confira o número",IF(L32="Entrada repetida","Dois canais na mesma entrada: confira o patch e os cabos",IF(L32="Falta tipo","Informe o tipo da fonte",IF(L32="Falta phantom","Ligue o phantom com o canal em mute",IF(L32="Phantom sem uso","Desligue o phantom com o canal em mute",IF(L32="Caminho duplo","Deixe um só caminho até o master: tire o L-R ou o grupo",IF(L32="Sem destino","Enderece o canal ao master ou a um grupo","Manter")))))))))</f>
        <v/>
      </c>
      <c r="N32" s="5"/>
      <c r="P32" s="18" t="n">
        <v>19</v>
      </c>
      <c r="Q32" s="19" t="str">
        <f aca="false">IF(OR($L$4="",P32&gt;$L$4),"",COUNTIF($E$14:$E$45,P32))</f>
        <v/>
      </c>
      <c r="R32" s="19" t="str">
        <f aca="false">IF(Q32="","–",IF(Q32=0,"Livre",IF(Q32=1,"OK","Repetida")))</f>
        <v>–</v>
      </c>
    </row>
    <row r="33" customFormat="false" ht="21.75" hidden="false" customHeight="true" outlineLevel="0" collapsed="false">
      <c r="B33" s="18" t="n">
        <v>20</v>
      </c>
      <c r="C33" s="5"/>
      <c r="D33" s="9"/>
      <c r="E33" s="9"/>
      <c r="F33" s="9"/>
      <c r="G33" s="9"/>
      <c r="H33" s="9"/>
      <c r="I33" s="9"/>
      <c r="J33" s="9"/>
      <c r="K33" s="19" t="str">
        <f aca="false">IF(D33="","",IF(OR(D33="Condensador",D33="DI ativa"),"Sim","Não"))</f>
        <v/>
      </c>
      <c r="L33" s="20" t="str">
        <f aca="false">IF(AND(C33="",D33="",E33=""),"",IF(AND(E33="",D33&lt;&gt;"USB ou rede"),"Falta entrada",IF(AND(E33&lt;&gt;"",$L$4&lt;&gt;"",E33&gt;$L$4),"Entrada inexistente",IF(AND(E33&lt;&gt;"",COUNTIF($E$14:$E$45,E33)&gt;1),"Entrada repetida",IF(D33="","Falta tipo",IF(AND(K33="Sim",F33&lt;&gt;"Sim"),"Falta phantom",IF(AND(K33="Não",F33="Sim"),"Phantom sem uso",IF(I33="LR + grupo","Caminho duplo",IF(OR(I33="",I33="Nenhum"),"Sem destino","OK")))))))))</f>
        <v/>
      </c>
      <c r="M33" s="21" t="str">
        <f aca="false">IF(L33="","",IF(L33="Falta entrada","Anote o conector ligado ao canal",IF(L33="Entrada inexistente","A mesa não tem essa entrada: confira o número",IF(L33="Entrada repetida","Dois canais na mesma entrada: confira o patch e os cabos",IF(L33="Falta tipo","Informe o tipo da fonte",IF(L33="Falta phantom","Ligue o phantom com o canal em mute",IF(L33="Phantom sem uso","Desligue o phantom com o canal em mute",IF(L33="Caminho duplo","Deixe um só caminho até o master: tire o L-R ou o grupo",IF(L33="Sem destino","Enderece o canal ao master ou a um grupo","Manter")))))))))</f>
        <v/>
      </c>
      <c r="N33" s="5"/>
      <c r="P33" s="18" t="n">
        <v>20</v>
      </c>
      <c r="Q33" s="19" t="str">
        <f aca="false">IF(OR($L$4="",P33&gt;$L$4),"",COUNTIF($E$14:$E$45,P33))</f>
        <v/>
      </c>
      <c r="R33" s="19" t="str">
        <f aca="false">IF(Q33="","–",IF(Q33=0,"Livre",IF(Q33=1,"OK","Repetida")))</f>
        <v>–</v>
      </c>
    </row>
    <row r="34" customFormat="false" ht="21.75" hidden="false" customHeight="true" outlineLevel="0" collapsed="false">
      <c r="B34" s="18" t="n">
        <v>21</v>
      </c>
      <c r="C34" s="5"/>
      <c r="D34" s="9"/>
      <c r="E34" s="9"/>
      <c r="F34" s="9"/>
      <c r="G34" s="9"/>
      <c r="H34" s="9"/>
      <c r="I34" s="9"/>
      <c r="J34" s="9"/>
      <c r="K34" s="19" t="str">
        <f aca="false">IF(D34="","",IF(OR(D34="Condensador",D34="DI ativa"),"Sim","Não"))</f>
        <v/>
      </c>
      <c r="L34" s="20" t="str">
        <f aca="false">IF(AND(C34="",D34="",E34=""),"",IF(AND(E34="",D34&lt;&gt;"USB ou rede"),"Falta entrada",IF(AND(E34&lt;&gt;"",$L$4&lt;&gt;"",E34&gt;$L$4),"Entrada inexistente",IF(AND(E34&lt;&gt;"",COUNTIF($E$14:$E$45,E34)&gt;1),"Entrada repetida",IF(D34="","Falta tipo",IF(AND(K34="Sim",F34&lt;&gt;"Sim"),"Falta phantom",IF(AND(K34="Não",F34="Sim"),"Phantom sem uso",IF(I34="LR + grupo","Caminho duplo",IF(OR(I34="",I34="Nenhum"),"Sem destino","OK")))))))))</f>
        <v/>
      </c>
      <c r="M34" s="21" t="str">
        <f aca="false">IF(L34="","",IF(L34="Falta entrada","Anote o conector ligado ao canal",IF(L34="Entrada inexistente","A mesa não tem essa entrada: confira o número",IF(L34="Entrada repetida","Dois canais na mesma entrada: confira o patch e os cabos",IF(L34="Falta tipo","Informe o tipo da fonte",IF(L34="Falta phantom","Ligue o phantom com o canal em mute",IF(L34="Phantom sem uso","Desligue o phantom com o canal em mute",IF(L34="Caminho duplo","Deixe um só caminho até o master: tire o L-R ou o grupo",IF(L34="Sem destino","Enderece o canal ao master ou a um grupo","Manter")))))))))</f>
        <v/>
      </c>
      <c r="N34" s="5"/>
      <c r="P34" s="18" t="n">
        <v>21</v>
      </c>
      <c r="Q34" s="19" t="str">
        <f aca="false">IF(OR($L$4="",P34&gt;$L$4),"",COUNTIF($E$14:$E$45,P34))</f>
        <v/>
      </c>
      <c r="R34" s="19" t="str">
        <f aca="false">IF(Q34="","–",IF(Q34=0,"Livre",IF(Q34=1,"OK","Repetida")))</f>
        <v>–</v>
      </c>
    </row>
    <row r="35" customFormat="false" ht="21.75" hidden="false" customHeight="true" outlineLevel="0" collapsed="false">
      <c r="B35" s="18" t="n">
        <v>22</v>
      </c>
      <c r="C35" s="5"/>
      <c r="D35" s="9"/>
      <c r="E35" s="9"/>
      <c r="F35" s="9"/>
      <c r="G35" s="9"/>
      <c r="H35" s="9"/>
      <c r="I35" s="9"/>
      <c r="J35" s="9"/>
      <c r="K35" s="19" t="str">
        <f aca="false">IF(D35="","",IF(OR(D35="Condensador",D35="DI ativa"),"Sim","Não"))</f>
        <v/>
      </c>
      <c r="L35" s="20" t="str">
        <f aca="false">IF(AND(C35="",D35="",E35=""),"",IF(AND(E35="",D35&lt;&gt;"USB ou rede"),"Falta entrada",IF(AND(E35&lt;&gt;"",$L$4&lt;&gt;"",E35&gt;$L$4),"Entrada inexistente",IF(AND(E35&lt;&gt;"",COUNTIF($E$14:$E$45,E35)&gt;1),"Entrada repetida",IF(D35="","Falta tipo",IF(AND(K35="Sim",F35&lt;&gt;"Sim"),"Falta phantom",IF(AND(K35="Não",F35="Sim"),"Phantom sem uso",IF(I35="LR + grupo","Caminho duplo",IF(OR(I35="",I35="Nenhum"),"Sem destino","OK")))))))))</f>
        <v/>
      </c>
      <c r="M35" s="21" t="str">
        <f aca="false">IF(L35="","",IF(L35="Falta entrada","Anote o conector ligado ao canal",IF(L35="Entrada inexistente","A mesa não tem essa entrada: confira o número",IF(L35="Entrada repetida","Dois canais na mesma entrada: confira o patch e os cabos",IF(L35="Falta tipo","Informe o tipo da fonte",IF(L35="Falta phantom","Ligue o phantom com o canal em mute",IF(L35="Phantom sem uso","Desligue o phantom com o canal em mute",IF(L35="Caminho duplo","Deixe um só caminho até o master: tire o L-R ou o grupo",IF(L35="Sem destino","Enderece o canal ao master ou a um grupo","Manter")))))))))</f>
        <v/>
      </c>
      <c r="N35" s="5"/>
      <c r="P35" s="18" t="n">
        <v>22</v>
      </c>
      <c r="Q35" s="19" t="str">
        <f aca="false">IF(OR($L$4="",P35&gt;$L$4),"",COUNTIF($E$14:$E$45,P35))</f>
        <v/>
      </c>
      <c r="R35" s="19" t="str">
        <f aca="false">IF(Q35="","–",IF(Q35=0,"Livre",IF(Q35=1,"OK","Repetida")))</f>
        <v>–</v>
      </c>
    </row>
    <row r="36" customFormat="false" ht="21.75" hidden="false" customHeight="true" outlineLevel="0" collapsed="false">
      <c r="B36" s="18" t="n">
        <v>23</v>
      </c>
      <c r="C36" s="5"/>
      <c r="D36" s="9"/>
      <c r="E36" s="9"/>
      <c r="F36" s="9"/>
      <c r="G36" s="9"/>
      <c r="H36" s="9"/>
      <c r="I36" s="9"/>
      <c r="J36" s="9"/>
      <c r="K36" s="19" t="str">
        <f aca="false">IF(D36="","",IF(OR(D36="Condensador",D36="DI ativa"),"Sim","Não"))</f>
        <v/>
      </c>
      <c r="L36" s="20" t="str">
        <f aca="false">IF(AND(C36="",D36="",E36=""),"",IF(AND(E36="",D36&lt;&gt;"USB ou rede"),"Falta entrada",IF(AND(E36&lt;&gt;"",$L$4&lt;&gt;"",E36&gt;$L$4),"Entrada inexistente",IF(AND(E36&lt;&gt;"",COUNTIF($E$14:$E$45,E36)&gt;1),"Entrada repetida",IF(D36="","Falta tipo",IF(AND(K36="Sim",F36&lt;&gt;"Sim"),"Falta phantom",IF(AND(K36="Não",F36="Sim"),"Phantom sem uso",IF(I36="LR + grupo","Caminho duplo",IF(OR(I36="",I36="Nenhum"),"Sem destino","OK")))))))))</f>
        <v/>
      </c>
      <c r="M36" s="21" t="str">
        <f aca="false">IF(L36="","",IF(L36="Falta entrada","Anote o conector ligado ao canal",IF(L36="Entrada inexistente","A mesa não tem essa entrada: confira o número",IF(L36="Entrada repetida","Dois canais na mesma entrada: confira o patch e os cabos",IF(L36="Falta tipo","Informe o tipo da fonte",IF(L36="Falta phantom","Ligue o phantom com o canal em mute",IF(L36="Phantom sem uso","Desligue o phantom com o canal em mute",IF(L36="Caminho duplo","Deixe um só caminho até o master: tire o L-R ou o grupo",IF(L36="Sem destino","Enderece o canal ao master ou a um grupo","Manter")))))))))</f>
        <v/>
      </c>
      <c r="N36" s="5"/>
      <c r="P36" s="18" t="n">
        <v>23</v>
      </c>
      <c r="Q36" s="19" t="str">
        <f aca="false">IF(OR($L$4="",P36&gt;$L$4),"",COUNTIF($E$14:$E$45,P36))</f>
        <v/>
      </c>
      <c r="R36" s="19" t="str">
        <f aca="false">IF(Q36="","–",IF(Q36=0,"Livre",IF(Q36=1,"OK","Repetida")))</f>
        <v>–</v>
      </c>
    </row>
    <row r="37" customFormat="false" ht="21.75" hidden="false" customHeight="true" outlineLevel="0" collapsed="false">
      <c r="B37" s="18" t="n">
        <v>24</v>
      </c>
      <c r="C37" s="5"/>
      <c r="D37" s="9"/>
      <c r="E37" s="9"/>
      <c r="F37" s="9"/>
      <c r="G37" s="9"/>
      <c r="H37" s="9"/>
      <c r="I37" s="9"/>
      <c r="J37" s="9"/>
      <c r="K37" s="19" t="str">
        <f aca="false">IF(D37="","",IF(OR(D37="Condensador",D37="DI ativa"),"Sim","Não"))</f>
        <v/>
      </c>
      <c r="L37" s="20" t="str">
        <f aca="false">IF(AND(C37="",D37="",E37=""),"",IF(AND(E37="",D37&lt;&gt;"USB ou rede"),"Falta entrada",IF(AND(E37&lt;&gt;"",$L$4&lt;&gt;"",E37&gt;$L$4),"Entrada inexistente",IF(AND(E37&lt;&gt;"",COUNTIF($E$14:$E$45,E37)&gt;1),"Entrada repetida",IF(D37="","Falta tipo",IF(AND(K37="Sim",F37&lt;&gt;"Sim"),"Falta phantom",IF(AND(K37="Não",F37="Sim"),"Phantom sem uso",IF(I37="LR + grupo","Caminho duplo",IF(OR(I37="",I37="Nenhum"),"Sem destino","OK")))))))))</f>
        <v/>
      </c>
      <c r="M37" s="21" t="str">
        <f aca="false">IF(L37="","",IF(L37="Falta entrada","Anote o conector ligado ao canal",IF(L37="Entrada inexistente","A mesa não tem essa entrada: confira o número",IF(L37="Entrada repetida","Dois canais na mesma entrada: confira o patch e os cabos",IF(L37="Falta tipo","Informe o tipo da fonte",IF(L37="Falta phantom","Ligue o phantom com o canal em mute",IF(L37="Phantom sem uso","Desligue o phantom com o canal em mute",IF(L37="Caminho duplo","Deixe um só caminho até o master: tire o L-R ou o grupo",IF(L37="Sem destino","Enderece o canal ao master ou a um grupo","Manter")))))))))</f>
        <v/>
      </c>
      <c r="N37" s="5"/>
      <c r="P37" s="18" t="n">
        <v>24</v>
      </c>
      <c r="Q37" s="19" t="str">
        <f aca="false">IF(OR($L$4="",P37&gt;$L$4),"",COUNTIF($E$14:$E$45,P37))</f>
        <v/>
      </c>
      <c r="R37" s="19" t="str">
        <f aca="false">IF(Q37="","–",IF(Q37=0,"Livre",IF(Q37=1,"OK","Repetida")))</f>
        <v>–</v>
      </c>
    </row>
    <row r="38" customFormat="false" ht="21.75" hidden="false" customHeight="true" outlineLevel="0" collapsed="false">
      <c r="B38" s="18" t="n">
        <v>25</v>
      </c>
      <c r="C38" s="5"/>
      <c r="D38" s="9"/>
      <c r="E38" s="9"/>
      <c r="F38" s="9"/>
      <c r="G38" s="9"/>
      <c r="H38" s="9"/>
      <c r="I38" s="9"/>
      <c r="J38" s="9"/>
      <c r="K38" s="19" t="str">
        <f aca="false">IF(D38="","",IF(OR(D38="Condensador",D38="DI ativa"),"Sim","Não"))</f>
        <v/>
      </c>
      <c r="L38" s="20" t="str">
        <f aca="false">IF(AND(C38="",D38="",E38=""),"",IF(AND(E38="",D38&lt;&gt;"USB ou rede"),"Falta entrada",IF(AND(E38&lt;&gt;"",$L$4&lt;&gt;"",E38&gt;$L$4),"Entrada inexistente",IF(AND(E38&lt;&gt;"",COUNTIF($E$14:$E$45,E38)&gt;1),"Entrada repetida",IF(D38="","Falta tipo",IF(AND(K38="Sim",F38&lt;&gt;"Sim"),"Falta phantom",IF(AND(K38="Não",F38="Sim"),"Phantom sem uso",IF(I38="LR + grupo","Caminho duplo",IF(OR(I38="",I38="Nenhum"),"Sem destino","OK")))))))))</f>
        <v/>
      </c>
      <c r="M38" s="21" t="str">
        <f aca="false">IF(L38="","",IF(L38="Falta entrada","Anote o conector ligado ao canal",IF(L38="Entrada inexistente","A mesa não tem essa entrada: confira o número",IF(L38="Entrada repetida","Dois canais na mesma entrada: confira o patch e os cabos",IF(L38="Falta tipo","Informe o tipo da fonte",IF(L38="Falta phantom","Ligue o phantom com o canal em mute",IF(L38="Phantom sem uso","Desligue o phantom com o canal em mute",IF(L38="Caminho duplo","Deixe um só caminho até o master: tire o L-R ou o grupo",IF(L38="Sem destino","Enderece o canal ao master ou a um grupo","Manter")))))))))</f>
        <v/>
      </c>
      <c r="N38" s="5"/>
      <c r="P38" s="18" t="n">
        <v>25</v>
      </c>
      <c r="Q38" s="19" t="str">
        <f aca="false">IF(OR($L$4="",P38&gt;$L$4),"",COUNTIF($E$14:$E$45,P38))</f>
        <v/>
      </c>
      <c r="R38" s="19" t="str">
        <f aca="false">IF(Q38="","–",IF(Q38=0,"Livre",IF(Q38=1,"OK","Repetida")))</f>
        <v>–</v>
      </c>
    </row>
    <row r="39" customFormat="false" ht="21.75" hidden="false" customHeight="true" outlineLevel="0" collapsed="false">
      <c r="B39" s="18" t="n">
        <v>26</v>
      </c>
      <c r="C39" s="5"/>
      <c r="D39" s="9"/>
      <c r="E39" s="9"/>
      <c r="F39" s="9"/>
      <c r="G39" s="9"/>
      <c r="H39" s="9"/>
      <c r="I39" s="9"/>
      <c r="J39" s="9"/>
      <c r="K39" s="19" t="str">
        <f aca="false">IF(D39="","",IF(OR(D39="Condensador",D39="DI ativa"),"Sim","Não"))</f>
        <v/>
      </c>
      <c r="L39" s="20" t="str">
        <f aca="false">IF(AND(C39="",D39="",E39=""),"",IF(AND(E39="",D39&lt;&gt;"USB ou rede"),"Falta entrada",IF(AND(E39&lt;&gt;"",$L$4&lt;&gt;"",E39&gt;$L$4),"Entrada inexistente",IF(AND(E39&lt;&gt;"",COUNTIF($E$14:$E$45,E39)&gt;1),"Entrada repetida",IF(D39="","Falta tipo",IF(AND(K39="Sim",F39&lt;&gt;"Sim"),"Falta phantom",IF(AND(K39="Não",F39="Sim"),"Phantom sem uso",IF(I39="LR + grupo","Caminho duplo",IF(OR(I39="",I39="Nenhum"),"Sem destino","OK")))))))))</f>
        <v/>
      </c>
      <c r="M39" s="21" t="str">
        <f aca="false">IF(L39="","",IF(L39="Falta entrada","Anote o conector ligado ao canal",IF(L39="Entrada inexistente","A mesa não tem essa entrada: confira o número",IF(L39="Entrada repetida","Dois canais na mesma entrada: confira o patch e os cabos",IF(L39="Falta tipo","Informe o tipo da fonte",IF(L39="Falta phantom","Ligue o phantom com o canal em mute",IF(L39="Phantom sem uso","Desligue o phantom com o canal em mute",IF(L39="Caminho duplo","Deixe um só caminho até o master: tire o L-R ou o grupo",IF(L39="Sem destino","Enderece o canal ao master ou a um grupo","Manter")))))))))</f>
        <v/>
      </c>
      <c r="N39" s="5"/>
      <c r="P39" s="18" t="n">
        <v>26</v>
      </c>
      <c r="Q39" s="19" t="str">
        <f aca="false">IF(OR($L$4="",P39&gt;$L$4),"",COUNTIF($E$14:$E$45,P39))</f>
        <v/>
      </c>
      <c r="R39" s="19" t="str">
        <f aca="false">IF(Q39="","–",IF(Q39=0,"Livre",IF(Q39=1,"OK","Repetida")))</f>
        <v>–</v>
      </c>
    </row>
    <row r="40" customFormat="false" ht="21.75" hidden="false" customHeight="true" outlineLevel="0" collapsed="false">
      <c r="B40" s="18" t="n">
        <v>27</v>
      </c>
      <c r="C40" s="5"/>
      <c r="D40" s="9"/>
      <c r="E40" s="9"/>
      <c r="F40" s="9"/>
      <c r="G40" s="9"/>
      <c r="H40" s="9"/>
      <c r="I40" s="9"/>
      <c r="J40" s="9"/>
      <c r="K40" s="19" t="str">
        <f aca="false">IF(D40="","",IF(OR(D40="Condensador",D40="DI ativa"),"Sim","Não"))</f>
        <v/>
      </c>
      <c r="L40" s="20" t="str">
        <f aca="false">IF(AND(C40="",D40="",E40=""),"",IF(AND(E40="",D40&lt;&gt;"USB ou rede"),"Falta entrada",IF(AND(E40&lt;&gt;"",$L$4&lt;&gt;"",E40&gt;$L$4),"Entrada inexistente",IF(AND(E40&lt;&gt;"",COUNTIF($E$14:$E$45,E40)&gt;1),"Entrada repetida",IF(D40="","Falta tipo",IF(AND(K40="Sim",F40&lt;&gt;"Sim"),"Falta phantom",IF(AND(K40="Não",F40="Sim"),"Phantom sem uso",IF(I40="LR + grupo","Caminho duplo",IF(OR(I40="",I40="Nenhum"),"Sem destino","OK")))))))))</f>
        <v/>
      </c>
      <c r="M40" s="21" t="str">
        <f aca="false">IF(L40="","",IF(L40="Falta entrada","Anote o conector ligado ao canal",IF(L40="Entrada inexistente","A mesa não tem essa entrada: confira o número",IF(L40="Entrada repetida","Dois canais na mesma entrada: confira o patch e os cabos",IF(L40="Falta tipo","Informe o tipo da fonte",IF(L40="Falta phantom","Ligue o phantom com o canal em mute",IF(L40="Phantom sem uso","Desligue o phantom com o canal em mute",IF(L40="Caminho duplo","Deixe um só caminho até o master: tire o L-R ou o grupo",IF(L40="Sem destino","Enderece o canal ao master ou a um grupo","Manter")))))))))</f>
        <v/>
      </c>
      <c r="N40" s="5"/>
      <c r="P40" s="18" t="n">
        <v>27</v>
      </c>
      <c r="Q40" s="19" t="str">
        <f aca="false">IF(OR($L$4="",P40&gt;$L$4),"",COUNTIF($E$14:$E$45,P40))</f>
        <v/>
      </c>
      <c r="R40" s="19" t="str">
        <f aca="false">IF(Q40="","–",IF(Q40=0,"Livre",IF(Q40=1,"OK","Repetida")))</f>
        <v>–</v>
      </c>
    </row>
    <row r="41" customFormat="false" ht="21.75" hidden="false" customHeight="true" outlineLevel="0" collapsed="false">
      <c r="B41" s="18" t="n">
        <v>28</v>
      </c>
      <c r="C41" s="5"/>
      <c r="D41" s="9"/>
      <c r="E41" s="9"/>
      <c r="F41" s="9"/>
      <c r="G41" s="9"/>
      <c r="H41" s="9"/>
      <c r="I41" s="9"/>
      <c r="J41" s="9"/>
      <c r="K41" s="19" t="str">
        <f aca="false">IF(D41="","",IF(OR(D41="Condensador",D41="DI ativa"),"Sim","Não"))</f>
        <v/>
      </c>
      <c r="L41" s="20" t="str">
        <f aca="false">IF(AND(C41="",D41="",E41=""),"",IF(AND(E41="",D41&lt;&gt;"USB ou rede"),"Falta entrada",IF(AND(E41&lt;&gt;"",$L$4&lt;&gt;"",E41&gt;$L$4),"Entrada inexistente",IF(AND(E41&lt;&gt;"",COUNTIF($E$14:$E$45,E41)&gt;1),"Entrada repetida",IF(D41="","Falta tipo",IF(AND(K41="Sim",F41&lt;&gt;"Sim"),"Falta phantom",IF(AND(K41="Não",F41="Sim"),"Phantom sem uso",IF(I41="LR + grupo","Caminho duplo",IF(OR(I41="",I41="Nenhum"),"Sem destino","OK")))))))))</f>
        <v/>
      </c>
      <c r="M41" s="21" t="str">
        <f aca="false">IF(L41="","",IF(L41="Falta entrada","Anote o conector ligado ao canal",IF(L41="Entrada inexistente","A mesa não tem essa entrada: confira o número",IF(L41="Entrada repetida","Dois canais na mesma entrada: confira o patch e os cabos",IF(L41="Falta tipo","Informe o tipo da fonte",IF(L41="Falta phantom","Ligue o phantom com o canal em mute",IF(L41="Phantom sem uso","Desligue o phantom com o canal em mute",IF(L41="Caminho duplo","Deixe um só caminho até o master: tire o L-R ou o grupo",IF(L41="Sem destino","Enderece o canal ao master ou a um grupo","Manter")))))))))</f>
        <v/>
      </c>
      <c r="N41" s="5"/>
      <c r="P41" s="18" t="n">
        <v>28</v>
      </c>
      <c r="Q41" s="19" t="str">
        <f aca="false">IF(OR($L$4="",P41&gt;$L$4),"",COUNTIF($E$14:$E$45,P41))</f>
        <v/>
      </c>
      <c r="R41" s="19" t="str">
        <f aca="false">IF(Q41="","–",IF(Q41=0,"Livre",IF(Q41=1,"OK","Repetida")))</f>
        <v>–</v>
      </c>
    </row>
    <row r="42" customFormat="false" ht="21.75" hidden="false" customHeight="true" outlineLevel="0" collapsed="false">
      <c r="B42" s="18" t="n">
        <v>29</v>
      </c>
      <c r="C42" s="5"/>
      <c r="D42" s="9"/>
      <c r="E42" s="9"/>
      <c r="F42" s="9"/>
      <c r="G42" s="9"/>
      <c r="H42" s="9"/>
      <c r="I42" s="9"/>
      <c r="J42" s="9"/>
      <c r="K42" s="19" t="str">
        <f aca="false">IF(D42="","",IF(OR(D42="Condensador",D42="DI ativa"),"Sim","Não"))</f>
        <v/>
      </c>
      <c r="L42" s="20" t="str">
        <f aca="false">IF(AND(C42="",D42="",E42=""),"",IF(AND(E42="",D42&lt;&gt;"USB ou rede"),"Falta entrada",IF(AND(E42&lt;&gt;"",$L$4&lt;&gt;"",E42&gt;$L$4),"Entrada inexistente",IF(AND(E42&lt;&gt;"",COUNTIF($E$14:$E$45,E42)&gt;1),"Entrada repetida",IF(D42="","Falta tipo",IF(AND(K42="Sim",F42&lt;&gt;"Sim"),"Falta phantom",IF(AND(K42="Não",F42="Sim"),"Phantom sem uso",IF(I42="LR + grupo","Caminho duplo",IF(OR(I42="",I42="Nenhum"),"Sem destino","OK")))))))))</f>
        <v/>
      </c>
      <c r="M42" s="21" t="str">
        <f aca="false">IF(L42="","",IF(L42="Falta entrada","Anote o conector ligado ao canal",IF(L42="Entrada inexistente","A mesa não tem essa entrada: confira o número",IF(L42="Entrada repetida","Dois canais na mesma entrada: confira o patch e os cabos",IF(L42="Falta tipo","Informe o tipo da fonte",IF(L42="Falta phantom","Ligue o phantom com o canal em mute",IF(L42="Phantom sem uso","Desligue o phantom com o canal em mute",IF(L42="Caminho duplo","Deixe um só caminho até o master: tire o L-R ou o grupo",IF(L42="Sem destino","Enderece o canal ao master ou a um grupo","Manter")))))))))</f>
        <v/>
      </c>
      <c r="N42" s="5"/>
      <c r="P42" s="18" t="n">
        <v>29</v>
      </c>
      <c r="Q42" s="19" t="str">
        <f aca="false">IF(OR($L$4="",P42&gt;$L$4),"",COUNTIF($E$14:$E$45,P42))</f>
        <v/>
      </c>
      <c r="R42" s="19" t="str">
        <f aca="false">IF(Q42="","–",IF(Q42=0,"Livre",IF(Q42=1,"OK","Repetida")))</f>
        <v>–</v>
      </c>
    </row>
    <row r="43" customFormat="false" ht="21.75" hidden="false" customHeight="true" outlineLevel="0" collapsed="false">
      <c r="B43" s="18" t="n">
        <v>30</v>
      </c>
      <c r="C43" s="5"/>
      <c r="D43" s="9"/>
      <c r="E43" s="9"/>
      <c r="F43" s="9"/>
      <c r="G43" s="9"/>
      <c r="H43" s="9"/>
      <c r="I43" s="9"/>
      <c r="J43" s="9"/>
      <c r="K43" s="19" t="str">
        <f aca="false">IF(D43="","",IF(OR(D43="Condensador",D43="DI ativa"),"Sim","Não"))</f>
        <v/>
      </c>
      <c r="L43" s="20" t="str">
        <f aca="false">IF(AND(C43="",D43="",E43=""),"",IF(AND(E43="",D43&lt;&gt;"USB ou rede"),"Falta entrada",IF(AND(E43&lt;&gt;"",$L$4&lt;&gt;"",E43&gt;$L$4),"Entrada inexistente",IF(AND(E43&lt;&gt;"",COUNTIF($E$14:$E$45,E43)&gt;1),"Entrada repetida",IF(D43="","Falta tipo",IF(AND(K43="Sim",F43&lt;&gt;"Sim"),"Falta phantom",IF(AND(K43="Não",F43="Sim"),"Phantom sem uso",IF(I43="LR + grupo","Caminho duplo",IF(OR(I43="",I43="Nenhum"),"Sem destino","OK")))))))))</f>
        <v/>
      </c>
      <c r="M43" s="21" t="str">
        <f aca="false">IF(L43="","",IF(L43="Falta entrada","Anote o conector ligado ao canal",IF(L43="Entrada inexistente","A mesa não tem essa entrada: confira o número",IF(L43="Entrada repetida","Dois canais na mesma entrada: confira o patch e os cabos",IF(L43="Falta tipo","Informe o tipo da fonte",IF(L43="Falta phantom","Ligue o phantom com o canal em mute",IF(L43="Phantom sem uso","Desligue o phantom com o canal em mute",IF(L43="Caminho duplo","Deixe um só caminho até o master: tire o L-R ou o grupo",IF(L43="Sem destino","Enderece o canal ao master ou a um grupo","Manter")))))))))</f>
        <v/>
      </c>
      <c r="N43" s="5"/>
      <c r="P43" s="18" t="n">
        <v>30</v>
      </c>
      <c r="Q43" s="19" t="str">
        <f aca="false">IF(OR($L$4="",P43&gt;$L$4),"",COUNTIF($E$14:$E$45,P43))</f>
        <v/>
      </c>
      <c r="R43" s="19" t="str">
        <f aca="false">IF(Q43="","–",IF(Q43=0,"Livre",IF(Q43=1,"OK","Repetida")))</f>
        <v>–</v>
      </c>
    </row>
    <row r="44" customFormat="false" ht="21.75" hidden="false" customHeight="true" outlineLevel="0" collapsed="false">
      <c r="B44" s="18" t="n">
        <v>31</v>
      </c>
      <c r="C44" s="5"/>
      <c r="D44" s="9"/>
      <c r="E44" s="9"/>
      <c r="F44" s="9"/>
      <c r="G44" s="9"/>
      <c r="H44" s="9"/>
      <c r="I44" s="9"/>
      <c r="J44" s="9"/>
      <c r="K44" s="19" t="str">
        <f aca="false">IF(D44="","",IF(OR(D44="Condensador",D44="DI ativa"),"Sim","Não"))</f>
        <v/>
      </c>
      <c r="L44" s="20" t="str">
        <f aca="false">IF(AND(C44="",D44="",E44=""),"",IF(AND(E44="",D44&lt;&gt;"USB ou rede"),"Falta entrada",IF(AND(E44&lt;&gt;"",$L$4&lt;&gt;"",E44&gt;$L$4),"Entrada inexistente",IF(AND(E44&lt;&gt;"",COUNTIF($E$14:$E$45,E44)&gt;1),"Entrada repetida",IF(D44="","Falta tipo",IF(AND(K44="Sim",F44&lt;&gt;"Sim"),"Falta phantom",IF(AND(K44="Não",F44="Sim"),"Phantom sem uso",IF(I44="LR + grupo","Caminho duplo",IF(OR(I44="",I44="Nenhum"),"Sem destino","OK")))))))))</f>
        <v/>
      </c>
      <c r="M44" s="21" t="str">
        <f aca="false">IF(L44="","",IF(L44="Falta entrada","Anote o conector ligado ao canal",IF(L44="Entrada inexistente","A mesa não tem essa entrada: confira o número",IF(L44="Entrada repetida","Dois canais na mesma entrada: confira o patch e os cabos",IF(L44="Falta tipo","Informe o tipo da fonte",IF(L44="Falta phantom","Ligue o phantom com o canal em mute",IF(L44="Phantom sem uso","Desligue o phantom com o canal em mute",IF(L44="Caminho duplo","Deixe um só caminho até o master: tire o L-R ou o grupo",IF(L44="Sem destino","Enderece o canal ao master ou a um grupo","Manter")))))))))</f>
        <v/>
      </c>
      <c r="N44" s="5"/>
      <c r="P44" s="18" t="n">
        <v>31</v>
      </c>
      <c r="Q44" s="19" t="str">
        <f aca="false">IF(OR($L$4="",P44&gt;$L$4),"",COUNTIF($E$14:$E$45,P44))</f>
        <v/>
      </c>
      <c r="R44" s="19" t="str">
        <f aca="false">IF(Q44="","–",IF(Q44=0,"Livre",IF(Q44=1,"OK","Repetida")))</f>
        <v>–</v>
      </c>
    </row>
    <row r="45" customFormat="false" ht="21.75" hidden="false" customHeight="true" outlineLevel="0" collapsed="false">
      <c r="B45" s="18" t="n">
        <v>32</v>
      </c>
      <c r="C45" s="5"/>
      <c r="D45" s="9"/>
      <c r="E45" s="9"/>
      <c r="F45" s="9"/>
      <c r="G45" s="9"/>
      <c r="H45" s="9"/>
      <c r="I45" s="9"/>
      <c r="J45" s="9"/>
      <c r="K45" s="19" t="str">
        <f aca="false">IF(D45="","",IF(OR(D45="Condensador",D45="DI ativa"),"Sim","Não"))</f>
        <v/>
      </c>
      <c r="L45" s="20" t="str">
        <f aca="false">IF(AND(C45="",D45="",E45=""),"",IF(AND(E45="",D45&lt;&gt;"USB ou rede"),"Falta entrada",IF(AND(E45&lt;&gt;"",$L$4&lt;&gt;"",E45&gt;$L$4),"Entrada inexistente",IF(AND(E45&lt;&gt;"",COUNTIF($E$14:$E$45,E45)&gt;1),"Entrada repetida",IF(D45="","Falta tipo",IF(AND(K45="Sim",F45&lt;&gt;"Sim"),"Falta phantom",IF(AND(K45="Não",F45="Sim"),"Phantom sem uso",IF(I45="LR + grupo","Caminho duplo",IF(OR(I45="",I45="Nenhum"),"Sem destino","OK")))))))))</f>
        <v/>
      </c>
      <c r="M45" s="21" t="str">
        <f aca="false">IF(L45="","",IF(L45="Falta entrada","Anote o conector ligado ao canal",IF(L45="Entrada inexistente","A mesa não tem essa entrada: confira o número",IF(L45="Entrada repetida","Dois canais na mesma entrada: confira o patch e os cabos",IF(L45="Falta tipo","Informe o tipo da fonte",IF(L45="Falta phantom","Ligue o phantom com o canal em mute",IF(L45="Phantom sem uso","Desligue o phantom com o canal em mute",IF(L45="Caminho duplo","Deixe um só caminho até o master: tire o L-R ou o grupo",IF(L45="Sem destino","Enderece o canal ao master ou a um grupo","Manter")))))))))</f>
        <v/>
      </c>
      <c r="N45" s="5"/>
      <c r="P45" s="18" t="n">
        <v>32</v>
      </c>
      <c r="Q45" s="19" t="str">
        <f aca="false">IF(OR($L$4="",P45&gt;$L$4),"",COUNTIF($E$14:$E$45,P45))</f>
        <v/>
      </c>
      <c r="R45" s="19" t="str">
        <f aca="false">IF(Q45="","–",IF(Q45=0,"Livre",IF(Q45=1,"OK","Repetida")))</f>
        <v>–</v>
      </c>
    </row>
    <row r="47" customFormat="false" ht="21.75" hidden="false" customHeight="true" outlineLevel="0" collapsed="false">
      <c r="B47" s="12" t="s">
        <v>100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customFormat="false" ht="19.5" hidden="false" customHeight="true" outlineLevel="0" collapsed="false">
      <c r="B48" s="22" t="s">
        <v>101</v>
      </c>
      <c r="C48" s="22"/>
      <c r="D48" s="22"/>
      <c r="E48" s="22"/>
      <c r="F48" s="20" t="n">
        <f aca="false">COUNTA(C14:C45)</f>
        <v>0</v>
      </c>
      <c r="G48" s="20"/>
      <c r="H48" s="20"/>
    </row>
    <row r="49" customFormat="false" ht="19.5" hidden="false" customHeight="true" outlineLevel="0" collapsed="false">
      <c r="B49" s="22" t="s">
        <v>102</v>
      </c>
      <c r="C49" s="22"/>
      <c r="D49" s="22"/>
      <c r="E49" s="22"/>
      <c r="F49" s="20" t="n">
        <f aca="false">COUNTIF(L14:L45,"OK")</f>
        <v>0</v>
      </c>
      <c r="G49" s="20"/>
      <c r="H49" s="20"/>
    </row>
    <row r="50" customFormat="false" ht="19.5" hidden="false" customHeight="true" outlineLevel="0" collapsed="false">
      <c r="B50" s="22" t="s">
        <v>103</v>
      </c>
      <c r="C50" s="22"/>
      <c r="D50" s="22"/>
      <c r="E50" s="22"/>
      <c r="F50" s="20" t="n">
        <f aca="false">COUNTIF(L14:L45,"Falta entrada")+COUNTIF(L14:L45,"Entrada inexistente")+COUNTIF(L14:L45,"Entrada repetida")+COUNTIF(L14:L45,"Falta tipo")+COUNTIF(L14:L45,"Falta phantom")+COUNTIF(L14:L45,"Phantom sem uso")+COUNTIF(L14:L45,"Caminho duplo")+COUNTIF(L14:L45,"Sem destino")</f>
        <v>0</v>
      </c>
      <c r="G50" s="20"/>
      <c r="H50" s="20"/>
    </row>
    <row r="51" customFormat="false" ht="19.5" hidden="false" customHeight="true" outlineLevel="0" collapsed="false">
      <c r="B51" s="22" t="s">
        <v>104</v>
      </c>
      <c r="C51" s="22"/>
      <c r="D51" s="22"/>
      <c r="E51" s="22"/>
      <c r="F51" s="20" t="n">
        <f aca="false">COUNTIF(F14:F45,"Sim")</f>
        <v>0</v>
      </c>
      <c r="G51" s="20"/>
      <c r="H51" s="20"/>
    </row>
    <row r="52" customFormat="false" ht="19.5" hidden="false" customHeight="true" outlineLevel="0" collapsed="false">
      <c r="B52" s="22" t="s">
        <v>105</v>
      </c>
      <c r="C52" s="22"/>
      <c r="D52" s="22"/>
      <c r="E52" s="22"/>
      <c r="F52" s="20" t="n">
        <f aca="false">COUNTIF(R14:R45,"Repetida")</f>
        <v>0</v>
      </c>
      <c r="G52" s="20"/>
      <c r="H52" s="20"/>
    </row>
    <row r="53" customFormat="false" ht="19.5" hidden="false" customHeight="true" outlineLevel="0" collapsed="false">
      <c r="B53" s="22" t="s">
        <v>106</v>
      </c>
      <c r="C53" s="22"/>
      <c r="D53" s="22"/>
      <c r="E53" s="22"/>
      <c r="F53" s="20" t="n">
        <f aca="false">COUNTIF(R14:R45,"Livre")</f>
        <v>16</v>
      </c>
      <c r="G53" s="20"/>
      <c r="H53" s="20"/>
    </row>
    <row r="54" customFormat="false" ht="21.75" hidden="false" customHeight="true" outlineLevel="0" collapsed="false">
      <c r="B54" s="22" t="s">
        <v>107</v>
      </c>
      <c r="C54" s="22"/>
      <c r="D54" s="22"/>
      <c r="E54" s="22"/>
      <c r="F54" s="23" t="str">
        <f aca="false">IF(F48=0,"Liste os canais",IF(F52&gt;0,"Há entrada física em dois canais: confira o patch",IF(F50&gt;0,"Há canal com aviso: corrija antes do teste de linha","OK")))</f>
        <v>Liste os canais</v>
      </c>
      <c r="G54" s="23"/>
      <c r="H54" s="23"/>
      <c r="I54" s="23"/>
      <c r="J54" s="23"/>
      <c r="K54" s="23"/>
      <c r="L54" s="23"/>
      <c r="M54" s="23"/>
    </row>
  </sheetData>
  <mergeCells count="32">
    <mergeCell ref="B1:R1"/>
    <mergeCell ref="B2:R2"/>
    <mergeCell ref="B4:C4"/>
    <mergeCell ref="D4:H4"/>
    <mergeCell ref="J4:K4"/>
    <mergeCell ref="M4:R4"/>
    <mergeCell ref="B5:C5"/>
    <mergeCell ref="D5:H5"/>
    <mergeCell ref="B6:C6"/>
    <mergeCell ref="D6:H6"/>
    <mergeCell ref="J6:R8"/>
    <mergeCell ref="B7:C7"/>
    <mergeCell ref="D7:H7"/>
    <mergeCell ref="B8:C8"/>
    <mergeCell ref="D8:H8"/>
    <mergeCell ref="B10:N10"/>
    <mergeCell ref="P10:R10"/>
    <mergeCell ref="B47:N47"/>
    <mergeCell ref="B48:E48"/>
    <mergeCell ref="F48:H48"/>
    <mergeCell ref="B49:E49"/>
    <mergeCell ref="F49:H49"/>
    <mergeCell ref="B50:E50"/>
    <mergeCell ref="F50:H50"/>
    <mergeCell ref="B51:E51"/>
    <mergeCell ref="F51:H51"/>
    <mergeCell ref="B52:E52"/>
    <mergeCell ref="F52:H52"/>
    <mergeCell ref="B53:E53"/>
    <mergeCell ref="F53:H53"/>
    <mergeCell ref="B54:E54"/>
    <mergeCell ref="F54:M54"/>
  </mergeCells>
  <conditionalFormatting sqref="L14:L45">
    <cfRule type="cellIs" priority="2" operator="equal" aboveAverage="0" equalAverage="0" bottom="0" percent="0" rank="0" text="" dxfId="0">
      <formula>"Falta entrada"</formula>
    </cfRule>
    <cfRule type="cellIs" priority="3" operator="equal" aboveAverage="0" equalAverage="0" bottom="0" percent="0" rank="0" text="" dxfId="0">
      <formula>"Entrada inexistente"</formula>
    </cfRule>
    <cfRule type="cellIs" priority="4" operator="equal" aboveAverage="0" equalAverage="0" bottom="0" percent="0" rank="0" text="" dxfId="0">
      <formula>"Entrada repetida"</formula>
    </cfRule>
    <cfRule type="cellIs" priority="5" operator="equal" aboveAverage="0" equalAverage="0" bottom="0" percent="0" rank="0" text="" dxfId="0">
      <formula>"Falta phantom"</formula>
    </cfRule>
    <cfRule type="cellIs" priority="6" operator="equal" aboveAverage="0" equalAverage="0" bottom="0" percent="0" rank="0" text="" dxfId="1">
      <formula>"OK"</formula>
    </cfRule>
    <cfRule type="expression" priority="7" aboveAverage="0" equalAverage="0" bottom="0" percent="0" rank="0" text="" dxfId="2">
      <formula>AND(LEN(L14)&gt;0,L14&lt;&gt;"OK")</formula>
    </cfRule>
  </conditionalFormatting>
  <conditionalFormatting sqref="R14:R45">
    <cfRule type="cellIs" priority="8" operator="equal" aboveAverage="0" equalAverage="0" bottom="0" percent="0" rank="0" text="" dxfId="1">
      <formula>"OK"</formula>
    </cfRule>
    <cfRule type="cellIs" priority="9" operator="equal" aboveAverage="0" equalAverage="0" bottom="0" percent="0" rank="0" text="" dxfId="0">
      <formula>"Repetida"</formula>
    </cfRule>
  </conditionalFormatting>
  <conditionalFormatting sqref="F54:M54">
    <cfRule type="cellIs" priority="10" operator="equal" aboveAverage="0" equalAverage="0" bottom="0" percent="0" rank="0" text="" dxfId="1">
      <formula>"OK"</formula>
    </cfRule>
    <cfRule type="cellIs" priority="11" operator="notEqual" aboveAverage="0" equalAverage="0" bottom="0" percent="0" rank="0" text="" dxfId="2">
      <formula>"OK"</formula>
    </cfRule>
  </conditionalFormatting>
  <dataValidations count="7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" type="decimal">
      <formula1>-1000000000</formula1>
      <formula2>1000000000</formula2>
    </dataValidation>
    <dataValidation allowBlank="true" error="Escolha uma das opções da lista." errorStyle="stop" errorTitle="Valor inválido" operator="between" prompt="Tipo da fonte." promptTitle="Opções" showDropDown="false" showErrorMessage="true" showInputMessage="true" sqref="D14:D45" type="list">
      <formula1>"Dinâmico,Condensador,Fita,DI passiva,DI ativa,Linha,Sem fio,USB ou rede"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4:E45" type="decimal">
      <formula1>-1000000000</formula1>
      <formula2>1000000000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F14:G45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H14:H45" type="decimal">
      <formula1>-1000000000</formula1>
      <formula2>1000000000</formula2>
    </dataValidation>
    <dataValidation allowBlank="true" error="Escolha uma das opções da lista." errorStyle="stop" errorTitle="Valor inválido" operator="between" prompt="Barramento que recebe o canal depois do fader." promptTitle="Opções" showDropDown="false" showErrorMessage="true" showInputMessage="true" sqref="I14:I45" type="list">
      <formula1>"LR,Grupo 1-2,Grupo 3-4,Grupo 5-6,LR + grupo,Só auxiliares,Nenhum"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M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20"/>
    <col collapsed="false" customWidth="true" hidden="false" outlineLevel="0" max="12" min="12" style="0" width="50"/>
    <col collapsed="false" customWidth="true" hidden="false" outlineLevel="0" max="13" min="13" style="0" width="26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108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109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B4" s="4" t="s">
        <v>110</v>
      </c>
      <c r="C4" s="4"/>
      <c r="D4" s="5"/>
      <c r="E4" s="5"/>
      <c r="F4" s="5"/>
      <c r="G4" s="5"/>
      <c r="H4" s="5"/>
      <c r="I4" s="10" t="s">
        <v>111</v>
      </c>
      <c r="J4" s="10"/>
      <c r="K4" s="10"/>
      <c r="L4" s="10"/>
      <c r="M4" s="10"/>
    </row>
    <row r="5" customFormat="false" ht="21.75" hidden="false" customHeight="true" outlineLevel="0" collapsed="false">
      <c r="B5" s="4" t="s">
        <v>64</v>
      </c>
      <c r="C5" s="4"/>
      <c r="D5" s="11"/>
      <c r="E5" s="11"/>
      <c r="F5" s="11"/>
      <c r="G5" s="11"/>
      <c r="H5" s="11"/>
      <c r="I5" s="10"/>
      <c r="J5" s="10"/>
      <c r="K5" s="10"/>
      <c r="L5" s="10"/>
      <c r="M5" s="10"/>
    </row>
    <row r="6" customFormat="false" ht="21.75" hidden="false" customHeight="true" outlineLevel="0" collapsed="false">
      <c r="B6" s="4" t="s">
        <v>67</v>
      </c>
      <c r="C6" s="4"/>
      <c r="D6" s="5"/>
      <c r="E6" s="5"/>
      <c r="F6" s="5"/>
      <c r="G6" s="5"/>
      <c r="H6" s="5"/>
      <c r="I6" s="10"/>
      <c r="J6" s="10"/>
      <c r="K6" s="10"/>
      <c r="L6" s="10"/>
      <c r="M6" s="10"/>
    </row>
    <row r="8" customFormat="false" ht="21.75" hidden="false" customHeight="true" outlineLevel="0" collapsed="false">
      <c r="B8" s="12" t="s">
        <v>112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30" hidden="false" customHeight="true" outlineLevel="0" collapsed="false">
      <c r="B9" s="13" t="s">
        <v>113</v>
      </c>
      <c r="C9" s="13" t="s">
        <v>114</v>
      </c>
      <c r="D9" s="15" t="s">
        <v>71</v>
      </c>
      <c r="E9" s="15" t="s">
        <v>115</v>
      </c>
      <c r="F9" s="15" t="s">
        <v>116</v>
      </c>
      <c r="G9" s="24" t="s">
        <v>117</v>
      </c>
      <c r="H9" s="24" t="s">
        <v>76</v>
      </c>
      <c r="I9" s="15" t="s">
        <v>118</v>
      </c>
      <c r="J9" s="16" t="s">
        <v>52</v>
      </c>
      <c r="K9" s="16" t="s">
        <v>11</v>
      </c>
      <c r="L9" s="16" t="s">
        <v>78</v>
      </c>
      <c r="M9" s="13" t="s">
        <v>79</v>
      </c>
    </row>
    <row r="10" customFormat="false" ht="21.75" hidden="false" customHeight="true" outlineLevel="0" collapsed="false">
      <c r="B10" s="17"/>
      <c r="C10" s="17" t="s">
        <v>119</v>
      </c>
      <c r="D10" s="17" t="s">
        <v>84</v>
      </c>
      <c r="E10" s="17" t="s">
        <v>120</v>
      </c>
      <c r="F10" s="17" t="s">
        <v>84</v>
      </c>
      <c r="G10" s="17" t="s">
        <v>121</v>
      </c>
      <c r="H10" s="17" t="s">
        <v>83</v>
      </c>
      <c r="I10" s="17" t="s">
        <v>122</v>
      </c>
      <c r="J10" s="17" t="s">
        <v>123</v>
      </c>
      <c r="K10" s="17"/>
      <c r="L10" s="17"/>
      <c r="M10" s="17"/>
    </row>
    <row r="11" customFormat="false" ht="24" hidden="false" customHeight="true" outlineLevel="0" collapsed="false">
      <c r="B11" s="17" t="s">
        <v>91</v>
      </c>
      <c r="C11" s="17" t="s">
        <v>124</v>
      </c>
      <c r="D11" s="17" t="s">
        <v>125</v>
      </c>
      <c r="E11" s="17" t="s">
        <v>126</v>
      </c>
      <c r="F11" s="17" t="s">
        <v>127</v>
      </c>
      <c r="G11" s="17" t="s">
        <v>124</v>
      </c>
      <c r="H11" s="10" t="s">
        <v>128</v>
      </c>
      <c r="I11" s="17" t="s">
        <v>129</v>
      </c>
      <c r="J11" s="17" t="s">
        <v>130</v>
      </c>
      <c r="K11" s="17" t="s">
        <v>131</v>
      </c>
      <c r="L11" s="10" t="s">
        <v>132</v>
      </c>
      <c r="M11" s="10"/>
    </row>
    <row r="13" customFormat="false" ht="21.75" hidden="false" customHeight="true" outlineLevel="0" collapsed="false">
      <c r="B13" s="18" t="n">
        <v>1</v>
      </c>
      <c r="C13" s="5"/>
      <c r="D13" s="9"/>
      <c r="E13" s="9"/>
      <c r="F13" s="9"/>
      <c r="G13" s="9"/>
      <c r="H13" s="5"/>
      <c r="I13" s="9"/>
      <c r="J13" s="19" t="str">
        <f aca="false">IF(D13&lt;&gt;"Auxiliar","",IF(F13="","",IF(OR(F13="Retorno de palco",F13="Fone ou in-ear"),"Pré-fader",IF(OR(F13="Gravação",F13="Transmissão"),"Qualquer","Pós-fader"))))</f>
        <v/>
      </c>
      <c r="K13" s="20" t="str">
        <f aca="false">IF(AND(C13="",D13=""),"",IF(D13="","Falta tipo",IF(F13="","Falta uso",IF(AND(D13="Auxiliar",E13=""),"Falta tomada",IF(AND(D13="Auxiliar",J13="Pré-fader",E13="Pós-fader"),"Trocar para pré",IF(AND(D13="Auxiliar",J13="Pós-fader",E13="Pré-fader"),"Trocar para pós",IF(AND(D13="Grupo",I13&lt;&gt;"Sim"),"Grupo fora do master",IF(AND(D13&lt;&gt;"Grupo",G13=""),"Falta saída",IF(AND(G13&lt;&gt;"",COUNTIF($G$13:$G$32,G13)&gt;1),"Saída repetida","OK")))))))))</f>
        <v/>
      </c>
      <c r="L13" s="21" t="str">
        <f aca="false">IF(K13="","",IF(K13="Falta tipo","Informe o tipo do barramento",IF(K13="Falta uso","Informe para que serve",IF(K13="Falta tomada","Confira a chave pré ou pós do auxiliar",IF(K13="Trocar para pré","Retorno em pós muda a cada ajuste do fader: passe para pré",IF(K13="Trocar para pós","Em pré, o canal fechado continua no efeito: passe para pós",IF(K13="Grupo fora do master","Enderece o grupo ao master, ou os canais dele não saem",IF(K13="Falta saída","Anote o conector de saída",IF(K13="Saída repetida","Duas linhas no mesmo conector: confira","Manter")))))))))</f>
        <v/>
      </c>
      <c r="M13" s="5"/>
    </row>
    <row r="14" customFormat="false" ht="21.75" hidden="false" customHeight="true" outlineLevel="0" collapsed="false">
      <c r="B14" s="18" t="n">
        <v>2</v>
      </c>
      <c r="C14" s="5"/>
      <c r="D14" s="9"/>
      <c r="E14" s="9"/>
      <c r="F14" s="9"/>
      <c r="G14" s="9"/>
      <c r="H14" s="5"/>
      <c r="I14" s="9"/>
      <c r="J14" s="19" t="str">
        <f aca="false">IF(D14&lt;&gt;"Auxiliar","",IF(F14="","",IF(OR(F14="Retorno de palco",F14="Fone ou in-ear"),"Pré-fader",IF(OR(F14="Gravação",F14="Transmissão"),"Qualquer","Pós-fader"))))</f>
        <v/>
      </c>
      <c r="K14" s="20" t="str">
        <f aca="false">IF(AND(C14="",D14=""),"",IF(D14="","Falta tipo",IF(F14="","Falta uso",IF(AND(D14="Auxiliar",E14=""),"Falta tomada",IF(AND(D14="Auxiliar",J14="Pré-fader",E14="Pós-fader"),"Trocar para pré",IF(AND(D14="Auxiliar",J14="Pós-fader",E14="Pré-fader"),"Trocar para pós",IF(AND(D14="Grupo",I14&lt;&gt;"Sim"),"Grupo fora do master",IF(AND(D14&lt;&gt;"Grupo",G14=""),"Falta saída",IF(AND(G14&lt;&gt;"",COUNTIF($G$13:$G$32,G14)&gt;1),"Saída repetida","OK")))))))))</f>
        <v/>
      </c>
      <c r="L14" s="21" t="str">
        <f aca="false">IF(K14="","",IF(K14="Falta tipo","Informe o tipo do barramento",IF(K14="Falta uso","Informe para que serve",IF(K14="Falta tomada","Confira a chave pré ou pós do auxiliar",IF(K14="Trocar para pré","Retorno em pós muda a cada ajuste do fader: passe para pré",IF(K14="Trocar para pós","Em pré, o canal fechado continua no efeito: passe para pós",IF(K14="Grupo fora do master","Enderece o grupo ao master, ou os canais dele não saem",IF(K14="Falta saída","Anote o conector de saída",IF(K14="Saída repetida","Duas linhas no mesmo conector: confira","Manter")))))))))</f>
        <v/>
      </c>
      <c r="M14" s="5"/>
    </row>
    <row r="15" customFormat="false" ht="21.75" hidden="false" customHeight="true" outlineLevel="0" collapsed="false">
      <c r="B15" s="18" t="n">
        <v>3</v>
      </c>
      <c r="C15" s="5"/>
      <c r="D15" s="9"/>
      <c r="E15" s="9"/>
      <c r="F15" s="9"/>
      <c r="G15" s="9"/>
      <c r="H15" s="5"/>
      <c r="I15" s="9"/>
      <c r="J15" s="19" t="str">
        <f aca="false">IF(D15&lt;&gt;"Auxiliar","",IF(F15="","",IF(OR(F15="Retorno de palco",F15="Fone ou in-ear"),"Pré-fader",IF(OR(F15="Gravação",F15="Transmissão"),"Qualquer","Pós-fader"))))</f>
        <v/>
      </c>
      <c r="K15" s="20" t="str">
        <f aca="false">IF(AND(C15="",D15=""),"",IF(D15="","Falta tipo",IF(F15="","Falta uso",IF(AND(D15="Auxiliar",E15=""),"Falta tomada",IF(AND(D15="Auxiliar",J15="Pré-fader",E15="Pós-fader"),"Trocar para pré",IF(AND(D15="Auxiliar",J15="Pós-fader",E15="Pré-fader"),"Trocar para pós",IF(AND(D15="Grupo",I15&lt;&gt;"Sim"),"Grupo fora do master",IF(AND(D15&lt;&gt;"Grupo",G15=""),"Falta saída",IF(AND(G15&lt;&gt;"",COUNTIF($G$13:$G$32,G15)&gt;1),"Saída repetida","OK")))))))))</f>
        <v/>
      </c>
      <c r="L15" s="21" t="str">
        <f aca="false">IF(K15="","",IF(K15="Falta tipo","Informe o tipo do barramento",IF(K15="Falta uso","Informe para que serve",IF(K15="Falta tomada","Confira a chave pré ou pós do auxiliar",IF(K15="Trocar para pré","Retorno em pós muda a cada ajuste do fader: passe para pré",IF(K15="Trocar para pós","Em pré, o canal fechado continua no efeito: passe para pós",IF(K15="Grupo fora do master","Enderece o grupo ao master, ou os canais dele não saem",IF(K15="Falta saída","Anote o conector de saída",IF(K15="Saída repetida","Duas linhas no mesmo conector: confira","Manter")))))))))</f>
        <v/>
      </c>
      <c r="M15" s="5"/>
    </row>
    <row r="16" customFormat="false" ht="21.75" hidden="false" customHeight="true" outlineLevel="0" collapsed="false">
      <c r="B16" s="18" t="n">
        <v>4</v>
      </c>
      <c r="C16" s="5"/>
      <c r="D16" s="9"/>
      <c r="E16" s="9"/>
      <c r="F16" s="9"/>
      <c r="G16" s="9"/>
      <c r="H16" s="5"/>
      <c r="I16" s="9"/>
      <c r="J16" s="19" t="str">
        <f aca="false">IF(D16&lt;&gt;"Auxiliar","",IF(F16="","",IF(OR(F16="Retorno de palco",F16="Fone ou in-ear"),"Pré-fader",IF(OR(F16="Gravação",F16="Transmissão"),"Qualquer","Pós-fader"))))</f>
        <v/>
      </c>
      <c r="K16" s="20" t="str">
        <f aca="false">IF(AND(C16="",D16=""),"",IF(D16="","Falta tipo",IF(F16="","Falta uso",IF(AND(D16="Auxiliar",E16=""),"Falta tomada",IF(AND(D16="Auxiliar",J16="Pré-fader",E16="Pós-fader"),"Trocar para pré",IF(AND(D16="Auxiliar",J16="Pós-fader",E16="Pré-fader"),"Trocar para pós",IF(AND(D16="Grupo",I16&lt;&gt;"Sim"),"Grupo fora do master",IF(AND(D16&lt;&gt;"Grupo",G16=""),"Falta saída",IF(AND(G16&lt;&gt;"",COUNTIF($G$13:$G$32,G16)&gt;1),"Saída repetida","OK")))))))))</f>
        <v/>
      </c>
      <c r="L16" s="21" t="str">
        <f aca="false">IF(K16="","",IF(K16="Falta tipo","Informe o tipo do barramento",IF(K16="Falta uso","Informe para que serve",IF(K16="Falta tomada","Confira a chave pré ou pós do auxiliar",IF(K16="Trocar para pré","Retorno em pós muda a cada ajuste do fader: passe para pré",IF(K16="Trocar para pós","Em pré, o canal fechado continua no efeito: passe para pós",IF(K16="Grupo fora do master","Enderece o grupo ao master, ou os canais dele não saem",IF(K16="Falta saída","Anote o conector de saída",IF(K16="Saída repetida","Duas linhas no mesmo conector: confira","Manter")))))))))</f>
        <v/>
      </c>
      <c r="M16" s="5"/>
    </row>
    <row r="17" customFormat="false" ht="21.75" hidden="false" customHeight="true" outlineLevel="0" collapsed="false">
      <c r="B17" s="18" t="n">
        <v>5</v>
      </c>
      <c r="C17" s="5"/>
      <c r="D17" s="9"/>
      <c r="E17" s="9"/>
      <c r="F17" s="9"/>
      <c r="G17" s="9"/>
      <c r="H17" s="5"/>
      <c r="I17" s="9"/>
      <c r="J17" s="19" t="str">
        <f aca="false">IF(D17&lt;&gt;"Auxiliar","",IF(F17="","",IF(OR(F17="Retorno de palco",F17="Fone ou in-ear"),"Pré-fader",IF(OR(F17="Gravação",F17="Transmissão"),"Qualquer","Pós-fader"))))</f>
        <v/>
      </c>
      <c r="K17" s="20" t="str">
        <f aca="false">IF(AND(C17="",D17=""),"",IF(D17="","Falta tipo",IF(F17="","Falta uso",IF(AND(D17="Auxiliar",E17=""),"Falta tomada",IF(AND(D17="Auxiliar",J17="Pré-fader",E17="Pós-fader"),"Trocar para pré",IF(AND(D17="Auxiliar",J17="Pós-fader",E17="Pré-fader"),"Trocar para pós",IF(AND(D17="Grupo",I17&lt;&gt;"Sim"),"Grupo fora do master",IF(AND(D17&lt;&gt;"Grupo",G17=""),"Falta saída",IF(AND(G17&lt;&gt;"",COUNTIF($G$13:$G$32,G17)&gt;1),"Saída repetida","OK")))))))))</f>
        <v/>
      </c>
      <c r="L17" s="21" t="str">
        <f aca="false">IF(K17="","",IF(K17="Falta tipo","Informe o tipo do barramento",IF(K17="Falta uso","Informe para que serve",IF(K17="Falta tomada","Confira a chave pré ou pós do auxiliar",IF(K17="Trocar para pré","Retorno em pós muda a cada ajuste do fader: passe para pré",IF(K17="Trocar para pós","Em pré, o canal fechado continua no efeito: passe para pós",IF(K17="Grupo fora do master","Enderece o grupo ao master, ou os canais dele não saem",IF(K17="Falta saída","Anote o conector de saída",IF(K17="Saída repetida","Duas linhas no mesmo conector: confira","Manter")))))))))</f>
        <v/>
      </c>
      <c r="M17" s="5"/>
    </row>
    <row r="18" customFormat="false" ht="21.75" hidden="false" customHeight="true" outlineLevel="0" collapsed="false">
      <c r="B18" s="18" t="n">
        <v>6</v>
      </c>
      <c r="C18" s="5"/>
      <c r="D18" s="9"/>
      <c r="E18" s="9"/>
      <c r="F18" s="9"/>
      <c r="G18" s="9"/>
      <c r="H18" s="5"/>
      <c r="I18" s="9"/>
      <c r="J18" s="19" t="str">
        <f aca="false">IF(D18&lt;&gt;"Auxiliar","",IF(F18="","",IF(OR(F18="Retorno de palco",F18="Fone ou in-ear"),"Pré-fader",IF(OR(F18="Gravação",F18="Transmissão"),"Qualquer","Pós-fader"))))</f>
        <v/>
      </c>
      <c r="K18" s="20" t="str">
        <f aca="false">IF(AND(C18="",D18=""),"",IF(D18="","Falta tipo",IF(F18="","Falta uso",IF(AND(D18="Auxiliar",E18=""),"Falta tomada",IF(AND(D18="Auxiliar",J18="Pré-fader",E18="Pós-fader"),"Trocar para pré",IF(AND(D18="Auxiliar",J18="Pós-fader",E18="Pré-fader"),"Trocar para pós",IF(AND(D18="Grupo",I18&lt;&gt;"Sim"),"Grupo fora do master",IF(AND(D18&lt;&gt;"Grupo",G18=""),"Falta saída",IF(AND(G18&lt;&gt;"",COUNTIF($G$13:$G$32,G18)&gt;1),"Saída repetida","OK")))))))))</f>
        <v/>
      </c>
      <c r="L18" s="21" t="str">
        <f aca="false">IF(K18="","",IF(K18="Falta tipo","Informe o tipo do barramento",IF(K18="Falta uso","Informe para que serve",IF(K18="Falta tomada","Confira a chave pré ou pós do auxiliar",IF(K18="Trocar para pré","Retorno em pós muda a cada ajuste do fader: passe para pré",IF(K18="Trocar para pós","Em pré, o canal fechado continua no efeito: passe para pós",IF(K18="Grupo fora do master","Enderece o grupo ao master, ou os canais dele não saem",IF(K18="Falta saída","Anote o conector de saída",IF(K18="Saída repetida","Duas linhas no mesmo conector: confira","Manter")))))))))</f>
        <v/>
      </c>
      <c r="M18" s="5"/>
    </row>
    <row r="19" customFormat="false" ht="21.75" hidden="false" customHeight="true" outlineLevel="0" collapsed="false">
      <c r="B19" s="18" t="n">
        <v>7</v>
      </c>
      <c r="C19" s="5"/>
      <c r="D19" s="9"/>
      <c r="E19" s="9"/>
      <c r="F19" s="9"/>
      <c r="G19" s="9"/>
      <c r="H19" s="5"/>
      <c r="I19" s="9"/>
      <c r="J19" s="19" t="str">
        <f aca="false">IF(D19&lt;&gt;"Auxiliar","",IF(F19="","",IF(OR(F19="Retorno de palco",F19="Fone ou in-ear"),"Pré-fader",IF(OR(F19="Gravação",F19="Transmissão"),"Qualquer","Pós-fader"))))</f>
        <v/>
      </c>
      <c r="K19" s="20" t="str">
        <f aca="false">IF(AND(C19="",D19=""),"",IF(D19="","Falta tipo",IF(F19="","Falta uso",IF(AND(D19="Auxiliar",E19=""),"Falta tomada",IF(AND(D19="Auxiliar",J19="Pré-fader",E19="Pós-fader"),"Trocar para pré",IF(AND(D19="Auxiliar",J19="Pós-fader",E19="Pré-fader"),"Trocar para pós",IF(AND(D19="Grupo",I19&lt;&gt;"Sim"),"Grupo fora do master",IF(AND(D19&lt;&gt;"Grupo",G19=""),"Falta saída",IF(AND(G19&lt;&gt;"",COUNTIF($G$13:$G$32,G19)&gt;1),"Saída repetida","OK")))))))))</f>
        <v/>
      </c>
      <c r="L19" s="21" t="str">
        <f aca="false">IF(K19="","",IF(K19="Falta tipo","Informe o tipo do barramento",IF(K19="Falta uso","Informe para que serve",IF(K19="Falta tomada","Confira a chave pré ou pós do auxiliar",IF(K19="Trocar para pré","Retorno em pós muda a cada ajuste do fader: passe para pré",IF(K19="Trocar para pós","Em pré, o canal fechado continua no efeito: passe para pós",IF(K19="Grupo fora do master","Enderece o grupo ao master, ou os canais dele não saem",IF(K19="Falta saída","Anote o conector de saída",IF(K19="Saída repetida","Duas linhas no mesmo conector: confira","Manter")))))))))</f>
        <v/>
      </c>
      <c r="M19" s="5"/>
    </row>
    <row r="20" customFormat="false" ht="21.75" hidden="false" customHeight="true" outlineLevel="0" collapsed="false">
      <c r="B20" s="18" t="n">
        <v>8</v>
      </c>
      <c r="C20" s="5"/>
      <c r="D20" s="9"/>
      <c r="E20" s="9"/>
      <c r="F20" s="9"/>
      <c r="G20" s="9"/>
      <c r="H20" s="5"/>
      <c r="I20" s="9"/>
      <c r="J20" s="19" t="str">
        <f aca="false">IF(D20&lt;&gt;"Auxiliar","",IF(F20="","",IF(OR(F20="Retorno de palco",F20="Fone ou in-ear"),"Pré-fader",IF(OR(F20="Gravação",F20="Transmissão"),"Qualquer","Pós-fader"))))</f>
        <v/>
      </c>
      <c r="K20" s="20" t="str">
        <f aca="false">IF(AND(C20="",D20=""),"",IF(D20="","Falta tipo",IF(F20="","Falta uso",IF(AND(D20="Auxiliar",E20=""),"Falta tomada",IF(AND(D20="Auxiliar",J20="Pré-fader",E20="Pós-fader"),"Trocar para pré",IF(AND(D20="Auxiliar",J20="Pós-fader",E20="Pré-fader"),"Trocar para pós",IF(AND(D20="Grupo",I20&lt;&gt;"Sim"),"Grupo fora do master",IF(AND(D20&lt;&gt;"Grupo",G20=""),"Falta saída",IF(AND(G20&lt;&gt;"",COUNTIF($G$13:$G$32,G20)&gt;1),"Saída repetida","OK")))))))))</f>
        <v/>
      </c>
      <c r="L20" s="21" t="str">
        <f aca="false">IF(K20="","",IF(K20="Falta tipo","Informe o tipo do barramento",IF(K20="Falta uso","Informe para que serve",IF(K20="Falta tomada","Confira a chave pré ou pós do auxiliar",IF(K20="Trocar para pré","Retorno em pós muda a cada ajuste do fader: passe para pré",IF(K20="Trocar para pós","Em pré, o canal fechado continua no efeito: passe para pós",IF(K20="Grupo fora do master","Enderece o grupo ao master, ou os canais dele não saem",IF(K20="Falta saída","Anote o conector de saída",IF(K20="Saída repetida","Duas linhas no mesmo conector: confira","Manter")))))))))</f>
        <v/>
      </c>
      <c r="M20" s="5"/>
    </row>
    <row r="21" customFormat="false" ht="21.75" hidden="false" customHeight="true" outlineLevel="0" collapsed="false">
      <c r="B21" s="18" t="n">
        <v>9</v>
      </c>
      <c r="C21" s="5"/>
      <c r="D21" s="9"/>
      <c r="E21" s="9"/>
      <c r="F21" s="9"/>
      <c r="G21" s="9"/>
      <c r="H21" s="5"/>
      <c r="I21" s="9"/>
      <c r="J21" s="19" t="str">
        <f aca="false">IF(D21&lt;&gt;"Auxiliar","",IF(F21="","",IF(OR(F21="Retorno de palco",F21="Fone ou in-ear"),"Pré-fader",IF(OR(F21="Gravação",F21="Transmissão"),"Qualquer","Pós-fader"))))</f>
        <v/>
      </c>
      <c r="K21" s="20" t="str">
        <f aca="false">IF(AND(C21="",D21=""),"",IF(D21="","Falta tipo",IF(F21="","Falta uso",IF(AND(D21="Auxiliar",E21=""),"Falta tomada",IF(AND(D21="Auxiliar",J21="Pré-fader",E21="Pós-fader"),"Trocar para pré",IF(AND(D21="Auxiliar",J21="Pós-fader",E21="Pré-fader"),"Trocar para pós",IF(AND(D21="Grupo",I21&lt;&gt;"Sim"),"Grupo fora do master",IF(AND(D21&lt;&gt;"Grupo",G21=""),"Falta saída",IF(AND(G21&lt;&gt;"",COUNTIF($G$13:$G$32,G21)&gt;1),"Saída repetida","OK")))))))))</f>
        <v/>
      </c>
      <c r="L21" s="21" t="str">
        <f aca="false">IF(K21="","",IF(K21="Falta tipo","Informe o tipo do barramento",IF(K21="Falta uso","Informe para que serve",IF(K21="Falta tomada","Confira a chave pré ou pós do auxiliar",IF(K21="Trocar para pré","Retorno em pós muda a cada ajuste do fader: passe para pré",IF(K21="Trocar para pós","Em pré, o canal fechado continua no efeito: passe para pós",IF(K21="Grupo fora do master","Enderece o grupo ao master, ou os canais dele não saem",IF(K21="Falta saída","Anote o conector de saída",IF(K21="Saída repetida","Duas linhas no mesmo conector: confira","Manter")))))))))</f>
        <v/>
      </c>
      <c r="M21" s="5"/>
    </row>
    <row r="22" customFormat="false" ht="21.75" hidden="false" customHeight="true" outlineLevel="0" collapsed="false">
      <c r="B22" s="18" t="n">
        <v>10</v>
      </c>
      <c r="C22" s="5"/>
      <c r="D22" s="9"/>
      <c r="E22" s="9"/>
      <c r="F22" s="9"/>
      <c r="G22" s="9"/>
      <c r="H22" s="5"/>
      <c r="I22" s="9"/>
      <c r="J22" s="19" t="str">
        <f aca="false">IF(D22&lt;&gt;"Auxiliar","",IF(F22="","",IF(OR(F22="Retorno de palco",F22="Fone ou in-ear"),"Pré-fader",IF(OR(F22="Gravação",F22="Transmissão"),"Qualquer","Pós-fader"))))</f>
        <v/>
      </c>
      <c r="K22" s="20" t="str">
        <f aca="false">IF(AND(C22="",D22=""),"",IF(D22="","Falta tipo",IF(F22="","Falta uso",IF(AND(D22="Auxiliar",E22=""),"Falta tomada",IF(AND(D22="Auxiliar",J22="Pré-fader",E22="Pós-fader"),"Trocar para pré",IF(AND(D22="Auxiliar",J22="Pós-fader",E22="Pré-fader"),"Trocar para pós",IF(AND(D22="Grupo",I22&lt;&gt;"Sim"),"Grupo fora do master",IF(AND(D22&lt;&gt;"Grupo",G22=""),"Falta saída",IF(AND(G22&lt;&gt;"",COUNTIF($G$13:$G$32,G22)&gt;1),"Saída repetida","OK")))))))))</f>
        <v/>
      </c>
      <c r="L22" s="21" t="str">
        <f aca="false">IF(K22="","",IF(K22="Falta tipo","Informe o tipo do barramento",IF(K22="Falta uso","Informe para que serve",IF(K22="Falta tomada","Confira a chave pré ou pós do auxiliar",IF(K22="Trocar para pré","Retorno em pós muda a cada ajuste do fader: passe para pré",IF(K22="Trocar para pós","Em pré, o canal fechado continua no efeito: passe para pós",IF(K22="Grupo fora do master","Enderece o grupo ao master, ou os canais dele não saem",IF(K22="Falta saída","Anote o conector de saída",IF(K22="Saída repetida","Duas linhas no mesmo conector: confira","Manter")))))))))</f>
        <v/>
      </c>
      <c r="M22" s="5"/>
    </row>
    <row r="23" customFormat="false" ht="21.75" hidden="false" customHeight="true" outlineLevel="0" collapsed="false">
      <c r="B23" s="18" t="n">
        <v>11</v>
      </c>
      <c r="C23" s="5"/>
      <c r="D23" s="9"/>
      <c r="E23" s="9"/>
      <c r="F23" s="9"/>
      <c r="G23" s="9"/>
      <c r="H23" s="5"/>
      <c r="I23" s="9"/>
      <c r="J23" s="19" t="str">
        <f aca="false">IF(D23&lt;&gt;"Auxiliar","",IF(F23="","",IF(OR(F23="Retorno de palco",F23="Fone ou in-ear"),"Pré-fader",IF(OR(F23="Gravação",F23="Transmissão"),"Qualquer","Pós-fader"))))</f>
        <v/>
      </c>
      <c r="K23" s="20" t="str">
        <f aca="false">IF(AND(C23="",D23=""),"",IF(D23="","Falta tipo",IF(F23="","Falta uso",IF(AND(D23="Auxiliar",E23=""),"Falta tomada",IF(AND(D23="Auxiliar",J23="Pré-fader",E23="Pós-fader"),"Trocar para pré",IF(AND(D23="Auxiliar",J23="Pós-fader",E23="Pré-fader"),"Trocar para pós",IF(AND(D23="Grupo",I23&lt;&gt;"Sim"),"Grupo fora do master",IF(AND(D23&lt;&gt;"Grupo",G23=""),"Falta saída",IF(AND(G23&lt;&gt;"",COUNTIF($G$13:$G$32,G23)&gt;1),"Saída repetida","OK")))))))))</f>
        <v/>
      </c>
      <c r="L23" s="21" t="str">
        <f aca="false">IF(K23="","",IF(K23="Falta tipo","Informe o tipo do barramento",IF(K23="Falta uso","Informe para que serve",IF(K23="Falta tomada","Confira a chave pré ou pós do auxiliar",IF(K23="Trocar para pré","Retorno em pós muda a cada ajuste do fader: passe para pré",IF(K23="Trocar para pós","Em pré, o canal fechado continua no efeito: passe para pós",IF(K23="Grupo fora do master","Enderece o grupo ao master, ou os canais dele não saem",IF(K23="Falta saída","Anote o conector de saída",IF(K23="Saída repetida","Duas linhas no mesmo conector: confira","Manter")))))))))</f>
        <v/>
      </c>
      <c r="M23" s="5"/>
    </row>
    <row r="24" customFormat="false" ht="21.75" hidden="false" customHeight="true" outlineLevel="0" collapsed="false">
      <c r="B24" s="18" t="n">
        <v>12</v>
      </c>
      <c r="C24" s="5"/>
      <c r="D24" s="9"/>
      <c r="E24" s="9"/>
      <c r="F24" s="9"/>
      <c r="G24" s="9"/>
      <c r="H24" s="5"/>
      <c r="I24" s="9"/>
      <c r="J24" s="19" t="str">
        <f aca="false">IF(D24&lt;&gt;"Auxiliar","",IF(F24="","",IF(OR(F24="Retorno de palco",F24="Fone ou in-ear"),"Pré-fader",IF(OR(F24="Gravação",F24="Transmissão"),"Qualquer","Pós-fader"))))</f>
        <v/>
      </c>
      <c r="K24" s="20" t="str">
        <f aca="false">IF(AND(C24="",D24=""),"",IF(D24="","Falta tipo",IF(F24="","Falta uso",IF(AND(D24="Auxiliar",E24=""),"Falta tomada",IF(AND(D24="Auxiliar",J24="Pré-fader",E24="Pós-fader"),"Trocar para pré",IF(AND(D24="Auxiliar",J24="Pós-fader",E24="Pré-fader"),"Trocar para pós",IF(AND(D24="Grupo",I24&lt;&gt;"Sim"),"Grupo fora do master",IF(AND(D24&lt;&gt;"Grupo",G24=""),"Falta saída",IF(AND(G24&lt;&gt;"",COUNTIF($G$13:$G$32,G24)&gt;1),"Saída repetida","OK")))))))))</f>
        <v/>
      </c>
      <c r="L24" s="21" t="str">
        <f aca="false">IF(K24="","",IF(K24="Falta tipo","Informe o tipo do barramento",IF(K24="Falta uso","Informe para que serve",IF(K24="Falta tomada","Confira a chave pré ou pós do auxiliar",IF(K24="Trocar para pré","Retorno em pós muda a cada ajuste do fader: passe para pré",IF(K24="Trocar para pós","Em pré, o canal fechado continua no efeito: passe para pós",IF(K24="Grupo fora do master","Enderece o grupo ao master, ou os canais dele não saem",IF(K24="Falta saída","Anote o conector de saída",IF(K24="Saída repetida","Duas linhas no mesmo conector: confira","Manter")))))))))</f>
        <v/>
      </c>
      <c r="M24" s="5"/>
    </row>
    <row r="25" customFormat="false" ht="21.75" hidden="false" customHeight="true" outlineLevel="0" collapsed="false">
      <c r="B25" s="18" t="n">
        <v>13</v>
      </c>
      <c r="C25" s="5"/>
      <c r="D25" s="9"/>
      <c r="E25" s="9"/>
      <c r="F25" s="9"/>
      <c r="G25" s="9"/>
      <c r="H25" s="5"/>
      <c r="I25" s="9"/>
      <c r="J25" s="19" t="str">
        <f aca="false">IF(D25&lt;&gt;"Auxiliar","",IF(F25="","",IF(OR(F25="Retorno de palco",F25="Fone ou in-ear"),"Pré-fader",IF(OR(F25="Gravação",F25="Transmissão"),"Qualquer","Pós-fader"))))</f>
        <v/>
      </c>
      <c r="K25" s="20" t="str">
        <f aca="false">IF(AND(C25="",D25=""),"",IF(D25="","Falta tipo",IF(F25="","Falta uso",IF(AND(D25="Auxiliar",E25=""),"Falta tomada",IF(AND(D25="Auxiliar",J25="Pré-fader",E25="Pós-fader"),"Trocar para pré",IF(AND(D25="Auxiliar",J25="Pós-fader",E25="Pré-fader"),"Trocar para pós",IF(AND(D25="Grupo",I25&lt;&gt;"Sim"),"Grupo fora do master",IF(AND(D25&lt;&gt;"Grupo",G25=""),"Falta saída",IF(AND(G25&lt;&gt;"",COUNTIF($G$13:$G$32,G25)&gt;1),"Saída repetida","OK")))))))))</f>
        <v/>
      </c>
      <c r="L25" s="21" t="str">
        <f aca="false">IF(K25="","",IF(K25="Falta tipo","Informe o tipo do barramento",IF(K25="Falta uso","Informe para que serve",IF(K25="Falta tomada","Confira a chave pré ou pós do auxiliar",IF(K25="Trocar para pré","Retorno em pós muda a cada ajuste do fader: passe para pré",IF(K25="Trocar para pós","Em pré, o canal fechado continua no efeito: passe para pós",IF(K25="Grupo fora do master","Enderece o grupo ao master, ou os canais dele não saem",IF(K25="Falta saída","Anote o conector de saída",IF(K25="Saída repetida","Duas linhas no mesmo conector: confira","Manter")))))))))</f>
        <v/>
      </c>
      <c r="M25" s="5"/>
    </row>
    <row r="26" customFormat="false" ht="21.75" hidden="false" customHeight="true" outlineLevel="0" collapsed="false">
      <c r="B26" s="18" t="n">
        <v>14</v>
      </c>
      <c r="C26" s="5"/>
      <c r="D26" s="9"/>
      <c r="E26" s="9"/>
      <c r="F26" s="9"/>
      <c r="G26" s="9"/>
      <c r="H26" s="5"/>
      <c r="I26" s="9"/>
      <c r="J26" s="19" t="str">
        <f aca="false">IF(D26&lt;&gt;"Auxiliar","",IF(F26="","",IF(OR(F26="Retorno de palco",F26="Fone ou in-ear"),"Pré-fader",IF(OR(F26="Gravação",F26="Transmissão"),"Qualquer","Pós-fader"))))</f>
        <v/>
      </c>
      <c r="K26" s="20" t="str">
        <f aca="false">IF(AND(C26="",D26=""),"",IF(D26="","Falta tipo",IF(F26="","Falta uso",IF(AND(D26="Auxiliar",E26=""),"Falta tomada",IF(AND(D26="Auxiliar",J26="Pré-fader",E26="Pós-fader"),"Trocar para pré",IF(AND(D26="Auxiliar",J26="Pós-fader",E26="Pré-fader"),"Trocar para pós",IF(AND(D26="Grupo",I26&lt;&gt;"Sim"),"Grupo fora do master",IF(AND(D26&lt;&gt;"Grupo",G26=""),"Falta saída",IF(AND(G26&lt;&gt;"",COUNTIF($G$13:$G$32,G26)&gt;1),"Saída repetida","OK")))))))))</f>
        <v/>
      </c>
      <c r="L26" s="21" t="str">
        <f aca="false">IF(K26="","",IF(K26="Falta tipo","Informe o tipo do barramento",IF(K26="Falta uso","Informe para que serve",IF(K26="Falta tomada","Confira a chave pré ou pós do auxiliar",IF(K26="Trocar para pré","Retorno em pós muda a cada ajuste do fader: passe para pré",IF(K26="Trocar para pós","Em pré, o canal fechado continua no efeito: passe para pós",IF(K26="Grupo fora do master","Enderece o grupo ao master, ou os canais dele não saem",IF(K26="Falta saída","Anote o conector de saída",IF(K26="Saída repetida","Duas linhas no mesmo conector: confira","Manter")))))))))</f>
        <v/>
      </c>
      <c r="M26" s="5"/>
    </row>
    <row r="27" customFormat="false" ht="21.75" hidden="false" customHeight="true" outlineLevel="0" collapsed="false">
      <c r="B27" s="18" t="n">
        <v>15</v>
      </c>
      <c r="C27" s="5"/>
      <c r="D27" s="9"/>
      <c r="E27" s="9"/>
      <c r="F27" s="9"/>
      <c r="G27" s="9"/>
      <c r="H27" s="5"/>
      <c r="I27" s="9"/>
      <c r="J27" s="19" t="str">
        <f aca="false">IF(D27&lt;&gt;"Auxiliar","",IF(F27="","",IF(OR(F27="Retorno de palco",F27="Fone ou in-ear"),"Pré-fader",IF(OR(F27="Gravação",F27="Transmissão"),"Qualquer","Pós-fader"))))</f>
        <v/>
      </c>
      <c r="K27" s="20" t="str">
        <f aca="false">IF(AND(C27="",D27=""),"",IF(D27="","Falta tipo",IF(F27="","Falta uso",IF(AND(D27="Auxiliar",E27=""),"Falta tomada",IF(AND(D27="Auxiliar",J27="Pré-fader",E27="Pós-fader"),"Trocar para pré",IF(AND(D27="Auxiliar",J27="Pós-fader",E27="Pré-fader"),"Trocar para pós",IF(AND(D27="Grupo",I27&lt;&gt;"Sim"),"Grupo fora do master",IF(AND(D27&lt;&gt;"Grupo",G27=""),"Falta saída",IF(AND(G27&lt;&gt;"",COUNTIF($G$13:$G$32,G27)&gt;1),"Saída repetida","OK")))))))))</f>
        <v/>
      </c>
      <c r="L27" s="21" t="str">
        <f aca="false">IF(K27="","",IF(K27="Falta tipo","Informe o tipo do barramento",IF(K27="Falta uso","Informe para que serve",IF(K27="Falta tomada","Confira a chave pré ou pós do auxiliar",IF(K27="Trocar para pré","Retorno em pós muda a cada ajuste do fader: passe para pré",IF(K27="Trocar para pós","Em pré, o canal fechado continua no efeito: passe para pós",IF(K27="Grupo fora do master","Enderece o grupo ao master, ou os canais dele não saem",IF(K27="Falta saída","Anote o conector de saída",IF(K27="Saída repetida","Duas linhas no mesmo conector: confira","Manter")))))))))</f>
        <v/>
      </c>
      <c r="M27" s="5"/>
    </row>
    <row r="28" customFormat="false" ht="21.75" hidden="false" customHeight="true" outlineLevel="0" collapsed="false">
      <c r="B28" s="18" t="n">
        <v>16</v>
      </c>
      <c r="C28" s="5"/>
      <c r="D28" s="9"/>
      <c r="E28" s="9"/>
      <c r="F28" s="9"/>
      <c r="G28" s="9"/>
      <c r="H28" s="5"/>
      <c r="I28" s="9"/>
      <c r="J28" s="19" t="str">
        <f aca="false">IF(D28&lt;&gt;"Auxiliar","",IF(F28="","",IF(OR(F28="Retorno de palco",F28="Fone ou in-ear"),"Pré-fader",IF(OR(F28="Gravação",F28="Transmissão"),"Qualquer","Pós-fader"))))</f>
        <v/>
      </c>
      <c r="K28" s="20" t="str">
        <f aca="false">IF(AND(C28="",D28=""),"",IF(D28="","Falta tipo",IF(F28="","Falta uso",IF(AND(D28="Auxiliar",E28=""),"Falta tomada",IF(AND(D28="Auxiliar",J28="Pré-fader",E28="Pós-fader"),"Trocar para pré",IF(AND(D28="Auxiliar",J28="Pós-fader",E28="Pré-fader"),"Trocar para pós",IF(AND(D28="Grupo",I28&lt;&gt;"Sim"),"Grupo fora do master",IF(AND(D28&lt;&gt;"Grupo",G28=""),"Falta saída",IF(AND(G28&lt;&gt;"",COUNTIF($G$13:$G$32,G28)&gt;1),"Saída repetida","OK")))))))))</f>
        <v/>
      </c>
      <c r="L28" s="21" t="str">
        <f aca="false">IF(K28="","",IF(K28="Falta tipo","Informe o tipo do barramento",IF(K28="Falta uso","Informe para que serve",IF(K28="Falta tomada","Confira a chave pré ou pós do auxiliar",IF(K28="Trocar para pré","Retorno em pós muda a cada ajuste do fader: passe para pré",IF(K28="Trocar para pós","Em pré, o canal fechado continua no efeito: passe para pós",IF(K28="Grupo fora do master","Enderece o grupo ao master, ou os canais dele não saem",IF(K28="Falta saída","Anote o conector de saída",IF(K28="Saída repetida","Duas linhas no mesmo conector: confira","Manter")))))))))</f>
        <v/>
      </c>
      <c r="M28" s="5"/>
    </row>
    <row r="29" customFormat="false" ht="21.75" hidden="false" customHeight="true" outlineLevel="0" collapsed="false">
      <c r="B29" s="18" t="n">
        <v>17</v>
      </c>
      <c r="C29" s="5"/>
      <c r="D29" s="9"/>
      <c r="E29" s="9"/>
      <c r="F29" s="9"/>
      <c r="G29" s="9"/>
      <c r="H29" s="5"/>
      <c r="I29" s="9"/>
      <c r="J29" s="19" t="str">
        <f aca="false">IF(D29&lt;&gt;"Auxiliar","",IF(F29="","",IF(OR(F29="Retorno de palco",F29="Fone ou in-ear"),"Pré-fader",IF(OR(F29="Gravação",F29="Transmissão"),"Qualquer","Pós-fader"))))</f>
        <v/>
      </c>
      <c r="K29" s="20" t="str">
        <f aca="false">IF(AND(C29="",D29=""),"",IF(D29="","Falta tipo",IF(F29="","Falta uso",IF(AND(D29="Auxiliar",E29=""),"Falta tomada",IF(AND(D29="Auxiliar",J29="Pré-fader",E29="Pós-fader"),"Trocar para pré",IF(AND(D29="Auxiliar",J29="Pós-fader",E29="Pré-fader"),"Trocar para pós",IF(AND(D29="Grupo",I29&lt;&gt;"Sim"),"Grupo fora do master",IF(AND(D29&lt;&gt;"Grupo",G29=""),"Falta saída",IF(AND(G29&lt;&gt;"",COUNTIF($G$13:$G$32,G29)&gt;1),"Saída repetida","OK")))))))))</f>
        <v/>
      </c>
      <c r="L29" s="21" t="str">
        <f aca="false">IF(K29="","",IF(K29="Falta tipo","Informe o tipo do barramento",IF(K29="Falta uso","Informe para que serve",IF(K29="Falta tomada","Confira a chave pré ou pós do auxiliar",IF(K29="Trocar para pré","Retorno em pós muda a cada ajuste do fader: passe para pré",IF(K29="Trocar para pós","Em pré, o canal fechado continua no efeito: passe para pós",IF(K29="Grupo fora do master","Enderece o grupo ao master, ou os canais dele não saem",IF(K29="Falta saída","Anote o conector de saída",IF(K29="Saída repetida","Duas linhas no mesmo conector: confira","Manter")))))))))</f>
        <v/>
      </c>
      <c r="M29" s="5"/>
    </row>
    <row r="30" customFormat="false" ht="21.75" hidden="false" customHeight="true" outlineLevel="0" collapsed="false">
      <c r="B30" s="18" t="n">
        <v>18</v>
      </c>
      <c r="C30" s="5"/>
      <c r="D30" s="9"/>
      <c r="E30" s="9"/>
      <c r="F30" s="9"/>
      <c r="G30" s="9"/>
      <c r="H30" s="5"/>
      <c r="I30" s="9"/>
      <c r="J30" s="19" t="str">
        <f aca="false">IF(D30&lt;&gt;"Auxiliar","",IF(F30="","",IF(OR(F30="Retorno de palco",F30="Fone ou in-ear"),"Pré-fader",IF(OR(F30="Gravação",F30="Transmissão"),"Qualquer","Pós-fader"))))</f>
        <v/>
      </c>
      <c r="K30" s="20" t="str">
        <f aca="false">IF(AND(C30="",D30=""),"",IF(D30="","Falta tipo",IF(F30="","Falta uso",IF(AND(D30="Auxiliar",E30=""),"Falta tomada",IF(AND(D30="Auxiliar",J30="Pré-fader",E30="Pós-fader"),"Trocar para pré",IF(AND(D30="Auxiliar",J30="Pós-fader",E30="Pré-fader"),"Trocar para pós",IF(AND(D30="Grupo",I30&lt;&gt;"Sim"),"Grupo fora do master",IF(AND(D30&lt;&gt;"Grupo",G30=""),"Falta saída",IF(AND(G30&lt;&gt;"",COUNTIF($G$13:$G$32,G30)&gt;1),"Saída repetida","OK")))))))))</f>
        <v/>
      </c>
      <c r="L30" s="21" t="str">
        <f aca="false">IF(K30="","",IF(K30="Falta tipo","Informe o tipo do barramento",IF(K30="Falta uso","Informe para que serve",IF(K30="Falta tomada","Confira a chave pré ou pós do auxiliar",IF(K30="Trocar para pré","Retorno em pós muda a cada ajuste do fader: passe para pré",IF(K30="Trocar para pós","Em pré, o canal fechado continua no efeito: passe para pós",IF(K30="Grupo fora do master","Enderece o grupo ao master, ou os canais dele não saem",IF(K30="Falta saída","Anote o conector de saída",IF(K30="Saída repetida","Duas linhas no mesmo conector: confira","Manter")))))))))</f>
        <v/>
      </c>
      <c r="M30" s="5"/>
    </row>
    <row r="31" customFormat="false" ht="21.75" hidden="false" customHeight="true" outlineLevel="0" collapsed="false">
      <c r="B31" s="18" t="n">
        <v>19</v>
      </c>
      <c r="C31" s="5"/>
      <c r="D31" s="9"/>
      <c r="E31" s="9"/>
      <c r="F31" s="9"/>
      <c r="G31" s="9"/>
      <c r="H31" s="5"/>
      <c r="I31" s="9"/>
      <c r="J31" s="19" t="str">
        <f aca="false">IF(D31&lt;&gt;"Auxiliar","",IF(F31="","",IF(OR(F31="Retorno de palco",F31="Fone ou in-ear"),"Pré-fader",IF(OR(F31="Gravação",F31="Transmissão"),"Qualquer","Pós-fader"))))</f>
        <v/>
      </c>
      <c r="K31" s="20" t="str">
        <f aca="false">IF(AND(C31="",D31=""),"",IF(D31="","Falta tipo",IF(F31="","Falta uso",IF(AND(D31="Auxiliar",E31=""),"Falta tomada",IF(AND(D31="Auxiliar",J31="Pré-fader",E31="Pós-fader"),"Trocar para pré",IF(AND(D31="Auxiliar",J31="Pós-fader",E31="Pré-fader"),"Trocar para pós",IF(AND(D31="Grupo",I31&lt;&gt;"Sim"),"Grupo fora do master",IF(AND(D31&lt;&gt;"Grupo",G31=""),"Falta saída",IF(AND(G31&lt;&gt;"",COUNTIF($G$13:$G$32,G31)&gt;1),"Saída repetida","OK")))))))))</f>
        <v/>
      </c>
      <c r="L31" s="21" t="str">
        <f aca="false">IF(K31="","",IF(K31="Falta tipo","Informe o tipo do barramento",IF(K31="Falta uso","Informe para que serve",IF(K31="Falta tomada","Confira a chave pré ou pós do auxiliar",IF(K31="Trocar para pré","Retorno em pós muda a cada ajuste do fader: passe para pré",IF(K31="Trocar para pós","Em pré, o canal fechado continua no efeito: passe para pós",IF(K31="Grupo fora do master","Enderece o grupo ao master, ou os canais dele não saem",IF(K31="Falta saída","Anote o conector de saída",IF(K31="Saída repetida","Duas linhas no mesmo conector: confira","Manter")))))))))</f>
        <v/>
      </c>
      <c r="M31" s="5"/>
    </row>
    <row r="32" customFormat="false" ht="21.75" hidden="false" customHeight="true" outlineLevel="0" collapsed="false">
      <c r="B32" s="18" t="n">
        <v>20</v>
      </c>
      <c r="C32" s="5"/>
      <c r="D32" s="9"/>
      <c r="E32" s="9"/>
      <c r="F32" s="9"/>
      <c r="G32" s="9"/>
      <c r="H32" s="5"/>
      <c r="I32" s="9"/>
      <c r="J32" s="19" t="str">
        <f aca="false">IF(D32&lt;&gt;"Auxiliar","",IF(F32="","",IF(OR(F32="Retorno de palco",F32="Fone ou in-ear"),"Pré-fader",IF(OR(F32="Gravação",F32="Transmissão"),"Qualquer","Pós-fader"))))</f>
        <v/>
      </c>
      <c r="K32" s="20" t="str">
        <f aca="false">IF(AND(C32="",D32=""),"",IF(D32="","Falta tipo",IF(F32="","Falta uso",IF(AND(D32="Auxiliar",E32=""),"Falta tomada",IF(AND(D32="Auxiliar",J32="Pré-fader",E32="Pós-fader"),"Trocar para pré",IF(AND(D32="Auxiliar",J32="Pós-fader",E32="Pré-fader"),"Trocar para pós",IF(AND(D32="Grupo",I32&lt;&gt;"Sim"),"Grupo fora do master",IF(AND(D32&lt;&gt;"Grupo",G32=""),"Falta saída",IF(AND(G32&lt;&gt;"",COUNTIF($G$13:$G$32,G32)&gt;1),"Saída repetida","OK")))))))))</f>
        <v/>
      </c>
      <c r="L32" s="21" t="str">
        <f aca="false">IF(K32="","",IF(K32="Falta tipo","Informe o tipo do barramento",IF(K32="Falta uso","Informe para que serve",IF(K32="Falta tomada","Confira a chave pré ou pós do auxiliar",IF(K32="Trocar para pré","Retorno em pós muda a cada ajuste do fader: passe para pré",IF(K32="Trocar para pós","Em pré, o canal fechado continua no efeito: passe para pós",IF(K32="Grupo fora do master","Enderece o grupo ao master, ou os canais dele não saem",IF(K32="Falta saída","Anote o conector de saída",IF(K32="Saída repetida","Duas linhas no mesmo conector: confira","Manter")))))))))</f>
        <v/>
      </c>
      <c r="M32" s="5"/>
    </row>
    <row r="34" customFormat="false" ht="21.75" hidden="false" customHeight="true" outlineLevel="0" collapsed="false">
      <c r="B34" s="12" t="s">
        <v>100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customFormat="false" ht="19.5" hidden="false" customHeight="true" outlineLevel="0" collapsed="false">
      <c r="B35" s="22" t="s">
        <v>133</v>
      </c>
      <c r="C35" s="22"/>
      <c r="D35" s="22"/>
      <c r="E35" s="22"/>
      <c r="F35" s="22"/>
      <c r="G35" s="8" t="n">
        <f aca="false">COUNTA(D13:D32)</f>
        <v>0</v>
      </c>
    </row>
    <row r="36" customFormat="false" ht="19.5" hidden="false" customHeight="true" outlineLevel="0" collapsed="false">
      <c r="B36" s="22" t="s">
        <v>134</v>
      </c>
      <c r="C36" s="22"/>
      <c r="D36" s="22"/>
      <c r="E36" s="22"/>
      <c r="F36" s="22"/>
      <c r="G36" s="8" t="n">
        <f aca="false">COUNTIFS(D13:D32,"Auxiliar",E13:E32,"Pré-fader")</f>
        <v>0</v>
      </c>
    </row>
    <row r="37" customFormat="false" ht="19.5" hidden="false" customHeight="true" outlineLevel="0" collapsed="false">
      <c r="B37" s="22" t="s">
        <v>135</v>
      </c>
      <c r="C37" s="22"/>
      <c r="D37" s="22"/>
      <c r="E37" s="22"/>
      <c r="F37" s="22"/>
      <c r="G37" s="8" t="n">
        <f aca="false">COUNTIFS(D13:D32,"Auxiliar",E13:E32,"Pós-fader")</f>
        <v>0</v>
      </c>
    </row>
    <row r="38" customFormat="false" ht="19.5" hidden="false" customHeight="true" outlineLevel="0" collapsed="false">
      <c r="B38" s="22" t="s">
        <v>136</v>
      </c>
      <c r="C38" s="22"/>
      <c r="D38" s="22"/>
      <c r="E38" s="22"/>
      <c r="F38" s="22"/>
      <c r="G38" s="8" t="n">
        <f aca="false">COUNTIF(K13:K32,"Falta tipo")+COUNTIF(K13:K32,"Falta uso")+COUNTIF(K13:K32,"Falta tomada")+COUNTIF(K13:K32,"Trocar para pré")+COUNTIF(K13:K32,"Trocar para pós")+COUNTIF(K13:K32,"Grupo fora do master")+COUNTIF(K13:K32,"Falta saída")+COUNTIF(K13:K32,"Saída repetida")</f>
        <v>0</v>
      </c>
    </row>
    <row r="39" customFormat="false" ht="21.75" hidden="false" customHeight="true" outlineLevel="0" collapsed="false">
      <c r="B39" s="22" t="s">
        <v>107</v>
      </c>
      <c r="C39" s="22"/>
      <c r="D39" s="22"/>
      <c r="E39" s="22"/>
      <c r="F39" s="22"/>
      <c r="G39" s="23" t="str">
        <f aca="false">IF(G35=0,"Liste os barramentos",IF(G38&gt;0,"Há barramento com aviso: corrija antes de montar os retornos","OK"))</f>
        <v>Liste os barramentos</v>
      </c>
      <c r="H39" s="23"/>
      <c r="I39" s="23"/>
      <c r="J39" s="23"/>
      <c r="K39" s="23"/>
      <c r="L39" s="23"/>
    </row>
  </sheetData>
  <mergeCells count="17">
    <mergeCell ref="B1:M1"/>
    <mergeCell ref="B2:M2"/>
    <mergeCell ref="B4:C4"/>
    <mergeCell ref="D4:H4"/>
    <mergeCell ref="I4:M6"/>
    <mergeCell ref="B5:C5"/>
    <mergeCell ref="D5:H5"/>
    <mergeCell ref="B6:C6"/>
    <mergeCell ref="D6:H6"/>
    <mergeCell ref="B8:M8"/>
    <mergeCell ref="B34:M34"/>
    <mergeCell ref="B35:F35"/>
    <mergeCell ref="B36:F36"/>
    <mergeCell ref="B37:F37"/>
    <mergeCell ref="B38:F38"/>
    <mergeCell ref="B39:F39"/>
    <mergeCell ref="G39:L39"/>
  </mergeCells>
  <conditionalFormatting sqref="K13:K32">
    <cfRule type="cellIs" priority="2" operator="equal" aboveAverage="0" equalAverage="0" bottom="0" percent="0" rank="0" text="" dxfId="0">
      <formula>"Trocar para pré"</formula>
    </cfRule>
    <cfRule type="cellIs" priority="3" operator="equal" aboveAverage="0" equalAverage="0" bottom="0" percent="0" rank="0" text="" dxfId="0">
      <formula>"Trocar para pós"</formula>
    </cfRule>
    <cfRule type="cellIs" priority="4" operator="equal" aboveAverage="0" equalAverage="0" bottom="0" percent="0" rank="0" text="" dxfId="0">
      <formula>"Grupo fora do master"</formula>
    </cfRule>
    <cfRule type="cellIs" priority="5" operator="equal" aboveAverage="0" equalAverage="0" bottom="0" percent="0" rank="0" text="" dxfId="0">
      <formula>"Saída repetida"</formula>
    </cfRule>
    <cfRule type="cellIs" priority="6" operator="equal" aboveAverage="0" equalAverage="0" bottom="0" percent="0" rank="0" text="" dxfId="1">
      <formula>"OK"</formula>
    </cfRule>
    <cfRule type="expression" priority="7" aboveAverage="0" equalAverage="0" bottom="0" percent="0" rank="0" text="" dxfId="2">
      <formula>AND(LEN(K13)&gt;0,K13&lt;&gt;"OK")</formula>
    </cfRule>
  </conditionalFormatting>
  <conditionalFormatting sqref="G39:L39">
    <cfRule type="cellIs" priority="8" operator="equal" aboveAverage="0" equalAverage="0" bottom="0" percent="0" rank="0" text="" dxfId="1">
      <formula>"OK"</formula>
    </cfRule>
    <cfRule type="cellIs" priority="9" operator="notEqual" aboveAverage="0" equalAverage="0" bottom="0" percent="0" rank="0" text="" dxfId="2">
      <formula>"OK"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Escolha uma das opções da lista." errorStyle="stop" errorTitle="Valor inválido" operator="between" prompt="Master LR, Grupo, Auxiliar ou Matriz." promptTitle="Opções" showDropDown="false" showErrorMessage="true" showInputMessage="true" sqref="D13:D32" type="list">
      <formula1>"Master LR,Grupo,Auxiliar,Matriz"</formula1>
      <formula2>0</formula2>
    </dataValidation>
    <dataValidation allowBlank="true" error="Escolha uma das opções da lista." errorStyle="stop" errorTitle="Valor inválido" operator="between" prompt="Pré-fader ou Pós-fader (só para auxiliar)." promptTitle="Opções" showDropDown="false" showErrorMessage="true" showInputMessage="true" sqref="E13:E32" type="list">
      <formula1>"Pré-fader,Pós-fader"</formula1>
      <formula2>0</formula2>
    </dataValidation>
    <dataValidation allowBlank="true" error="Escolha uma das opções da lista." errorStyle="stop" errorTitle="Valor inválido" operator="between" prompt="Para que serve o barramento." promptTitle="Opções" showDropDown="false" showErrorMessage="true" showInputMessage="true" sqref="F13:F32" type="list">
      <formula1>"Caixas da frente,Retorno de palco,Fone ou in-ear,Efeito,Subwoofer,Outra sala,Caixas de delay,Gravação,Transmissão,Conjunto de canais"</formula1>
      <formula2>0</formula2>
    </dataValidation>
    <dataValidation allowBlank="true" error="Escolha uma das opções da lista." errorStyle="stop" errorTitle="Valor inválido" operator="between" prompt="O grupo está endereçado ao master?" promptTitle="Opções" showDropDown="false" showErrorMessage="true" showInputMessage="true" sqref="I13:I32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4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137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138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4" t="s">
        <v>63</v>
      </c>
      <c r="C4" s="4"/>
      <c r="D4" s="5"/>
      <c r="E4" s="5"/>
      <c r="F4" s="5"/>
      <c r="G4" s="5"/>
      <c r="H4" s="5"/>
      <c r="I4" s="10" t="s">
        <v>139</v>
      </c>
      <c r="J4" s="10"/>
    </row>
    <row r="5" customFormat="false" ht="21.75" hidden="false" customHeight="true" outlineLevel="0" collapsed="false">
      <c r="B5" s="4" t="s">
        <v>67</v>
      </c>
      <c r="C5" s="4"/>
      <c r="D5" s="5"/>
      <c r="E5" s="5"/>
      <c r="F5" s="5"/>
      <c r="G5" s="5"/>
      <c r="H5" s="5"/>
      <c r="I5" s="10"/>
      <c r="J5" s="10"/>
    </row>
    <row r="6" customFormat="false" ht="21.75" hidden="false" customHeight="true" outlineLevel="0" collapsed="false">
      <c r="B6" s="4" t="s">
        <v>140</v>
      </c>
      <c r="C6" s="4"/>
      <c r="D6" s="9"/>
      <c r="E6" s="23" t="str">
        <f aca="false">IF(D6="","Informe o número da cena de partida",IF(COUNTIF(C12:C31,D6)=0,"A cena de partida não está registrada na tabela","OK"))</f>
        <v>Informe o número da cena de partida</v>
      </c>
      <c r="F6" s="23"/>
      <c r="G6" s="23"/>
      <c r="H6" s="23"/>
      <c r="I6" s="10"/>
      <c r="J6" s="10"/>
    </row>
    <row r="8" customFormat="false" ht="21.75" hidden="false" customHeight="true" outlineLevel="0" collapsed="false">
      <c r="B8" s="12" t="s">
        <v>141</v>
      </c>
      <c r="C8" s="12"/>
      <c r="D8" s="12"/>
      <c r="E8" s="12"/>
      <c r="F8" s="12"/>
      <c r="G8" s="12"/>
      <c r="H8" s="12"/>
      <c r="I8" s="12"/>
      <c r="J8" s="12"/>
    </row>
    <row r="9" customFormat="false" ht="30" hidden="false" customHeight="true" outlineLevel="0" collapsed="false">
      <c r="B9" s="13" t="s">
        <v>113</v>
      </c>
      <c r="C9" s="14" t="s">
        <v>142</v>
      </c>
      <c r="D9" s="14" t="s">
        <v>143</v>
      </c>
      <c r="E9" s="14" t="s">
        <v>64</v>
      </c>
      <c r="F9" s="14" t="s">
        <v>144</v>
      </c>
      <c r="G9" s="14" t="s">
        <v>145</v>
      </c>
      <c r="H9" s="14" t="s">
        <v>146</v>
      </c>
      <c r="I9" s="16" t="s">
        <v>11</v>
      </c>
      <c r="J9" s="13" t="s">
        <v>79</v>
      </c>
    </row>
    <row r="10" customFormat="false" ht="21.75" hidden="false" customHeight="true" outlineLevel="0" collapsed="false">
      <c r="B10" s="17"/>
      <c r="C10" s="17" t="s">
        <v>147</v>
      </c>
      <c r="D10" s="17"/>
      <c r="E10" s="17" t="s">
        <v>148</v>
      </c>
      <c r="F10" s="17"/>
      <c r="G10" s="17" t="s">
        <v>149</v>
      </c>
      <c r="H10" s="17" t="s">
        <v>86</v>
      </c>
      <c r="I10" s="17"/>
      <c r="J10" s="17"/>
    </row>
    <row r="11" customFormat="false" ht="24" hidden="false" customHeight="true" outlineLevel="0" collapsed="false">
      <c r="B11" s="17" t="s">
        <v>91</v>
      </c>
      <c r="C11" s="17" t="n">
        <v>12</v>
      </c>
      <c r="D11" s="10" t="s">
        <v>150</v>
      </c>
      <c r="E11" s="17" t="s">
        <v>151</v>
      </c>
      <c r="F11" s="10" t="s">
        <v>152</v>
      </c>
      <c r="G11" s="10" t="s">
        <v>153</v>
      </c>
      <c r="H11" s="17" t="s">
        <v>95</v>
      </c>
      <c r="I11" s="17" t="s">
        <v>154</v>
      </c>
      <c r="J11" s="10"/>
    </row>
    <row r="12" customFormat="false" ht="21.75" hidden="false" customHeight="true" outlineLevel="0" collapsed="false">
      <c r="B12" s="18" t="n">
        <v>1</v>
      </c>
      <c r="C12" s="9"/>
      <c r="D12" s="5"/>
      <c r="E12" s="25"/>
      <c r="F12" s="5"/>
      <c r="G12" s="5"/>
      <c r="H12" s="9"/>
      <c r="I12" s="20" t="str">
        <f aca="false">IF(AND(C12="",D12="",E12=""),"",IF(C12="","Falta número",IF(COUNTIF($C$12:$C$31,C12)&gt;1,"Número repetido",IF(E12="","Falta data",IF(H12&lt;&gt;"Sim","Sem cópia","OK")))))</f>
        <v/>
      </c>
      <c r="J12" s="5"/>
    </row>
    <row r="13" customFormat="false" ht="21.75" hidden="false" customHeight="true" outlineLevel="0" collapsed="false">
      <c r="B13" s="18" t="n">
        <v>2</v>
      </c>
      <c r="C13" s="9"/>
      <c r="D13" s="5"/>
      <c r="E13" s="25"/>
      <c r="F13" s="5"/>
      <c r="G13" s="5"/>
      <c r="H13" s="9"/>
      <c r="I13" s="20" t="str">
        <f aca="false">IF(AND(C13="",D13="",E13=""),"",IF(C13="","Falta número",IF(COUNTIF($C$12:$C$31,C13)&gt;1,"Número repetido",IF(E13="","Falta data",IF(H13&lt;&gt;"Sim","Sem cópia","OK")))))</f>
        <v/>
      </c>
      <c r="J13" s="5"/>
    </row>
    <row r="14" customFormat="false" ht="21.75" hidden="false" customHeight="true" outlineLevel="0" collapsed="false">
      <c r="B14" s="18" t="n">
        <v>3</v>
      </c>
      <c r="C14" s="9"/>
      <c r="D14" s="5"/>
      <c r="E14" s="25"/>
      <c r="F14" s="5"/>
      <c r="G14" s="5"/>
      <c r="H14" s="9"/>
      <c r="I14" s="20" t="str">
        <f aca="false">IF(AND(C14="",D14="",E14=""),"",IF(C14="","Falta número",IF(COUNTIF($C$12:$C$31,C14)&gt;1,"Número repetido",IF(E14="","Falta data",IF(H14&lt;&gt;"Sim","Sem cópia","OK")))))</f>
        <v/>
      </c>
      <c r="J14" s="5"/>
    </row>
    <row r="15" customFormat="false" ht="21.75" hidden="false" customHeight="true" outlineLevel="0" collapsed="false">
      <c r="B15" s="18" t="n">
        <v>4</v>
      </c>
      <c r="C15" s="9"/>
      <c r="D15" s="5"/>
      <c r="E15" s="25"/>
      <c r="F15" s="5"/>
      <c r="G15" s="5"/>
      <c r="H15" s="9"/>
      <c r="I15" s="20" t="str">
        <f aca="false">IF(AND(C15="",D15="",E15=""),"",IF(C15="","Falta número",IF(COUNTIF($C$12:$C$31,C15)&gt;1,"Número repetido",IF(E15="","Falta data",IF(H15&lt;&gt;"Sim","Sem cópia","OK")))))</f>
        <v/>
      </c>
      <c r="J15" s="5"/>
    </row>
    <row r="16" customFormat="false" ht="21.75" hidden="false" customHeight="true" outlineLevel="0" collapsed="false">
      <c r="B16" s="18" t="n">
        <v>5</v>
      </c>
      <c r="C16" s="9"/>
      <c r="D16" s="5"/>
      <c r="E16" s="25"/>
      <c r="F16" s="5"/>
      <c r="G16" s="5"/>
      <c r="H16" s="9"/>
      <c r="I16" s="20" t="str">
        <f aca="false">IF(AND(C16="",D16="",E16=""),"",IF(C16="","Falta número",IF(COUNTIF($C$12:$C$31,C16)&gt;1,"Número repetido",IF(E16="","Falta data",IF(H16&lt;&gt;"Sim","Sem cópia","OK")))))</f>
        <v/>
      </c>
      <c r="J16" s="5"/>
    </row>
    <row r="17" customFormat="false" ht="21.75" hidden="false" customHeight="true" outlineLevel="0" collapsed="false">
      <c r="B17" s="18" t="n">
        <v>6</v>
      </c>
      <c r="C17" s="9"/>
      <c r="D17" s="5"/>
      <c r="E17" s="25"/>
      <c r="F17" s="5"/>
      <c r="G17" s="5"/>
      <c r="H17" s="9"/>
      <c r="I17" s="20" t="str">
        <f aca="false">IF(AND(C17="",D17="",E17=""),"",IF(C17="","Falta número",IF(COUNTIF($C$12:$C$31,C17)&gt;1,"Número repetido",IF(E17="","Falta data",IF(H17&lt;&gt;"Sim","Sem cópia","OK")))))</f>
        <v/>
      </c>
      <c r="J17" s="5"/>
    </row>
    <row r="18" customFormat="false" ht="21.75" hidden="false" customHeight="true" outlineLevel="0" collapsed="false">
      <c r="B18" s="18" t="n">
        <v>7</v>
      </c>
      <c r="C18" s="9"/>
      <c r="D18" s="5"/>
      <c r="E18" s="25"/>
      <c r="F18" s="5"/>
      <c r="G18" s="5"/>
      <c r="H18" s="9"/>
      <c r="I18" s="20" t="str">
        <f aca="false">IF(AND(C18="",D18="",E18=""),"",IF(C18="","Falta número",IF(COUNTIF($C$12:$C$31,C18)&gt;1,"Número repetido",IF(E18="","Falta data",IF(H18&lt;&gt;"Sim","Sem cópia","OK")))))</f>
        <v/>
      </c>
      <c r="J18" s="5"/>
    </row>
    <row r="19" customFormat="false" ht="21.75" hidden="false" customHeight="true" outlineLevel="0" collapsed="false">
      <c r="B19" s="18" t="n">
        <v>8</v>
      </c>
      <c r="C19" s="9"/>
      <c r="D19" s="5"/>
      <c r="E19" s="25"/>
      <c r="F19" s="5"/>
      <c r="G19" s="5"/>
      <c r="H19" s="9"/>
      <c r="I19" s="20" t="str">
        <f aca="false">IF(AND(C19="",D19="",E19=""),"",IF(C19="","Falta número",IF(COUNTIF($C$12:$C$31,C19)&gt;1,"Número repetido",IF(E19="","Falta data",IF(H19&lt;&gt;"Sim","Sem cópia","OK")))))</f>
        <v/>
      </c>
      <c r="J19" s="5"/>
    </row>
    <row r="20" customFormat="false" ht="21.75" hidden="false" customHeight="true" outlineLevel="0" collapsed="false">
      <c r="B20" s="18" t="n">
        <v>9</v>
      </c>
      <c r="C20" s="9"/>
      <c r="D20" s="5"/>
      <c r="E20" s="25"/>
      <c r="F20" s="5"/>
      <c r="G20" s="5"/>
      <c r="H20" s="9"/>
      <c r="I20" s="20" t="str">
        <f aca="false">IF(AND(C20="",D20="",E20=""),"",IF(C20="","Falta número",IF(COUNTIF($C$12:$C$31,C20)&gt;1,"Número repetido",IF(E20="","Falta data",IF(H20&lt;&gt;"Sim","Sem cópia","OK")))))</f>
        <v/>
      </c>
      <c r="J20" s="5"/>
    </row>
    <row r="21" customFormat="false" ht="21.75" hidden="false" customHeight="true" outlineLevel="0" collapsed="false">
      <c r="B21" s="18" t="n">
        <v>10</v>
      </c>
      <c r="C21" s="9"/>
      <c r="D21" s="5"/>
      <c r="E21" s="25"/>
      <c r="F21" s="5"/>
      <c r="G21" s="5"/>
      <c r="H21" s="9"/>
      <c r="I21" s="20" t="str">
        <f aca="false">IF(AND(C21="",D21="",E21=""),"",IF(C21="","Falta número",IF(COUNTIF($C$12:$C$31,C21)&gt;1,"Número repetido",IF(E21="","Falta data",IF(H21&lt;&gt;"Sim","Sem cópia","OK")))))</f>
        <v/>
      </c>
      <c r="J21" s="5"/>
    </row>
    <row r="22" customFormat="false" ht="21.75" hidden="false" customHeight="true" outlineLevel="0" collapsed="false">
      <c r="B22" s="18" t="n">
        <v>11</v>
      </c>
      <c r="C22" s="9"/>
      <c r="D22" s="5"/>
      <c r="E22" s="25"/>
      <c r="F22" s="5"/>
      <c r="G22" s="5"/>
      <c r="H22" s="9"/>
      <c r="I22" s="20" t="str">
        <f aca="false">IF(AND(C22="",D22="",E22=""),"",IF(C22="","Falta número",IF(COUNTIF($C$12:$C$31,C22)&gt;1,"Número repetido",IF(E22="","Falta data",IF(H22&lt;&gt;"Sim","Sem cópia","OK")))))</f>
        <v/>
      </c>
      <c r="J22" s="5"/>
    </row>
    <row r="23" customFormat="false" ht="21.75" hidden="false" customHeight="true" outlineLevel="0" collapsed="false">
      <c r="B23" s="18" t="n">
        <v>12</v>
      </c>
      <c r="C23" s="9"/>
      <c r="D23" s="5"/>
      <c r="E23" s="25"/>
      <c r="F23" s="5"/>
      <c r="G23" s="5"/>
      <c r="H23" s="9"/>
      <c r="I23" s="20" t="str">
        <f aca="false">IF(AND(C23="",D23="",E23=""),"",IF(C23="","Falta número",IF(COUNTIF($C$12:$C$31,C23)&gt;1,"Número repetido",IF(E23="","Falta data",IF(H23&lt;&gt;"Sim","Sem cópia","OK")))))</f>
        <v/>
      </c>
      <c r="J23" s="5"/>
    </row>
    <row r="24" customFormat="false" ht="21.75" hidden="false" customHeight="true" outlineLevel="0" collapsed="false">
      <c r="B24" s="18" t="n">
        <v>13</v>
      </c>
      <c r="C24" s="9"/>
      <c r="D24" s="5"/>
      <c r="E24" s="25"/>
      <c r="F24" s="5"/>
      <c r="G24" s="5"/>
      <c r="H24" s="9"/>
      <c r="I24" s="20" t="str">
        <f aca="false">IF(AND(C24="",D24="",E24=""),"",IF(C24="","Falta número",IF(COUNTIF($C$12:$C$31,C24)&gt;1,"Número repetido",IF(E24="","Falta data",IF(H24&lt;&gt;"Sim","Sem cópia","OK")))))</f>
        <v/>
      </c>
      <c r="J24" s="5"/>
    </row>
    <row r="25" customFormat="false" ht="21.75" hidden="false" customHeight="true" outlineLevel="0" collapsed="false">
      <c r="B25" s="18" t="n">
        <v>14</v>
      </c>
      <c r="C25" s="9"/>
      <c r="D25" s="5"/>
      <c r="E25" s="25"/>
      <c r="F25" s="5"/>
      <c r="G25" s="5"/>
      <c r="H25" s="9"/>
      <c r="I25" s="20" t="str">
        <f aca="false">IF(AND(C25="",D25="",E25=""),"",IF(C25="","Falta número",IF(COUNTIF($C$12:$C$31,C25)&gt;1,"Número repetido",IF(E25="","Falta data",IF(H25&lt;&gt;"Sim","Sem cópia","OK")))))</f>
        <v/>
      </c>
      <c r="J25" s="5"/>
    </row>
    <row r="26" customFormat="false" ht="21.75" hidden="false" customHeight="true" outlineLevel="0" collapsed="false">
      <c r="B26" s="18" t="n">
        <v>15</v>
      </c>
      <c r="C26" s="9"/>
      <c r="D26" s="5"/>
      <c r="E26" s="25"/>
      <c r="F26" s="5"/>
      <c r="G26" s="5"/>
      <c r="H26" s="9"/>
      <c r="I26" s="20" t="str">
        <f aca="false">IF(AND(C26="",D26="",E26=""),"",IF(C26="","Falta número",IF(COUNTIF($C$12:$C$31,C26)&gt;1,"Número repetido",IF(E26="","Falta data",IF(H26&lt;&gt;"Sim","Sem cópia","OK")))))</f>
        <v/>
      </c>
      <c r="J26" s="5"/>
    </row>
    <row r="27" customFormat="false" ht="21.75" hidden="false" customHeight="true" outlineLevel="0" collapsed="false">
      <c r="B27" s="18" t="n">
        <v>16</v>
      </c>
      <c r="C27" s="9"/>
      <c r="D27" s="5"/>
      <c r="E27" s="25"/>
      <c r="F27" s="5"/>
      <c r="G27" s="5"/>
      <c r="H27" s="9"/>
      <c r="I27" s="20" t="str">
        <f aca="false">IF(AND(C27="",D27="",E27=""),"",IF(C27="","Falta número",IF(COUNTIF($C$12:$C$31,C27)&gt;1,"Número repetido",IF(E27="","Falta data",IF(H27&lt;&gt;"Sim","Sem cópia","OK")))))</f>
        <v/>
      </c>
      <c r="J27" s="5"/>
    </row>
    <row r="28" customFormat="false" ht="21.75" hidden="false" customHeight="true" outlineLevel="0" collapsed="false">
      <c r="B28" s="18" t="n">
        <v>17</v>
      </c>
      <c r="C28" s="9"/>
      <c r="D28" s="5"/>
      <c r="E28" s="25"/>
      <c r="F28" s="5"/>
      <c r="G28" s="5"/>
      <c r="H28" s="9"/>
      <c r="I28" s="20" t="str">
        <f aca="false">IF(AND(C28="",D28="",E28=""),"",IF(C28="","Falta número",IF(COUNTIF($C$12:$C$31,C28)&gt;1,"Número repetido",IF(E28="","Falta data",IF(H28&lt;&gt;"Sim","Sem cópia","OK")))))</f>
        <v/>
      </c>
      <c r="J28" s="5"/>
    </row>
    <row r="29" customFormat="false" ht="21.75" hidden="false" customHeight="true" outlineLevel="0" collapsed="false">
      <c r="B29" s="18" t="n">
        <v>18</v>
      </c>
      <c r="C29" s="9"/>
      <c r="D29" s="5"/>
      <c r="E29" s="25"/>
      <c r="F29" s="5"/>
      <c r="G29" s="5"/>
      <c r="H29" s="9"/>
      <c r="I29" s="20" t="str">
        <f aca="false">IF(AND(C29="",D29="",E29=""),"",IF(C29="","Falta número",IF(COUNTIF($C$12:$C$31,C29)&gt;1,"Número repetido",IF(E29="","Falta data",IF(H29&lt;&gt;"Sim","Sem cópia","OK")))))</f>
        <v/>
      </c>
      <c r="J29" s="5"/>
    </row>
    <row r="30" customFormat="false" ht="21.75" hidden="false" customHeight="true" outlineLevel="0" collapsed="false">
      <c r="B30" s="18" t="n">
        <v>19</v>
      </c>
      <c r="C30" s="9"/>
      <c r="D30" s="5"/>
      <c r="E30" s="25"/>
      <c r="F30" s="5"/>
      <c r="G30" s="5"/>
      <c r="H30" s="9"/>
      <c r="I30" s="20" t="str">
        <f aca="false">IF(AND(C30="",D30="",E30=""),"",IF(C30="","Falta número",IF(COUNTIF($C$12:$C$31,C30)&gt;1,"Número repetido",IF(E30="","Falta data",IF(H30&lt;&gt;"Sim","Sem cópia","OK")))))</f>
        <v/>
      </c>
      <c r="J30" s="5"/>
    </row>
    <row r="31" customFormat="false" ht="21.75" hidden="false" customHeight="true" outlineLevel="0" collapsed="false">
      <c r="B31" s="18" t="n">
        <v>20</v>
      </c>
      <c r="C31" s="9"/>
      <c r="D31" s="5"/>
      <c r="E31" s="25"/>
      <c r="F31" s="5"/>
      <c r="G31" s="5"/>
      <c r="H31" s="9"/>
      <c r="I31" s="20" t="str">
        <f aca="false">IF(AND(C31="",D31="",E31=""),"",IF(C31="","Falta número",IF(COUNTIF($C$12:$C$31,C31)&gt;1,"Número repetido",IF(E31="","Falta data",IF(H31&lt;&gt;"Sim","Sem cópia","OK")))))</f>
        <v/>
      </c>
      <c r="J31" s="5"/>
    </row>
    <row r="33" customFormat="false" ht="21.75" hidden="false" customHeight="true" outlineLevel="0" collapsed="false">
      <c r="B33" s="12" t="s">
        <v>100</v>
      </c>
      <c r="C33" s="12"/>
      <c r="D33" s="12"/>
      <c r="E33" s="12"/>
      <c r="F33" s="12"/>
      <c r="G33" s="12"/>
      <c r="H33" s="12"/>
      <c r="I33" s="12"/>
      <c r="J33" s="12"/>
    </row>
    <row r="34" customFormat="false" ht="19.5" hidden="false" customHeight="true" outlineLevel="0" collapsed="false">
      <c r="B34" s="22" t="s">
        <v>155</v>
      </c>
      <c r="C34" s="22"/>
      <c r="D34" s="22"/>
      <c r="E34" s="8" t="n">
        <f aca="false">COUNTA(D12:D31)</f>
        <v>0</v>
      </c>
    </row>
    <row r="35" customFormat="false" ht="19.5" hidden="false" customHeight="true" outlineLevel="0" collapsed="false">
      <c r="B35" s="22" t="s">
        <v>156</v>
      </c>
      <c r="C35" s="22"/>
      <c r="D35" s="22"/>
      <c r="E35" s="8" t="n">
        <f aca="false">COUNTIF(I12:I31,"Sem cópia")</f>
        <v>0</v>
      </c>
    </row>
    <row r="36" customFormat="false" ht="19.5" hidden="false" customHeight="true" outlineLevel="0" collapsed="false">
      <c r="B36" s="22" t="s">
        <v>157</v>
      </c>
      <c r="C36" s="22"/>
      <c r="D36" s="22"/>
      <c r="E36" s="26" t="str">
        <f aca="false">IF(COUNT(E12:E31)=0,"",MAX(E12:E31))</f>
        <v/>
      </c>
    </row>
    <row r="37" customFormat="false" ht="21.75" hidden="false" customHeight="true" outlineLevel="0" collapsed="false">
      <c r="B37" s="22" t="s">
        <v>107</v>
      </c>
      <c r="C37" s="22"/>
      <c r="D37" s="22"/>
      <c r="E37" s="23" t="str">
        <f aca="false">IF(E34=0,"Registre as cenas",IF(COUNTIF(I12:I31,"OK")&lt;E34,"Há cena com aviso: veja a coluna Situação","OK"))</f>
        <v>Registre as cenas</v>
      </c>
      <c r="F37" s="23"/>
      <c r="G37" s="23"/>
      <c r="H37" s="23"/>
    </row>
  </sheetData>
  <mergeCells count="16">
    <mergeCell ref="B1:J1"/>
    <mergeCell ref="B2:J2"/>
    <mergeCell ref="B4:C4"/>
    <mergeCell ref="D4:H4"/>
    <mergeCell ref="I4:J6"/>
    <mergeCell ref="B5:C5"/>
    <mergeCell ref="D5:H5"/>
    <mergeCell ref="B6:C6"/>
    <mergeCell ref="E6:H6"/>
    <mergeCell ref="B8:J8"/>
    <mergeCell ref="B33:J33"/>
    <mergeCell ref="B34:D34"/>
    <mergeCell ref="B35:D35"/>
    <mergeCell ref="B36:D36"/>
    <mergeCell ref="B37:D37"/>
    <mergeCell ref="E37:H37"/>
  </mergeCells>
  <conditionalFormatting sqref="E6:H6">
    <cfRule type="cellIs" priority="2" operator="equal" aboveAverage="0" equalAverage="0" bottom="0" percent="0" rank="0" text="" dxfId="1">
      <formula>"OK"</formula>
    </cfRule>
    <cfRule type="cellIs" priority="3" operator="notEqual" aboveAverage="0" equalAverage="0" bottom="0" percent="0" rank="0" text="" dxfId="2">
      <formula>"OK"</formula>
    </cfRule>
  </conditionalFormatting>
  <conditionalFormatting sqref="I12:I31">
    <cfRule type="cellIs" priority="4" operator="equal" aboveAverage="0" equalAverage="0" bottom="0" percent="0" rank="0" text="" dxfId="0">
      <formula>"Número repetido"</formula>
    </cfRule>
    <cfRule type="cellIs" priority="5" operator="equal" aboveAverage="0" equalAverage="0" bottom="0" percent="0" rank="0" text="" dxfId="1">
      <formula>"OK"</formula>
    </cfRule>
    <cfRule type="expression" priority="6" aboveAverage="0" equalAverage="0" bottom="0" percent="0" rank="0" text="" dxfId="2">
      <formula>AND(LEN(I12)&gt;0,I12&lt;&gt;"OK")</formula>
    </cfRule>
  </conditionalFormatting>
  <conditionalFormatting sqref="E37:H37">
    <cfRule type="cellIs" priority="7" operator="equal" aboveAverage="0" equalAverage="0" bottom="0" percent="0" rank="0" text="" dxfId="1">
      <formula>"OK"</formula>
    </cfRule>
    <cfRule type="cellIs" priority="8" operator="notEqual" aboveAverage="0" equalAverage="0" bottom="0" percent="0" rank="0" text="" dxfId="2">
      <formula>"OK"</formula>
    </cfRule>
  </conditionalFormatting>
  <dataValidations count="4">
    <dataValidation allowBlank="true" error="Digite apenas o número, sem texto nem unidade." errorStyle="stop" errorTitle="Valor inválido" operator="between" showDropDown="false" showErrorMessage="true" showInputMessage="false" sqref="D6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2:C31" type="decimal">
      <formula1>-1000000000</formula1>
      <formula2>1000000000</formula2>
    </dataValidation>
    <dataValidation allowBlank="true" error="Digite uma data no formato dia/mês/ano." errorStyle="stop" errorTitle="Data inválida" operator="greaterThanOrEqual" showDropDown="false" showErrorMessage="true" showInputMessage="false" sqref="E12:E31" type="date">
      <formula1>36526</formula1>
      <formula2>0</formula2>
    </dataValidation>
    <dataValidation allowBlank="true" error="Escolha uma das opções da lista." errorStyle="stop" errorTitle="Valor inválido" operator="between" prompt="Há cópia da cena fora da mesa (pendrive, computador)?" promptTitle="Opções" showDropDown="false" showErrorMessage="true" showInputMessage="true" sqref="H12:H31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5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158</v>
      </c>
      <c r="C1" s="1"/>
      <c r="D1" s="1"/>
      <c r="E1" s="1"/>
    </row>
    <row r="2" customFormat="false" ht="19.5" hidden="false" customHeight="true" outlineLevel="0" collapsed="false">
      <c r="B2" s="2" t="s">
        <v>159</v>
      </c>
      <c r="C2" s="2"/>
      <c r="D2" s="2"/>
      <c r="E2" s="2"/>
    </row>
    <row r="4" customFormat="false" ht="21.75" hidden="false" customHeight="true" outlineLevel="0" collapsed="false">
      <c r="B4" s="12" t="s">
        <v>160</v>
      </c>
      <c r="C4" s="12"/>
      <c r="D4" s="12"/>
      <c r="E4" s="12"/>
    </row>
    <row r="5" customFormat="false" ht="21.75" hidden="false" customHeight="true" outlineLevel="0" collapsed="false">
      <c r="B5" s="8" t="s">
        <v>161</v>
      </c>
      <c r="C5" s="8" t="s">
        <v>162</v>
      </c>
      <c r="D5" s="8" t="s">
        <v>163</v>
      </c>
      <c r="E5" s="8" t="s">
        <v>164</v>
      </c>
    </row>
    <row r="6" customFormat="false" ht="31.5" hidden="false" customHeight="true" outlineLevel="0" collapsed="false">
      <c r="B6" s="27" t="s">
        <v>165</v>
      </c>
      <c r="C6" s="7" t="s">
        <v>166</v>
      </c>
      <c r="D6" s="7" t="s">
        <v>167</v>
      </c>
      <c r="E6" s="7" t="s">
        <v>168</v>
      </c>
    </row>
    <row r="7" customFormat="false" ht="31.5" hidden="false" customHeight="true" outlineLevel="0" collapsed="false">
      <c r="B7" s="27" t="s">
        <v>169</v>
      </c>
      <c r="C7" s="7" t="s">
        <v>170</v>
      </c>
      <c r="D7" s="7" t="s">
        <v>167</v>
      </c>
      <c r="E7" s="7" t="s">
        <v>171</v>
      </c>
    </row>
    <row r="8" customFormat="false" ht="31.5" hidden="false" customHeight="true" outlineLevel="0" collapsed="false">
      <c r="B8" s="27" t="s">
        <v>172</v>
      </c>
      <c r="C8" s="7" t="s">
        <v>173</v>
      </c>
      <c r="D8" s="7" t="s">
        <v>174</v>
      </c>
      <c r="E8" s="7" t="s">
        <v>171</v>
      </c>
    </row>
    <row r="9" customFormat="false" ht="31.5" hidden="false" customHeight="true" outlineLevel="0" collapsed="false">
      <c r="B9" s="27" t="s">
        <v>175</v>
      </c>
      <c r="C9" s="7" t="s">
        <v>176</v>
      </c>
      <c r="D9" s="7" t="s">
        <v>177</v>
      </c>
      <c r="E9" s="7" t="s">
        <v>178</v>
      </c>
    </row>
    <row r="10" customFormat="false" ht="31.5" hidden="false" customHeight="true" outlineLevel="0" collapsed="false">
      <c r="B10" s="27" t="s">
        <v>179</v>
      </c>
      <c r="C10" s="7" t="s">
        <v>180</v>
      </c>
      <c r="D10" s="7" t="s">
        <v>181</v>
      </c>
      <c r="E10" s="7" t="s">
        <v>182</v>
      </c>
    </row>
    <row r="11" customFormat="false" ht="31.5" hidden="false" customHeight="true" outlineLevel="0" collapsed="false">
      <c r="B11" s="27" t="s">
        <v>183</v>
      </c>
      <c r="C11" s="7" t="s">
        <v>184</v>
      </c>
      <c r="D11" s="7" t="s">
        <v>185</v>
      </c>
      <c r="E11" s="7" t="s">
        <v>182</v>
      </c>
    </row>
    <row r="12" customFormat="false" ht="31.5" hidden="false" customHeight="true" outlineLevel="0" collapsed="false">
      <c r="B12" s="27" t="s">
        <v>186</v>
      </c>
      <c r="C12" s="7" t="s">
        <v>187</v>
      </c>
      <c r="D12" s="7" t="s">
        <v>188</v>
      </c>
      <c r="E12" s="7" t="s">
        <v>189</v>
      </c>
    </row>
    <row r="13" customFormat="false" ht="31.5" hidden="false" customHeight="true" outlineLevel="0" collapsed="false">
      <c r="B13" s="27" t="s">
        <v>190</v>
      </c>
      <c r="C13" s="7" t="s">
        <v>191</v>
      </c>
      <c r="D13" s="7" t="s">
        <v>192</v>
      </c>
      <c r="E13" s="7" t="s">
        <v>193</v>
      </c>
    </row>
    <row r="14" customFormat="false" ht="31.5" hidden="false" customHeight="true" outlineLevel="0" collapsed="false">
      <c r="B14" s="27" t="s">
        <v>194</v>
      </c>
      <c r="C14" s="7" t="s">
        <v>195</v>
      </c>
      <c r="D14" s="7" t="s">
        <v>196</v>
      </c>
      <c r="E14" s="7" t="s">
        <v>197</v>
      </c>
    </row>
    <row r="15" customFormat="false" ht="31.5" hidden="false" customHeight="true" outlineLevel="0" collapsed="false">
      <c r="B15" s="27" t="s">
        <v>198</v>
      </c>
      <c r="C15" s="7" t="s">
        <v>199</v>
      </c>
      <c r="D15" s="7" t="s">
        <v>200</v>
      </c>
      <c r="E15" s="7" t="s">
        <v>171</v>
      </c>
    </row>
    <row r="16" customFormat="false" ht="31.5" hidden="false" customHeight="true" outlineLevel="0" collapsed="false">
      <c r="B16" s="27" t="s">
        <v>201</v>
      </c>
      <c r="C16" s="7" t="s">
        <v>202</v>
      </c>
      <c r="D16" s="7" t="s">
        <v>203</v>
      </c>
      <c r="E16" s="7" t="s">
        <v>204</v>
      </c>
    </row>
    <row r="17" customFormat="false" ht="31.5" hidden="false" customHeight="true" outlineLevel="0" collapsed="false">
      <c r="B17" s="27" t="s">
        <v>205</v>
      </c>
      <c r="C17" s="7" t="s">
        <v>206</v>
      </c>
      <c r="D17" s="7" t="s">
        <v>207</v>
      </c>
      <c r="E17" s="7" t="s">
        <v>171</v>
      </c>
    </row>
    <row r="18" customFormat="false" ht="31.5" hidden="false" customHeight="true" outlineLevel="0" collapsed="false">
      <c r="B18" s="27" t="s">
        <v>208</v>
      </c>
      <c r="C18" s="7" t="s">
        <v>209</v>
      </c>
      <c r="D18" s="7" t="s">
        <v>207</v>
      </c>
      <c r="E18" s="7" t="s">
        <v>171</v>
      </c>
    </row>
    <row r="20" customFormat="false" ht="21.75" hidden="false" customHeight="true" outlineLevel="0" collapsed="false">
      <c r="B20" s="12" t="s">
        <v>210</v>
      </c>
      <c r="C20" s="12"/>
      <c r="D20" s="12"/>
      <c r="E20" s="12"/>
    </row>
    <row r="21" customFormat="false" ht="21.75" hidden="false" customHeight="true" outlineLevel="0" collapsed="false">
      <c r="B21" s="8" t="s">
        <v>114</v>
      </c>
      <c r="C21" s="8" t="s">
        <v>211</v>
      </c>
      <c r="D21" s="8" t="s">
        <v>212</v>
      </c>
      <c r="E21" s="8" t="s">
        <v>213</v>
      </c>
    </row>
    <row r="22" customFormat="false" ht="31.5" hidden="false" customHeight="true" outlineLevel="0" collapsed="false">
      <c r="B22" s="27" t="s">
        <v>214</v>
      </c>
      <c r="C22" s="7" t="s">
        <v>215</v>
      </c>
      <c r="D22" s="7" t="s">
        <v>216</v>
      </c>
      <c r="E22" s="7" t="s">
        <v>217</v>
      </c>
    </row>
    <row r="23" customFormat="false" ht="31.5" hidden="false" customHeight="true" outlineLevel="0" collapsed="false">
      <c r="B23" s="27" t="s">
        <v>218</v>
      </c>
      <c r="C23" s="7" t="s">
        <v>219</v>
      </c>
      <c r="D23" s="7" t="s">
        <v>220</v>
      </c>
      <c r="E23" s="7" t="s">
        <v>221</v>
      </c>
    </row>
    <row r="24" customFormat="false" ht="31.5" hidden="false" customHeight="true" outlineLevel="0" collapsed="false">
      <c r="B24" s="27" t="s">
        <v>125</v>
      </c>
      <c r="C24" s="7" t="s">
        <v>222</v>
      </c>
      <c r="D24" s="7" t="s">
        <v>223</v>
      </c>
      <c r="E24" s="7" t="s">
        <v>224</v>
      </c>
    </row>
    <row r="25" customFormat="false" ht="31.5" hidden="false" customHeight="true" outlineLevel="0" collapsed="false">
      <c r="B25" s="27" t="s">
        <v>225</v>
      </c>
      <c r="C25" s="7" t="s">
        <v>226</v>
      </c>
      <c r="D25" s="7" t="s">
        <v>227</v>
      </c>
      <c r="E25" s="7" t="s">
        <v>228</v>
      </c>
    </row>
    <row r="26" customFormat="false" ht="31.5" hidden="false" customHeight="true" outlineLevel="0" collapsed="false">
      <c r="B26" s="27" t="s">
        <v>229</v>
      </c>
      <c r="C26" s="7" t="s">
        <v>230</v>
      </c>
      <c r="D26" s="7" t="s">
        <v>231</v>
      </c>
      <c r="E26" s="7" t="s">
        <v>232</v>
      </c>
    </row>
    <row r="28" customFormat="false" ht="21.75" hidden="false" customHeight="true" outlineLevel="0" collapsed="false">
      <c r="B28" s="12" t="s">
        <v>233</v>
      </c>
      <c r="C28" s="12"/>
      <c r="D28" s="12"/>
      <c r="E28" s="12"/>
    </row>
    <row r="29" customFormat="false" ht="21.75" hidden="false" customHeight="true" outlineLevel="0" collapsed="false">
      <c r="B29" s="8" t="s">
        <v>116</v>
      </c>
      <c r="C29" s="8" t="s">
        <v>115</v>
      </c>
      <c r="D29" s="8" t="s">
        <v>234</v>
      </c>
      <c r="E29" s="8" t="s">
        <v>235</v>
      </c>
    </row>
    <row r="30" customFormat="false" ht="31.5" hidden="false" customHeight="true" outlineLevel="0" collapsed="false">
      <c r="B30" s="27" t="s">
        <v>236</v>
      </c>
      <c r="C30" s="7" t="s">
        <v>130</v>
      </c>
      <c r="D30" s="7" t="s">
        <v>237</v>
      </c>
      <c r="E30" s="7" t="s">
        <v>238</v>
      </c>
    </row>
    <row r="31" customFormat="false" ht="31.5" hidden="false" customHeight="true" outlineLevel="0" collapsed="false">
      <c r="B31" s="27" t="s">
        <v>239</v>
      </c>
      <c r="C31" s="7" t="s">
        <v>126</v>
      </c>
      <c r="D31" s="7" t="s">
        <v>240</v>
      </c>
      <c r="E31" s="7" t="s">
        <v>241</v>
      </c>
    </row>
    <row r="32" customFormat="false" ht="31.5" hidden="false" customHeight="true" outlineLevel="0" collapsed="false">
      <c r="B32" s="27" t="s">
        <v>242</v>
      </c>
      <c r="C32" s="7" t="s">
        <v>126</v>
      </c>
      <c r="D32" s="7" t="s">
        <v>243</v>
      </c>
      <c r="E32" s="7" t="s">
        <v>244</v>
      </c>
    </row>
    <row r="33" customFormat="false" ht="31.5" hidden="false" customHeight="true" outlineLevel="0" collapsed="false">
      <c r="B33" s="27" t="s">
        <v>245</v>
      </c>
      <c r="C33" s="7" t="s">
        <v>126</v>
      </c>
      <c r="D33" s="7" t="s">
        <v>246</v>
      </c>
      <c r="E33" s="7" t="s">
        <v>247</v>
      </c>
    </row>
    <row r="34" customFormat="false" ht="31.5" hidden="false" customHeight="true" outlineLevel="0" collapsed="false">
      <c r="B34" s="27" t="s">
        <v>248</v>
      </c>
      <c r="C34" s="7" t="s">
        <v>249</v>
      </c>
      <c r="D34" s="7" t="s">
        <v>250</v>
      </c>
      <c r="E34" s="7" t="s">
        <v>251</v>
      </c>
    </row>
    <row r="36" customFormat="false" ht="21.75" hidden="false" customHeight="true" outlineLevel="0" collapsed="false">
      <c r="B36" s="12" t="s">
        <v>252</v>
      </c>
      <c r="C36" s="12"/>
      <c r="D36" s="12"/>
      <c r="E36" s="12"/>
    </row>
    <row r="37" customFormat="false" ht="21.75" hidden="false" customHeight="true" outlineLevel="0" collapsed="false">
      <c r="B37" s="8" t="s">
        <v>253</v>
      </c>
      <c r="C37" s="8" t="s">
        <v>254</v>
      </c>
      <c r="D37" s="8" t="s">
        <v>255</v>
      </c>
      <c r="E37" s="8" t="s">
        <v>79</v>
      </c>
    </row>
    <row r="38" customFormat="false" ht="31.5" hidden="false" customHeight="true" outlineLevel="0" collapsed="false">
      <c r="B38" s="27" t="s">
        <v>256</v>
      </c>
      <c r="C38" s="7" t="s">
        <v>257</v>
      </c>
      <c r="D38" s="7" t="s">
        <v>258</v>
      </c>
      <c r="E38" s="7" t="s">
        <v>259</v>
      </c>
    </row>
    <row r="39" customFormat="false" ht="31.5" hidden="false" customHeight="true" outlineLevel="0" collapsed="false">
      <c r="B39" s="27" t="s">
        <v>260</v>
      </c>
      <c r="C39" s="7" t="s">
        <v>261</v>
      </c>
      <c r="D39" s="7" t="s">
        <v>262</v>
      </c>
      <c r="E39" s="7" t="s">
        <v>263</v>
      </c>
    </row>
    <row r="40" customFormat="false" ht="31.5" hidden="false" customHeight="true" outlineLevel="0" collapsed="false">
      <c r="B40" s="27" t="s">
        <v>264</v>
      </c>
      <c r="C40" s="7" t="s">
        <v>265</v>
      </c>
      <c r="D40" s="7" t="s">
        <v>266</v>
      </c>
      <c r="E40" s="7" t="s">
        <v>267</v>
      </c>
    </row>
    <row r="41" customFormat="false" ht="31.5" hidden="false" customHeight="true" outlineLevel="0" collapsed="false">
      <c r="B41" s="27" t="s">
        <v>268</v>
      </c>
      <c r="C41" s="7" t="s">
        <v>269</v>
      </c>
      <c r="D41" s="7" t="s">
        <v>270</v>
      </c>
      <c r="E41" s="7" t="s">
        <v>271</v>
      </c>
    </row>
    <row r="42" customFormat="false" ht="15" hidden="false" customHeight="true" outlineLevel="0" collapsed="false">
      <c r="B42" s="10" t="s">
        <v>272</v>
      </c>
      <c r="C42" s="10"/>
      <c r="D42" s="10"/>
      <c r="E42" s="10"/>
    </row>
  </sheetData>
  <mergeCells count="7">
    <mergeCell ref="B1:E1"/>
    <mergeCell ref="B2:E2"/>
    <mergeCell ref="B4:E4"/>
    <mergeCell ref="B20:E20"/>
    <mergeCell ref="B28:E28"/>
    <mergeCell ref="B36:E36"/>
    <mergeCell ref="B42:E4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273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274</v>
      </c>
      <c r="C2" s="2"/>
      <c r="D2" s="2"/>
      <c r="E2" s="2"/>
      <c r="F2" s="2"/>
    </row>
    <row r="4" customFormat="false" ht="21.75" hidden="false" customHeight="true" outlineLevel="0" collapsed="false">
      <c r="B4" s="13" t="s">
        <v>113</v>
      </c>
      <c r="C4" s="13" t="s">
        <v>275</v>
      </c>
      <c r="D4" s="13" t="s">
        <v>276</v>
      </c>
      <c r="E4" s="13" t="s">
        <v>11</v>
      </c>
      <c r="F4" s="13" t="s">
        <v>79</v>
      </c>
    </row>
    <row r="5" customFormat="false" ht="31.5" hidden="false" customHeight="true" outlineLevel="0" collapsed="false">
      <c r="B5" s="18" t="n">
        <v>1</v>
      </c>
      <c r="C5" s="6" t="s">
        <v>277</v>
      </c>
      <c r="D5" s="7" t="s">
        <v>278</v>
      </c>
      <c r="E5" s="9"/>
      <c r="F5" s="5"/>
    </row>
    <row r="6" customFormat="false" ht="31.5" hidden="false" customHeight="true" outlineLevel="0" collapsed="false">
      <c r="B6" s="18" t="n">
        <v>2</v>
      </c>
      <c r="C6" s="6" t="s">
        <v>277</v>
      </c>
      <c r="D6" s="7" t="s">
        <v>279</v>
      </c>
      <c r="E6" s="9"/>
      <c r="F6" s="5"/>
    </row>
    <row r="7" customFormat="false" ht="31.5" hidden="false" customHeight="true" outlineLevel="0" collapsed="false">
      <c r="B7" s="18" t="n">
        <v>3</v>
      </c>
      <c r="C7" s="6" t="s">
        <v>80</v>
      </c>
      <c r="D7" s="7" t="s">
        <v>280</v>
      </c>
      <c r="E7" s="9"/>
      <c r="F7" s="5"/>
    </row>
    <row r="8" customFormat="false" ht="19.5" hidden="false" customHeight="true" outlineLevel="0" collapsed="false">
      <c r="B8" s="18" t="n">
        <v>4</v>
      </c>
      <c r="C8" s="6" t="s">
        <v>80</v>
      </c>
      <c r="D8" s="7" t="s">
        <v>281</v>
      </c>
      <c r="E8" s="9"/>
      <c r="F8" s="5"/>
    </row>
    <row r="9" customFormat="false" ht="19.5" hidden="false" customHeight="true" outlineLevel="0" collapsed="false">
      <c r="B9" s="18" t="n">
        <v>5</v>
      </c>
      <c r="C9" s="6" t="s">
        <v>80</v>
      </c>
      <c r="D9" s="7" t="s">
        <v>282</v>
      </c>
      <c r="E9" s="9"/>
      <c r="F9" s="5"/>
    </row>
    <row r="10" customFormat="false" ht="19.5" hidden="false" customHeight="true" outlineLevel="0" collapsed="false">
      <c r="B10" s="18" t="n">
        <v>6</v>
      </c>
      <c r="C10" s="6" t="s">
        <v>283</v>
      </c>
      <c r="D10" s="7" t="s">
        <v>284</v>
      </c>
      <c r="E10" s="9"/>
      <c r="F10" s="5"/>
    </row>
    <row r="11" customFormat="false" ht="31.5" hidden="false" customHeight="true" outlineLevel="0" collapsed="false">
      <c r="B11" s="18" t="n">
        <v>7</v>
      </c>
      <c r="C11" s="6" t="s">
        <v>283</v>
      </c>
      <c r="D11" s="7" t="s">
        <v>285</v>
      </c>
      <c r="E11" s="9"/>
      <c r="F11" s="5"/>
    </row>
    <row r="12" customFormat="false" ht="19.5" hidden="false" customHeight="true" outlineLevel="0" collapsed="false">
      <c r="B12" s="18" t="n">
        <v>8</v>
      </c>
      <c r="C12" s="6" t="s">
        <v>283</v>
      </c>
      <c r="D12" s="7" t="s">
        <v>286</v>
      </c>
      <c r="E12" s="9"/>
      <c r="F12" s="5"/>
    </row>
    <row r="13" customFormat="false" ht="19.5" hidden="false" customHeight="true" outlineLevel="0" collapsed="false">
      <c r="B13" s="18" t="n">
        <v>9</v>
      </c>
      <c r="C13" s="6" t="s">
        <v>287</v>
      </c>
      <c r="D13" s="7" t="s">
        <v>288</v>
      </c>
      <c r="E13" s="9"/>
      <c r="F13" s="5"/>
    </row>
    <row r="14" customFormat="false" ht="31.5" hidden="false" customHeight="true" outlineLevel="0" collapsed="false">
      <c r="B14" s="18" t="n">
        <v>10</v>
      </c>
      <c r="C14" s="6" t="s">
        <v>289</v>
      </c>
      <c r="D14" s="7" t="s">
        <v>290</v>
      </c>
      <c r="E14" s="9"/>
      <c r="F14" s="5"/>
    </row>
    <row r="15" customFormat="false" ht="31.5" hidden="false" customHeight="true" outlineLevel="0" collapsed="false">
      <c r="B15" s="18" t="n">
        <v>11</v>
      </c>
      <c r="C15" s="6" t="s">
        <v>289</v>
      </c>
      <c r="D15" s="7" t="s">
        <v>291</v>
      </c>
      <c r="E15" s="9"/>
      <c r="F15" s="5"/>
    </row>
    <row r="16" customFormat="false" ht="31.5" hidden="false" customHeight="true" outlineLevel="0" collapsed="false">
      <c r="B16" s="18" t="n">
        <v>12</v>
      </c>
      <c r="C16" s="6" t="s">
        <v>289</v>
      </c>
      <c r="D16" s="7" t="s">
        <v>292</v>
      </c>
      <c r="E16" s="9"/>
      <c r="F16" s="5"/>
    </row>
    <row r="18" customFormat="false" ht="19.5" hidden="false" customHeight="true" outlineLevel="0" collapsed="false">
      <c r="B18" s="22" t="s">
        <v>293</v>
      </c>
      <c r="C18" s="22"/>
      <c r="D18" s="22"/>
      <c r="E18" s="8" t="n">
        <f aca="false">COUNTA(E5:E16)</f>
        <v>0</v>
      </c>
    </row>
    <row r="19" customFormat="false" ht="19.5" hidden="false" customHeight="true" outlineLevel="0" collapsed="false">
      <c r="B19" s="22" t="s">
        <v>294</v>
      </c>
      <c r="C19" s="22"/>
      <c r="D19" s="22"/>
      <c r="E19" s="28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2" t="s">
        <v>11</v>
      </c>
      <c r="C20" s="22"/>
      <c r="D20" s="22"/>
      <c r="E20" s="20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1">
      <formula>"Sim"</formula>
    </cfRule>
    <cfRule type="cellIs" priority="3" operator="equal" aboveAverage="0" equalAverage="0" bottom="0" percent="0" rank="0" text="" dxfId="2">
      <formula>"Parcial"</formula>
    </cfRule>
    <cfRule type="cellIs" priority="4" operator="equal" aboveAverage="0" equalAverage="0" bottom="0" percent="0" rank="0" text="" dxfId="0">
      <formula>"Não"</formula>
    </cfRule>
  </conditionalFormatting>
  <conditionalFormatting sqref="E20">
    <cfRule type="cellIs" priority="5" operator="equal" aboveAverage="0" equalAverage="0" bottom="0" percent="0" rank="0" text="" dxfId="1">
      <formula>"OK"</formula>
    </cfRule>
    <cfRule type="cellIs" priority="6" operator="notEqual" aboveAverage="0" equalAverage="0" bottom="0" percent="0" rank="0" text="" dxfId="2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R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8" min="7" style="0" width="8"/>
    <col collapsed="false" customWidth="true" hidden="false" outlineLevel="0" max="9" min="9" style="0" width="14"/>
    <col collapsed="false" customWidth="true" hidden="false" outlineLevel="0" max="11" min="10" style="0" width="11"/>
    <col collapsed="false" customWidth="true" hidden="false" outlineLevel="0" max="12" min="12" style="0" width="19"/>
    <col collapsed="false" customWidth="true" hidden="false" outlineLevel="0" max="13" min="13" style="0" width="46"/>
    <col collapsed="false" customWidth="true" hidden="false" outlineLevel="0" max="14" min="14" style="0" width="26"/>
    <col collapsed="false" customWidth="true" hidden="false" outlineLevel="0" max="15" min="15" style="0" width="2"/>
    <col collapsed="false" customWidth="true" hidden="false" outlineLevel="0" max="17" min="16" style="0" width="10"/>
    <col collapsed="false" customWidth="true" hidden="false" outlineLevel="0" max="18" min="18" style="0" width="11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58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295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B4" s="4" t="s">
        <v>60</v>
      </c>
      <c r="C4" s="4"/>
      <c r="D4" s="29" t="s">
        <v>152</v>
      </c>
      <c r="E4" s="29"/>
      <c r="F4" s="29"/>
      <c r="G4" s="29"/>
      <c r="H4" s="29"/>
      <c r="J4" s="4" t="s">
        <v>61</v>
      </c>
      <c r="K4" s="4"/>
      <c r="L4" s="30" t="n">
        <v>16</v>
      </c>
      <c r="M4" s="10" t="s">
        <v>62</v>
      </c>
      <c r="N4" s="10"/>
      <c r="O4" s="10"/>
      <c r="P4" s="10"/>
      <c r="Q4" s="10"/>
      <c r="R4" s="10"/>
    </row>
    <row r="5" customFormat="false" ht="21.75" hidden="false" customHeight="true" outlineLevel="0" collapsed="false">
      <c r="B5" s="4" t="s">
        <v>63</v>
      </c>
      <c r="C5" s="4"/>
      <c r="D5" s="29" t="s">
        <v>296</v>
      </c>
      <c r="E5" s="29"/>
      <c r="F5" s="29"/>
      <c r="G5" s="29"/>
      <c r="H5" s="29"/>
    </row>
    <row r="6" customFormat="false" ht="21.75" hidden="false" customHeight="true" outlineLevel="0" collapsed="false">
      <c r="B6" s="4" t="s">
        <v>64</v>
      </c>
      <c r="C6" s="4"/>
      <c r="D6" s="31" t="n">
        <v>46299</v>
      </c>
      <c r="E6" s="31"/>
      <c r="F6" s="31"/>
      <c r="G6" s="31"/>
      <c r="H6" s="31"/>
      <c r="J6" s="10" t="s">
        <v>65</v>
      </c>
      <c r="K6" s="10"/>
      <c r="L6" s="10"/>
      <c r="M6" s="10"/>
      <c r="N6" s="10"/>
      <c r="O6" s="10"/>
      <c r="P6" s="10"/>
      <c r="Q6" s="10"/>
      <c r="R6" s="10"/>
    </row>
    <row r="7" customFormat="false" ht="21.75" hidden="false" customHeight="true" outlineLevel="0" collapsed="false">
      <c r="B7" s="4" t="s">
        <v>66</v>
      </c>
      <c r="C7" s="4"/>
      <c r="D7" s="29" t="s">
        <v>297</v>
      </c>
      <c r="E7" s="29"/>
      <c r="F7" s="29"/>
      <c r="G7" s="29"/>
      <c r="H7" s="29"/>
      <c r="J7" s="10"/>
      <c r="K7" s="10"/>
      <c r="L7" s="10"/>
      <c r="M7" s="10"/>
      <c r="N7" s="10"/>
      <c r="O7" s="10"/>
      <c r="P7" s="10"/>
      <c r="Q7" s="10"/>
      <c r="R7" s="10"/>
    </row>
    <row r="8" customFormat="false" ht="21.75" hidden="false" customHeight="true" outlineLevel="0" collapsed="false">
      <c r="B8" s="4" t="s">
        <v>67</v>
      </c>
      <c r="C8" s="4"/>
      <c r="D8" s="29" t="s">
        <v>298</v>
      </c>
      <c r="E8" s="29"/>
      <c r="F8" s="29"/>
      <c r="G8" s="29"/>
      <c r="H8" s="29"/>
      <c r="J8" s="10"/>
      <c r="K8" s="10"/>
      <c r="L8" s="10"/>
      <c r="M8" s="10"/>
      <c r="N8" s="10"/>
      <c r="O8" s="10"/>
      <c r="P8" s="10"/>
      <c r="Q8" s="10"/>
      <c r="R8" s="10"/>
    </row>
    <row r="10" customFormat="false" ht="21.75" hidden="false" customHeight="true" outlineLevel="0" collapsed="false">
      <c r="B10" s="12" t="s">
        <v>68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P10" s="12" t="s">
        <v>61</v>
      </c>
      <c r="Q10" s="12"/>
      <c r="R10" s="12"/>
    </row>
    <row r="11" customFormat="false" ht="30" hidden="false" customHeight="true" outlineLevel="0" collapsed="false">
      <c r="B11" s="13" t="s">
        <v>69</v>
      </c>
      <c r="C11" s="13" t="s">
        <v>70</v>
      </c>
      <c r="D11" s="14" t="s">
        <v>71</v>
      </c>
      <c r="E11" s="14" t="s">
        <v>72</v>
      </c>
      <c r="F11" s="14" t="s">
        <v>73</v>
      </c>
      <c r="G11" s="14" t="s">
        <v>74</v>
      </c>
      <c r="H11" s="14" t="s">
        <v>75</v>
      </c>
      <c r="I11" s="15" t="s">
        <v>76</v>
      </c>
      <c r="J11" s="15" t="s">
        <v>77</v>
      </c>
      <c r="K11" s="16" t="s">
        <v>44</v>
      </c>
      <c r="L11" s="16" t="s">
        <v>11</v>
      </c>
      <c r="M11" s="16" t="s">
        <v>78</v>
      </c>
      <c r="N11" s="13" t="s">
        <v>79</v>
      </c>
      <c r="P11" s="13" t="s">
        <v>80</v>
      </c>
      <c r="Q11" s="16" t="s">
        <v>81</v>
      </c>
      <c r="R11" s="16" t="s">
        <v>11</v>
      </c>
    </row>
    <row r="12" customFormat="false" ht="21.75" hidden="false" customHeight="true" outlineLevel="0" collapsed="false">
      <c r="B12" s="17" t="s">
        <v>82</v>
      </c>
      <c r="C12" s="17" t="s">
        <v>83</v>
      </c>
      <c r="D12" s="17" t="s">
        <v>84</v>
      </c>
      <c r="E12" s="17" t="s">
        <v>85</v>
      </c>
      <c r="F12" s="17" t="s">
        <v>86</v>
      </c>
      <c r="G12" s="17" t="s">
        <v>86</v>
      </c>
      <c r="H12" s="17" t="s">
        <v>87</v>
      </c>
      <c r="I12" s="17" t="s">
        <v>84</v>
      </c>
      <c r="J12" s="17" t="s">
        <v>88</v>
      </c>
      <c r="K12" s="17" t="s">
        <v>89</v>
      </c>
      <c r="L12" s="17"/>
      <c r="M12" s="17"/>
      <c r="N12" s="17"/>
      <c r="P12" s="17" t="s">
        <v>82</v>
      </c>
      <c r="Q12" s="17" t="s">
        <v>90</v>
      </c>
      <c r="R12" s="17"/>
    </row>
    <row r="13" customFormat="false" ht="24" hidden="false" customHeight="true" outlineLevel="0" collapsed="false">
      <c r="B13" s="10" t="s">
        <v>299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customFormat="false" ht="21.75" hidden="false" customHeight="true" outlineLevel="0" collapsed="false">
      <c r="B14" s="18" t="n">
        <v>1</v>
      </c>
      <c r="C14" s="29" t="s">
        <v>300</v>
      </c>
      <c r="D14" s="30" t="s">
        <v>301</v>
      </c>
      <c r="E14" s="30" t="n">
        <v>1</v>
      </c>
      <c r="F14" s="30" t="s">
        <v>94</v>
      </c>
      <c r="G14" s="30" t="s">
        <v>95</v>
      </c>
      <c r="H14" s="30" t="n">
        <v>100</v>
      </c>
      <c r="I14" s="30" t="s">
        <v>302</v>
      </c>
      <c r="J14" s="30" t="s">
        <v>97</v>
      </c>
      <c r="K14" s="19" t="str">
        <f aca="false">IF(D14="","",IF(OR(D14="Condensador",D14="DI ativa"),"Sim","Não"))</f>
        <v>Não</v>
      </c>
      <c r="L14" s="20" t="str">
        <f aca="false">IF(AND(C14="",D14="",E14=""),"",IF(AND(E14="",D14&lt;&gt;"USB ou rede"),"Falta entrada",IF(AND(E14&lt;&gt;"",$L$4&lt;&gt;"",E14&gt;$L$4),"Entrada inexistente",IF(AND(E14&lt;&gt;"",COUNTIF($E$14:$E$45,E14)&gt;1),"Entrada repetida",IF(D14="","Falta tipo",IF(AND(K14="Sim",F14&lt;&gt;"Sim"),"Falta phantom",IF(AND(K14="Não",F14="Sim"),"Phantom sem uso",IF(I14="LR + grupo","Caminho duplo",IF(OR(I14="",I14="Nenhum"),"Sem destino","OK")))))))))</f>
        <v>OK</v>
      </c>
      <c r="M14" s="21" t="str">
        <f aca="false">IF(L14="","",IF(L14="Falta entrada","Anote o conector ligado ao canal",IF(L14="Entrada inexistente","A mesa não tem essa entrada: confira o número",IF(L14="Entrada repetida","Dois canais na mesma entrada: confira o patch e os cabos",IF(L14="Falta tipo","Informe o tipo da fonte",IF(L14="Falta phantom","Ligue o phantom com o canal em mute",IF(L14="Phantom sem uso","Desligue o phantom com o canal em mute",IF(L14="Caminho duplo","Deixe um só caminho até o master: tire o L-R ou o grupo",IF(L14="Sem destino","Enderece o canal ao master ou a um grupo","Manter")))))))))</f>
        <v>Manter</v>
      </c>
      <c r="N14" s="29"/>
      <c r="P14" s="18" t="n">
        <v>1</v>
      </c>
      <c r="Q14" s="19" t="n">
        <f aca="false">IF(OR($L$4="",P14&gt;$L$4),"",COUNTIF($E$14:$E$45,P14))</f>
        <v>1</v>
      </c>
      <c r="R14" s="19" t="str">
        <f aca="false">IF(Q14="","–",IF(Q14=0,"Livre",IF(Q14=1,"OK","Repetida")))</f>
        <v>OK</v>
      </c>
    </row>
    <row r="15" customFormat="false" ht="21.75" hidden="false" customHeight="true" outlineLevel="0" collapsed="false">
      <c r="B15" s="18" t="n">
        <v>2</v>
      </c>
      <c r="C15" s="29" t="s">
        <v>303</v>
      </c>
      <c r="D15" s="30" t="s">
        <v>93</v>
      </c>
      <c r="E15" s="30" t="n">
        <v>2</v>
      </c>
      <c r="F15" s="30" t="s">
        <v>95</v>
      </c>
      <c r="G15" s="30" t="s">
        <v>95</v>
      </c>
      <c r="H15" s="30" t="n">
        <v>100</v>
      </c>
      <c r="I15" s="30" t="s">
        <v>302</v>
      </c>
      <c r="J15" s="30" t="s">
        <v>97</v>
      </c>
      <c r="K15" s="19" t="str">
        <f aca="false">IF(D15="","",IF(OR(D15="Condensador",D15="DI ativa"),"Sim","Não"))</f>
        <v>Sim</v>
      </c>
      <c r="L15" s="20" t="str">
        <f aca="false">IF(AND(C15="",D15="",E15=""),"",IF(AND(E15="",D15&lt;&gt;"USB ou rede"),"Falta entrada",IF(AND(E15&lt;&gt;"",$L$4&lt;&gt;"",E15&gt;$L$4),"Entrada inexistente",IF(AND(E15&lt;&gt;"",COUNTIF($E$14:$E$45,E15)&gt;1),"Entrada repetida",IF(D15="","Falta tipo",IF(AND(K15="Sim",F15&lt;&gt;"Sim"),"Falta phantom",IF(AND(K15="Não",F15="Sim"),"Phantom sem uso",IF(I15="LR + grupo","Caminho duplo",IF(OR(I15="",I15="Nenhum"),"Sem destino","OK")))))))))</f>
        <v>OK</v>
      </c>
      <c r="M15" s="21" t="str">
        <f aca="false">IF(L15="","",IF(L15="Falta entrada","Anote o conector ligado ao canal",IF(L15="Entrada inexistente","A mesa não tem essa entrada: confira o número",IF(L15="Entrada repetida","Dois canais na mesma entrada: confira o patch e os cabos",IF(L15="Falta tipo","Informe o tipo da fonte",IF(L15="Falta phantom","Ligue o phantom com o canal em mute",IF(L15="Phantom sem uso","Desligue o phantom com o canal em mute",IF(L15="Caminho duplo","Deixe um só caminho até o master: tire o L-R ou o grupo",IF(L15="Sem destino","Enderece o canal ao master ou a um grupo","Manter")))))))))</f>
        <v>Manter</v>
      </c>
      <c r="N15" s="29"/>
      <c r="P15" s="18" t="n">
        <v>2</v>
      </c>
      <c r="Q15" s="19" t="n">
        <f aca="false">IF(OR($L$4="",P15&gt;$L$4),"",COUNTIF($E$14:$E$45,P15))</f>
        <v>1</v>
      </c>
      <c r="R15" s="19" t="str">
        <f aca="false">IF(Q15="","–",IF(Q15=0,"Livre",IF(Q15=1,"OK","Repetida")))</f>
        <v>OK</v>
      </c>
    </row>
    <row r="16" customFormat="false" ht="21.75" hidden="false" customHeight="true" outlineLevel="0" collapsed="false">
      <c r="B16" s="18" t="n">
        <v>3</v>
      </c>
      <c r="C16" s="29" t="s">
        <v>304</v>
      </c>
      <c r="D16" s="30" t="s">
        <v>305</v>
      </c>
      <c r="E16" s="30" t="n">
        <v>3</v>
      </c>
      <c r="F16" s="30" t="s">
        <v>94</v>
      </c>
      <c r="G16" s="30" t="s">
        <v>95</v>
      </c>
      <c r="H16" s="30" t="n">
        <v>100</v>
      </c>
      <c r="I16" s="30" t="s">
        <v>302</v>
      </c>
      <c r="J16" s="30" t="s">
        <v>97</v>
      </c>
      <c r="K16" s="19" t="str">
        <f aca="false">IF(D16="","",IF(OR(D16="Condensador",D16="DI ativa"),"Sim","Não"))</f>
        <v>Não</v>
      </c>
      <c r="L16" s="20" t="str">
        <f aca="false">IF(AND(C16="",D16="",E16=""),"",IF(AND(E16="",D16&lt;&gt;"USB ou rede"),"Falta entrada",IF(AND(E16&lt;&gt;"",$L$4&lt;&gt;"",E16&gt;$L$4),"Entrada inexistente",IF(AND(E16&lt;&gt;"",COUNTIF($E$14:$E$45,E16)&gt;1),"Entrada repetida",IF(D16="","Falta tipo",IF(AND(K16="Sim",F16&lt;&gt;"Sim"),"Falta phantom",IF(AND(K16="Não",F16="Sim"),"Phantom sem uso",IF(I16="LR + grupo","Caminho duplo",IF(OR(I16="",I16="Nenhum"),"Sem destino","OK")))))))))</f>
        <v>OK</v>
      </c>
      <c r="M16" s="21" t="str">
        <f aca="false">IF(L16="","",IF(L16="Falta entrada","Anote o conector ligado ao canal",IF(L16="Entrada inexistente","A mesa não tem essa entrada: confira o número",IF(L16="Entrada repetida","Dois canais na mesma entrada: confira o patch e os cabos",IF(L16="Falta tipo","Informe o tipo da fonte",IF(L16="Falta phantom","Ligue o phantom com o canal em mute",IF(L16="Phantom sem uso","Desligue o phantom com o canal em mute",IF(L16="Caminho duplo","Deixe um só caminho até o master: tire o L-R ou o grupo",IF(L16="Sem destino","Enderece o canal ao master ou a um grupo","Manter")))))))))</f>
        <v>Manter</v>
      </c>
      <c r="N16" s="29"/>
      <c r="P16" s="18" t="n">
        <v>3</v>
      </c>
      <c r="Q16" s="19" t="n">
        <f aca="false">IF(OR($L$4="",P16&gt;$L$4),"",COUNTIF($E$14:$E$45,P16))</f>
        <v>1</v>
      </c>
      <c r="R16" s="19" t="str">
        <f aca="false">IF(Q16="","–",IF(Q16=0,"Livre",IF(Q16=1,"OK","Repetida")))</f>
        <v>OK</v>
      </c>
    </row>
    <row r="17" customFormat="false" ht="21.75" hidden="false" customHeight="true" outlineLevel="0" collapsed="false">
      <c r="B17" s="18" t="n">
        <v>4</v>
      </c>
      <c r="C17" s="29" t="s">
        <v>306</v>
      </c>
      <c r="D17" s="30" t="s">
        <v>305</v>
      </c>
      <c r="E17" s="30" t="n">
        <v>4</v>
      </c>
      <c r="F17" s="30" t="s">
        <v>94</v>
      </c>
      <c r="G17" s="30" t="s">
        <v>95</v>
      </c>
      <c r="H17" s="30" t="n">
        <v>100</v>
      </c>
      <c r="I17" s="30" t="s">
        <v>96</v>
      </c>
      <c r="J17" s="30" t="s">
        <v>97</v>
      </c>
      <c r="K17" s="19" t="str">
        <f aca="false">IF(D17="","",IF(OR(D17="Condensador",D17="DI ativa"),"Sim","Não"))</f>
        <v>Não</v>
      </c>
      <c r="L17" s="20" t="str">
        <f aca="false">IF(AND(C17="",D17="",E17=""),"",IF(AND(E17="",D17&lt;&gt;"USB ou rede"),"Falta entrada",IF(AND(E17&lt;&gt;"",$L$4&lt;&gt;"",E17&gt;$L$4),"Entrada inexistente",IF(AND(E17&lt;&gt;"",COUNTIF($E$14:$E$45,E17)&gt;1),"Entrada repetida",IF(D17="","Falta tipo",IF(AND(K17="Sim",F17&lt;&gt;"Sim"),"Falta phantom",IF(AND(K17="Não",F17="Sim"),"Phantom sem uso",IF(I17="LR + grupo","Caminho duplo",IF(OR(I17="",I17="Nenhum"),"Sem destino","OK")))))))))</f>
        <v>OK</v>
      </c>
      <c r="M17" s="21" t="str">
        <f aca="false">IF(L17="","",IF(L17="Falta entrada","Anote o conector ligado ao canal",IF(L17="Entrada inexistente","A mesa não tem essa entrada: confira o número",IF(L17="Entrada repetida","Dois canais na mesma entrada: confira o patch e os cabos",IF(L17="Falta tipo","Informe o tipo da fonte",IF(L17="Falta phantom","Ligue o phantom com o canal em mute",IF(L17="Phantom sem uso","Desligue o phantom com o canal em mute",IF(L17="Caminho duplo","Deixe um só caminho até o master: tire o L-R ou o grupo",IF(L17="Sem destino","Enderece o canal ao master ou a um grupo","Manter")))))))))</f>
        <v>Manter</v>
      </c>
      <c r="N17" s="29"/>
      <c r="P17" s="18" t="n">
        <v>4</v>
      </c>
      <c r="Q17" s="19" t="n">
        <f aca="false">IF(OR($L$4="",P17&gt;$L$4),"",COUNTIF($E$14:$E$45,P17))</f>
        <v>1</v>
      </c>
      <c r="R17" s="19" t="str">
        <f aca="false">IF(Q17="","–",IF(Q17=0,"Livre",IF(Q17=1,"OK","Repetida")))</f>
        <v>OK</v>
      </c>
    </row>
    <row r="18" customFormat="false" ht="21.75" hidden="false" customHeight="true" outlineLevel="0" collapsed="false">
      <c r="B18" s="18" t="n">
        <v>5</v>
      </c>
      <c r="C18" s="29" t="s">
        <v>307</v>
      </c>
      <c r="D18" s="30" t="s">
        <v>305</v>
      </c>
      <c r="E18" s="30" t="n">
        <v>5</v>
      </c>
      <c r="F18" s="30" t="s">
        <v>94</v>
      </c>
      <c r="G18" s="30" t="s">
        <v>95</v>
      </c>
      <c r="H18" s="30" t="n">
        <v>100</v>
      </c>
      <c r="I18" s="30" t="s">
        <v>308</v>
      </c>
      <c r="J18" s="30" t="s">
        <v>97</v>
      </c>
      <c r="K18" s="19" t="str">
        <f aca="false">IF(D18="","",IF(OR(D18="Condensador",D18="DI ativa"),"Sim","Não"))</f>
        <v>Não</v>
      </c>
      <c r="L18" s="20" t="str">
        <f aca="false">IF(AND(C18="",D18="",E18=""),"",IF(AND(E18="",D18&lt;&gt;"USB ou rede"),"Falta entrada",IF(AND(E18&lt;&gt;"",$L$4&lt;&gt;"",E18&gt;$L$4),"Entrada inexistente",IF(AND(E18&lt;&gt;"",COUNTIF($E$14:$E$45,E18)&gt;1),"Entrada repetida",IF(D18="","Falta tipo",IF(AND(K18="Sim",F18&lt;&gt;"Sim"),"Falta phantom",IF(AND(K18="Não",F18="Sim"),"Phantom sem uso",IF(I18="LR + grupo","Caminho duplo",IF(OR(I18="",I18="Nenhum"),"Sem destino","OK")))))))))</f>
        <v>Caminho duplo</v>
      </c>
      <c r="M18" s="21" t="str">
        <f aca="false">IF(L18="","",IF(L18="Falta entrada","Anote o conector ligado ao canal",IF(L18="Entrada inexistente","A mesa não tem essa entrada: confira o número",IF(L18="Entrada repetida","Dois canais na mesma entrada: confira o patch e os cabos",IF(L18="Falta tipo","Informe o tipo da fonte",IF(L18="Falta phantom","Ligue o phantom com o canal em mute",IF(L18="Phantom sem uso","Desligue o phantom com o canal em mute",IF(L18="Caminho duplo","Deixe um só caminho até o master: tire o L-R ou o grupo",IF(L18="Sem destino","Enderece o canal ao master ou a um grupo","Manter")))))))))</f>
        <v>Deixe um só caminho até o master: tire o L-R ou o grupo</v>
      </c>
      <c r="N18" s="29"/>
      <c r="P18" s="18" t="n">
        <v>5</v>
      </c>
      <c r="Q18" s="19" t="n">
        <f aca="false">IF(OR($L$4="",P18&gt;$L$4),"",COUNTIF($E$14:$E$45,P18))</f>
        <v>1</v>
      </c>
      <c r="R18" s="19" t="str">
        <f aca="false">IF(Q18="","–",IF(Q18=0,"Livre",IF(Q18=1,"OK","Repetida")))</f>
        <v>OK</v>
      </c>
    </row>
    <row r="19" customFormat="false" ht="21.75" hidden="false" customHeight="true" outlineLevel="0" collapsed="false">
      <c r="B19" s="18" t="n">
        <v>6</v>
      </c>
      <c r="C19" s="29" t="s">
        <v>92</v>
      </c>
      <c r="D19" s="30" t="s">
        <v>93</v>
      </c>
      <c r="E19" s="30" t="n">
        <v>6</v>
      </c>
      <c r="F19" s="30" t="s">
        <v>94</v>
      </c>
      <c r="G19" s="30" t="s">
        <v>95</v>
      </c>
      <c r="H19" s="30" t="n">
        <v>120</v>
      </c>
      <c r="I19" s="30" t="s">
        <v>96</v>
      </c>
      <c r="J19" s="30" t="s">
        <v>97</v>
      </c>
      <c r="K19" s="19" t="str">
        <f aca="false">IF(D19="","",IF(OR(D19="Condensador",D19="DI ativa"),"Sim","Não"))</f>
        <v>Sim</v>
      </c>
      <c r="L19" s="20" t="str">
        <f aca="false">IF(AND(C19="",D19="",E19=""),"",IF(AND(E19="",D19&lt;&gt;"USB ou rede"),"Falta entrada",IF(AND(E19&lt;&gt;"",$L$4&lt;&gt;"",E19&gt;$L$4),"Entrada inexistente",IF(AND(E19&lt;&gt;"",COUNTIF($E$14:$E$45,E19)&gt;1),"Entrada repetida",IF(D19="","Falta tipo",IF(AND(K19="Sim",F19&lt;&gt;"Sim"),"Falta phantom",IF(AND(K19="Não",F19="Sim"),"Phantom sem uso",IF(I19="LR + grupo","Caminho duplo",IF(OR(I19="",I19="Nenhum"),"Sem destino","OK")))))))))</f>
        <v>Falta phantom</v>
      </c>
      <c r="M19" s="21" t="str">
        <f aca="false">IF(L19="","",IF(L19="Falta entrada","Anote o conector ligado ao canal",IF(L19="Entrada inexistente","A mesa não tem essa entrada: confira o número",IF(L19="Entrada repetida","Dois canais na mesma entrada: confira o patch e os cabos",IF(L19="Falta tipo","Informe o tipo da fonte",IF(L19="Falta phantom","Ligue o phantom com o canal em mute",IF(L19="Phantom sem uso","Desligue o phantom com o canal em mute",IF(L19="Caminho duplo","Deixe um só caminho até o master: tire o L-R ou o grupo",IF(L19="Sem destino","Enderece o canal ao master ou a um grupo","Manter")))))))))</f>
        <v>Ligue o phantom com o canal em mute</v>
      </c>
      <c r="N19" s="29"/>
      <c r="P19" s="18" t="n">
        <v>6</v>
      </c>
      <c r="Q19" s="19" t="n">
        <f aca="false">IF(OR($L$4="",P19&gt;$L$4),"",COUNTIF($E$14:$E$45,P19))</f>
        <v>1</v>
      </c>
      <c r="R19" s="19" t="str">
        <f aca="false">IF(Q19="","–",IF(Q19=0,"Livre",IF(Q19=1,"OK","Repetida")))</f>
        <v>OK</v>
      </c>
    </row>
    <row r="20" customFormat="false" ht="21.75" hidden="false" customHeight="true" outlineLevel="0" collapsed="false">
      <c r="B20" s="18" t="n">
        <v>7</v>
      </c>
      <c r="C20" s="29" t="s">
        <v>309</v>
      </c>
      <c r="D20" s="30" t="s">
        <v>310</v>
      </c>
      <c r="E20" s="30" t="n">
        <v>7</v>
      </c>
      <c r="F20" s="30" t="s">
        <v>95</v>
      </c>
      <c r="G20" s="30" t="s">
        <v>95</v>
      </c>
      <c r="H20" s="30" t="n">
        <v>80</v>
      </c>
      <c r="I20" s="30" t="s">
        <v>302</v>
      </c>
      <c r="J20" s="30" t="s">
        <v>311</v>
      </c>
      <c r="K20" s="19" t="str">
        <f aca="false">IF(D20="","",IF(OR(D20="Condensador",D20="DI ativa"),"Sim","Não"))</f>
        <v>Sim</v>
      </c>
      <c r="L20" s="20" t="str">
        <f aca="false">IF(AND(C20="",D20="",E20=""),"",IF(AND(E20="",D20&lt;&gt;"USB ou rede"),"Falta entrada",IF(AND(E20&lt;&gt;"",$L$4&lt;&gt;"",E20&gt;$L$4),"Entrada inexistente",IF(AND(E20&lt;&gt;"",COUNTIF($E$14:$E$45,E20)&gt;1),"Entrada repetida",IF(D20="","Falta tipo",IF(AND(K20="Sim",F20&lt;&gt;"Sim"),"Falta phantom",IF(AND(K20="Não",F20="Sim"),"Phantom sem uso",IF(I20="LR + grupo","Caminho duplo",IF(OR(I20="",I20="Nenhum"),"Sem destino","OK")))))))))</f>
        <v>OK</v>
      </c>
      <c r="M20" s="21" t="str">
        <f aca="false">IF(L20="","",IF(L20="Falta entrada","Anote o conector ligado ao canal",IF(L20="Entrada inexistente","A mesa não tem essa entrada: confira o número",IF(L20="Entrada repetida","Dois canais na mesma entrada: confira o patch e os cabos",IF(L20="Falta tipo","Informe o tipo da fonte",IF(L20="Falta phantom","Ligue o phantom com o canal em mute",IF(L20="Phantom sem uso","Desligue o phantom com o canal em mute",IF(L20="Caminho duplo","Deixe um só caminho até o master: tire o L-R ou o grupo",IF(L20="Sem destino","Enderece o canal ao master ou a um grupo","Manter")))))))))</f>
        <v>Manter</v>
      </c>
      <c r="N20" s="29"/>
      <c r="P20" s="18" t="n">
        <v>7</v>
      </c>
      <c r="Q20" s="19" t="n">
        <f aca="false">IF(OR($L$4="",P20&gt;$L$4),"",COUNTIF($E$14:$E$45,P20))</f>
        <v>1</v>
      </c>
      <c r="R20" s="19" t="str">
        <f aca="false">IF(Q20="","–",IF(Q20=0,"Livre",IF(Q20=1,"OK","Repetida")))</f>
        <v>OK</v>
      </c>
    </row>
    <row r="21" customFormat="false" ht="21.75" hidden="false" customHeight="true" outlineLevel="0" collapsed="false">
      <c r="B21" s="18" t="n">
        <v>8</v>
      </c>
      <c r="C21" s="29" t="s">
        <v>312</v>
      </c>
      <c r="D21" s="30" t="s">
        <v>313</v>
      </c>
      <c r="E21" s="30" t="n">
        <v>8</v>
      </c>
      <c r="F21" s="30" t="s">
        <v>94</v>
      </c>
      <c r="G21" s="30" t="s">
        <v>94</v>
      </c>
      <c r="H21" s="30"/>
      <c r="I21" s="30" t="s">
        <v>302</v>
      </c>
      <c r="J21" s="30" t="s">
        <v>311</v>
      </c>
      <c r="K21" s="19" t="str">
        <f aca="false">IF(D21="","",IF(OR(D21="Condensador",D21="DI ativa"),"Sim","Não"))</f>
        <v>Não</v>
      </c>
      <c r="L21" s="20" t="str">
        <f aca="false">IF(AND(C21="",D21="",E21=""),"",IF(AND(E21="",D21&lt;&gt;"USB ou rede"),"Falta entrada",IF(AND(E21&lt;&gt;"",$L$4&lt;&gt;"",E21&gt;$L$4),"Entrada inexistente",IF(AND(E21&lt;&gt;"",COUNTIF($E$14:$E$45,E21)&gt;1),"Entrada repetida",IF(D21="","Falta tipo",IF(AND(K21="Sim",F21&lt;&gt;"Sim"),"Falta phantom",IF(AND(K21="Não",F21="Sim"),"Phantom sem uso",IF(I21="LR + grupo","Caminho duplo",IF(OR(I21="",I21="Nenhum"),"Sem destino","OK")))))))))</f>
        <v>OK</v>
      </c>
      <c r="M21" s="21" t="str">
        <f aca="false">IF(L21="","",IF(L21="Falta entrada","Anote o conector ligado ao canal",IF(L21="Entrada inexistente","A mesa não tem essa entrada: confira o número",IF(L21="Entrada repetida","Dois canais na mesma entrada: confira o patch e os cabos",IF(L21="Falta tipo","Informe o tipo da fonte",IF(L21="Falta phantom","Ligue o phantom com o canal em mute",IF(L21="Phantom sem uso","Desligue o phantom com o canal em mute",IF(L21="Caminho duplo","Deixe um só caminho até o master: tire o L-R ou o grupo",IF(L21="Sem destino","Enderece o canal ao master ou a um grupo","Manter")))))))))</f>
        <v>Manter</v>
      </c>
      <c r="N21" s="29"/>
      <c r="P21" s="18" t="n">
        <v>8</v>
      </c>
      <c r="Q21" s="19" t="n">
        <f aca="false">IF(OR($L$4="",P21&gt;$L$4),"",COUNTIF($E$14:$E$45,P21))</f>
        <v>1</v>
      </c>
      <c r="R21" s="19" t="str">
        <f aca="false">IF(Q21="","–",IF(Q21=0,"Livre",IF(Q21=1,"OK","Repetida")))</f>
        <v>OK</v>
      </c>
    </row>
    <row r="22" customFormat="false" ht="21.75" hidden="false" customHeight="true" outlineLevel="0" collapsed="false">
      <c r="B22" s="18" t="n">
        <v>9</v>
      </c>
      <c r="C22" s="29" t="s">
        <v>314</v>
      </c>
      <c r="D22" s="30" t="s">
        <v>315</v>
      </c>
      <c r="E22" s="30" t="n">
        <v>9</v>
      </c>
      <c r="F22" s="30" t="s">
        <v>94</v>
      </c>
      <c r="G22" s="30" t="s">
        <v>94</v>
      </c>
      <c r="H22" s="30"/>
      <c r="I22" s="30" t="s">
        <v>302</v>
      </c>
      <c r="J22" s="30" t="s">
        <v>311</v>
      </c>
      <c r="K22" s="19" t="str">
        <f aca="false">IF(D22="","",IF(OR(D22="Condensador",D22="DI ativa"),"Sim","Não"))</f>
        <v>Não</v>
      </c>
      <c r="L22" s="20" t="str">
        <f aca="false">IF(AND(C22="",D22="",E22=""),"",IF(AND(E22="",D22&lt;&gt;"USB ou rede"),"Falta entrada",IF(AND(E22&lt;&gt;"",$L$4&lt;&gt;"",E22&gt;$L$4),"Entrada inexistente",IF(AND(E22&lt;&gt;"",COUNTIF($E$14:$E$45,E22)&gt;1),"Entrada repetida",IF(D22="","Falta tipo",IF(AND(K22="Sim",F22&lt;&gt;"Sim"),"Falta phantom",IF(AND(K22="Não",F22="Sim"),"Phantom sem uso",IF(I22="LR + grupo","Caminho duplo",IF(OR(I22="",I22="Nenhum"),"Sem destino","OK")))))))))</f>
        <v>Entrada repetida</v>
      </c>
      <c r="M22" s="21" t="str">
        <f aca="false">IF(L22="","",IF(L22="Falta entrada","Anote o conector ligado ao canal",IF(L22="Entrada inexistente","A mesa não tem essa entrada: confira o número",IF(L22="Entrada repetida","Dois canais na mesma entrada: confira o patch e os cabos",IF(L22="Falta tipo","Informe o tipo da fonte",IF(L22="Falta phantom","Ligue o phantom com o canal em mute",IF(L22="Phantom sem uso","Desligue o phantom com o canal em mute",IF(L22="Caminho duplo","Deixe um só caminho até o master: tire o L-R ou o grupo",IF(L22="Sem destino","Enderece o canal ao master ou a um grupo","Manter")))))))))</f>
        <v>Dois canais na mesma entrada: confira o patch e os cabos</v>
      </c>
      <c r="N22" s="29"/>
      <c r="P22" s="18" t="n">
        <v>9</v>
      </c>
      <c r="Q22" s="19" t="n">
        <f aca="false">IF(OR($L$4="",P22&gt;$L$4),"",COUNTIF($E$14:$E$45,P22))</f>
        <v>2</v>
      </c>
      <c r="R22" s="19" t="str">
        <f aca="false">IF(Q22="","–",IF(Q22=0,"Livre",IF(Q22=1,"OK","Repetida")))</f>
        <v>Repetida</v>
      </c>
    </row>
    <row r="23" customFormat="false" ht="21.75" hidden="false" customHeight="true" outlineLevel="0" collapsed="false">
      <c r="B23" s="18" t="n">
        <v>10</v>
      </c>
      <c r="C23" s="29" t="s">
        <v>316</v>
      </c>
      <c r="D23" s="30" t="s">
        <v>315</v>
      </c>
      <c r="E23" s="30" t="n">
        <v>9</v>
      </c>
      <c r="F23" s="30" t="s">
        <v>94</v>
      </c>
      <c r="G23" s="30" t="s">
        <v>94</v>
      </c>
      <c r="H23" s="30"/>
      <c r="I23" s="30" t="s">
        <v>302</v>
      </c>
      <c r="J23" s="30" t="s">
        <v>311</v>
      </c>
      <c r="K23" s="19" t="str">
        <f aca="false">IF(D23="","",IF(OR(D23="Condensador",D23="DI ativa"),"Sim","Não"))</f>
        <v>Não</v>
      </c>
      <c r="L23" s="20" t="str">
        <f aca="false">IF(AND(C23="",D23="",E23=""),"",IF(AND(E23="",D23&lt;&gt;"USB ou rede"),"Falta entrada",IF(AND(E23&lt;&gt;"",$L$4&lt;&gt;"",E23&gt;$L$4),"Entrada inexistente",IF(AND(E23&lt;&gt;"",COUNTIF($E$14:$E$45,E23)&gt;1),"Entrada repetida",IF(D23="","Falta tipo",IF(AND(K23="Sim",F23&lt;&gt;"Sim"),"Falta phantom",IF(AND(K23="Não",F23="Sim"),"Phantom sem uso",IF(I23="LR + grupo","Caminho duplo",IF(OR(I23="",I23="Nenhum"),"Sem destino","OK")))))))))</f>
        <v>Entrada repetida</v>
      </c>
      <c r="M23" s="21" t="str">
        <f aca="false">IF(L23="","",IF(L23="Falta entrada","Anote o conector ligado ao canal",IF(L23="Entrada inexistente","A mesa não tem essa entrada: confira o número",IF(L23="Entrada repetida","Dois canais na mesma entrada: confira o patch e os cabos",IF(L23="Falta tipo","Informe o tipo da fonte",IF(L23="Falta phantom","Ligue o phantom com o canal em mute",IF(L23="Phantom sem uso","Desligue o phantom com o canal em mute",IF(L23="Caminho duplo","Deixe um só caminho até o master: tire o L-R ou o grupo",IF(L23="Sem destino","Enderece o canal ao master ou a um grupo","Manter")))))))))</f>
        <v>Dois canais na mesma entrada: confira o patch e os cabos</v>
      </c>
      <c r="N23" s="29"/>
      <c r="P23" s="18" t="n">
        <v>10</v>
      </c>
      <c r="Q23" s="19" t="n">
        <f aca="false">IF(OR($L$4="",P23&gt;$L$4),"",COUNTIF($E$14:$E$45,P23))</f>
        <v>0</v>
      </c>
      <c r="R23" s="19" t="str">
        <f aca="false">IF(Q23="","–",IF(Q23=0,"Livre",IF(Q23=1,"OK","Repetida")))</f>
        <v>Livre</v>
      </c>
    </row>
    <row r="24" customFormat="false" ht="21.75" hidden="false" customHeight="true" outlineLevel="0" collapsed="false">
      <c r="B24" s="18" t="n">
        <v>11</v>
      </c>
      <c r="C24" s="29" t="s">
        <v>317</v>
      </c>
      <c r="D24" s="30" t="s">
        <v>305</v>
      </c>
      <c r="E24" s="30" t="n">
        <v>11</v>
      </c>
      <c r="F24" s="30" t="s">
        <v>94</v>
      </c>
      <c r="G24" s="30" t="s">
        <v>95</v>
      </c>
      <c r="H24" s="30" t="n">
        <v>40</v>
      </c>
      <c r="I24" s="30" t="s">
        <v>318</v>
      </c>
      <c r="J24" s="30" t="s">
        <v>311</v>
      </c>
      <c r="K24" s="19" t="str">
        <f aca="false">IF(D24="","",IF(OR(D24="Condensador",D24="DI ativa"),"Sim","Não"))</f>
        <v>Não</v>
      </c>
      <c r="L24" s="20" t="str">
        <f aca="false">IF(AND(C24="",D24="",E24=""),"",IF(AND(E24="",D24&lt;&gt;"USB ou rede"),"Falta entrada",IF(AND(E24&lt;&gt;"",$L$4&lt;&gt;"",E24&gt;$L$4),"Entrada inexistente",IF(AND(E24&lt;&gt;"",COUNTIF($E$14:$E$45,E24)&gt;1),"Entrada repetida",IF(D24="","Falta tipo",IF(AND(K24="Sim",F24&lt;&gt;"Sim"),"Falta phantom",IF(AND(K24="Não",F24="Sim"),"Phantom sem uso",IF(I24="LR + grupo","Caminho duplo",IF(OR(I24="",I24="Nenhum"),"Sem destino","OK")))))))))</f>
        <v>OK</v>
      </c>
      <c r="M24" s="21" t="str">
        <f aca="false">IF(L24="","",IF(L24="Falta entrada","Anote o conector ligado ao canal",IF(L24="Entrada inexistente","A mesa não tem essa entrada: confira o número",IF(L24="Entrada repetida","Dois canais na mesma entrada: confira o patch e os cabos",IF(L24="Falta tipo","Informe o tipo da fonte",IF(L24="Falta phantom","Ligue o phantom com o canal em mute",IF(L24="Phantom sem uso","Desligue o phantom com o canal em mute",IF(L24="Caminho duplo","Deixe um só caminho até o master: tire o L-R ou o grupo",IF(L24="Sem destino","Enderece o canal ao master ou a um grupo","Manter")))))))))</f>
        <v>Manter</v>
      </c>
      <c r="N24" s="29"/>
      <c r="P24" s="18" t="n">
        <v>11</v>
      </c>
      <c r="Q24" s="19" t="n">
        <f aca="false">IF(OR($L$4="",P24&gt;$L$4),"",COUNTIF($E$14:$E$45,P24))</f>
        <v>1</v>
      </c>
      <c r="R24" s="19" t="str">
        <f aca="false">IF(Q24="","–",IF(Q24=0,"Livre",IF(Q24=1,"OK","Repetida")))</f>
        <v>OK</v>
      </c>
    </row>
    <row r="25" customFormat="false" ht="21.75" hidden="false" customHeight="true" outlineLevel="0" collapsed="false">
      <c r="B25" s="18" t="n">
        <v>12</v>
      </c>
      <c r="C25" s="29" t="s">
        <v>319</v>
      </c>
      <c r="D25" s="30" t="s">
        <v>305</v>
      </c>
      <c r="E25" s="30" t="n">
        <v>12</v>
      </c>
      <c r="F25" s="30" t="s">
        <v>94</v>
      </c>
      <c r="G25" s="30" t="s">
        <v>95</v>
      </c>
      <c r="H25" s="30" t="n">
        <v>80</v>
      </c>
      <c r="I25" s="30" t="s">
        <v>318</v>
      </c>
      <c r="J25" s="30" t="s">
        <v>311</v>
      </c>
      <c r="K25" s="19" t="str">
        <f aca="false">IF(D25="","",IF(OR(D25="Condensador",D25="DI ativa"),"Sim","Não"))</f>
        <v>Não</v>
      </c>
      <c r="L25" s="20" t="str">
        <f aca="false">IF(AND(C25="",D25="",E25=""),"",IF(AND(E25="",D25&lt;&gt;"USB ou rede"),"Falta entrada",IF(AND(E25&lt;&gt;"",$L$4&lt;&gt;"",E25&gt;$L$4),"Entrada inexistente",IF(AND(E25&lt;&gt;"",COUNTIF($E$14:$E$45,E25)&gt;1),"Entrada repetida",IF(D25="","Falta tipo",IF(AND(K25="Sim",F25&lt;&gt;"Sim"),"Falta phantom",IF(AND(K25="Não",F25="Sim"),"Phantom sem uso",IF(I25="LR + grupo","Caminho duplo",IF(OR(I25="",I25="Nenhum"),"Sem destino","OK")))))))))</f>
        <v>OK</v>
      </c>
      <c r="M25" s="21" t="str">
        <f aca="false">IF(L25="","",IF(L25="Falta entrada","Anote o conector ligado ao canal",IF(L25="Entrada inexistente","A mesa não tem essa entrada: confira o número",IF(L25="Entrada repetida","Dois canais na mesma entrada: confira o patch e os cabos",IF(L25="Falta tipo","Informe o tipo da fonte",IF(L25="Falta phantom","Ligue o phantom com o canal em mute",IF(L25="Phantom sem uso","Desligue o phantom com o canal em mute",IF(L25="Caminho duplo","Deixe um só caminho até o master: tire o L-R ou o grupo",IF(L25="Sem destino","Enderece o canal ao master ou a um grupo","Manter")))))))))</f>
        <v>Manter</v>
      </c>
      <c r="N25" s="29"/>
      <c r="P25" s="18" t="n">
        <v>12</v>
      </c>
      <c r="Q25" s="19" t="n">
        <f aca="false">IF(OR($L$4="",P25&gt;$L$4),"",COUNTIF($E$14:$E$45,P25))</f>
        <v>1</v>
      </c>
      <c r="R25" s="19" t="str">
        <f aca="false">IF(Q25="","–",IF(Q25=0,"Livre",IF(Q25=1,"OK","Repetida")))</f>
        <v>OK</v>
      </c>
    </row>
    <row r="26" customFormat="false" ht="21.75" hidden="false" customHeight="true" outlineLevel="0" collapsed="false">
      <c r="B26" s="18" t="n">
        <v>13</v>
      </c>
      <c r="C26" s="29" t="s">
        <v>320</v>
      </c>
      <c r="D26" s="30" t="s">
        <v>93</v>
      </c>
      <c r="E26" s="30" t="n">
        <v>13</v>
      </c>
      <c r="F26" s="30" t="s">
        <v>95</v>
      </c>
      <c r="G26" s="30" t="s">
        <v>95</v>
      </c>
      <c r="H26" s="30" t="n">
        <v>100</v>
      </c>
      <c r="I26" s="30" t="s">
        <v>318</v>
      </c>
      <c r="J26" s="30" t="s">
        <v>311</v>
      </c>
      <c r="K26" s="19" t="str">
        <f aca="false">IF(D26="","",IF(OR(D26="Condensador",D26="DI ativa"),"Sim","Não"))</f>
        <v>Sim</v>
      </c>
      <c r="L26" s="20" t="str">
        <f aca="false">IF(AND(C26="",D26="",E26=""),"",IF(AND(E26="",D26&lt;&gt;"USB ou rede"),"Falta entrada",IF(AND(E26&lt;&gt;"",$L$4&lt;&gt;"",E26&gt;$L$4),"Entrada inexistente",IF(AND(E26&lt;&gt;"",COUNTIF($E$14:$E$45,E26)&gt;1),"Entrada repetida",IF(D26="","Falta tipo",IF(AND(K26="Sim",F26&lt;&gt;"Sim"),"Falta phantom",IF(AND(K26="Não",F26="Sim"),"Phantom sem uso",IF(I26="LR + grupo","Caminho duplo",IF(OR(I26="",I26="Nenhum"),"Sem destino","OK")))))))))</f>
        <v>OK</v>
      </c>
      <c r="M26" s="21" t="str">
        <f aca="false">IF(L26="","",IF(L26="Falta entrada","Anote o conector ligado ao canal",IF(L26="Entrada inexistente","A mesa não tem essa entrada: confira o número",IF(L26="Entrada repetida","Dois canais na mesma entrada: confira o patch e os cabos",IF(L26="Falta tipo","Informe o tipo da fonte",IF(L26="Falta phantom","Ligue o phantom com o canal em mute",IF(L26="Phantom sem uso","Desligue o phantom com o canal em mute",IF(L26="Caminho duplo","Deixe um só caminho até o master: tire o L-R ou o grupo",IF(L26="Sem destino","Enderece o canal ao master ou a um grupo","Manter")))))))))</f>
        <v>Manter</v>
      </c>
      <c r="N26" s="29"/>
      <c r="P26" s="18" t="n">
        <v>13</v>
      </c>
      <c r="Q26" s="19" t="n">
        <f aca="false">IF(OR($L$4="",P26&gt;$L$4),"",COUNTIF($E$14:$E$45,P26))</f>
        <v>1</v>
      </c>
      <c r="R26" s="19" t="str">
        <f aca="false">IF(Q26="","–",IF(Q26=0,"Livre",IF(Q26=1,"OK","Repetida")))</f>
        <v>OK</v>
      </c>
    </row>
    <row r="27" customFormat="false" ht="21.75" hidden="false" customHeight="true" outlineLevel="0" collapsed="false">
      <c r="B27" s="18" t="n">
        <v>14</v>
      </c>
      <c r="C27" s="29" t="s">
        <v>321</v>
      </c>
      <c r="D27" s="30" t="s">
        <v>305</v>
      </c>
      <c r="E27" s="30" t="n">
        <v>14</v>
      </c>
      <c r="F27" s="30" t="s">
        <v>94</v>
      </c>
      <c r="G27" s="30" t="s">
        <v>95</v>
      </c>
      <c r="H27" s="30" t="n">
        <v>80</v>
      </c>
      <c r="I27" s="30" t="s">
        <v>302</v>
      </c>
      <c r="J27" s="30" t="s">
        <v>311</v>
      </c>
      <c r="K27" s="19" t="str">
        <f aca="false">IF(D27="","",IF(OR(D27="Condensador",D27="DI ativa"),"Sim","Não"))</f>
        <v>Não</v>
      </c>
      <c r="L27" s="20" t="str">
        <f aca="false">IF(AND(C27="",D27="",E27=""),"",IF(AND(E27="",D27&lt;&gt;"USB ou rede"),"Falta entrada",IF(AND(E27&lt;&gt;"",$L$4&lt;&gt;"",E27&gt;$L$4),"Entrada inexistente",IF(AND(E27&lt;&gt;"",COUNTIF($E$14:$E$45,E27)&gt;1),"Entrada repetida",IF(D27="","Falta tipo",IF(AND(K27="Sim",F27&lt;&gt;"Sim"),"Falta phantom",IF(AND(K27="Não",F27="Sim"),"Phantom sem uso",IF(I27="LR + grupo","Caminho duplo",IF(OR(I27="",I27="Nenhum"),"Sem destino","OK")))))))))</f>
        <v>OK</v>
      </c>
      <c r="M27" s="21" t="str">
        <f aca="false">IF(L27="","",IF(L27="Falta entrada","Anote o conector ligado ao canal",IF(L27="Entrada inexistente","A mesa não tem essa entrada: confira o número",IF(L27="Entrada repetida","Dois canais na mesma entrada: confira o patch e os cabos",IF(L27="Falta tipo","Informe o tipo da fonte",IF(L27="Falta phantom","Ligue o phantom com o canal em mute",IF(L27="Phantom sem uso","Desligue o phantom com o canal em mute",IF(L27="Caminho duplo","Deixe um só caminho até o master: tire o L-R ou o grupo",IF(L27="Sem destino","Enderece o canal ao master ou a um grupo","Manter")))))))))</f>
        <v>Manter</v>
      </c>
      <c r="N27" s="29"/>
      <c r="P27" s="18" t="n">
        <v>14</v>
      </c>
      <c r="Q27" s="19" t="n">
        <f aca="false">IF(OR($L$4="",P27&gt;$L$4),"",COUNTIF($E$14:$E$45,P27))</f>
        <v>1</v>
      </c>
      <c r="R27" s="19" t="str">
        <f aca="false">IF(Q27="","–",IF(Q27=0,"Livre",IF(Q27=1,"OK","Repetida")))</f>
        <v>OK</v>
      </c>
    </row>
    <row r="28" customFormat="false" ht="21.75" hidden="false" customHeight="true" outlineLevel="0" collapsed="false">
      <c r="B28" s="18" t="n">
        <v>15</v>
      </c>
      <c r="C28" s="29" t="s">
        <v>322</v>
      </c>
      <c r="D28" s="30" t="s">
        <v>323</v>
      </c>
      <c r="E28" s="30"/>
      <c r="F28" s="30" t="s">
        <v>94</v>
      </c>
      <c r="G28" s="30" t="s">
        <v>94</v>
      </c>
      <c r="H28" s="30"/>
      <c r="I28" s="30" t="s">
        <v>302</v>
      </c>
      <c r="J28" s="30" t="s">
        <v>324</v>
      </c>
      <c r="K28" s="19" t="str">
        <f aca="false">IF(D28="","",IF(OR(D28="Condensador",D28="DI ativa"),"Sim","Não"))</f>
        <v>Não</v>
      </c>
      <c r="L28" s="20" t="str">
        <f aca="false">IF(AND(C28="",D28="",E28=""),"",IF(AND(E28="",D28&lt;&gt;"USB ou rede"),"Falta entrada",IF(AND(E28&lt;&gt;"",$L$4&lt;&gt;"",E28&gt;$L$4),"Entrada inexistente",IF(AND(E28&lt;&gt;"",COUNTIF($E$14:$E$45,E28)&gt;1),"Entrada repetida",IF(D28="","Falta tipo",IF(AND(K28="Sim",F28&lt;&gt;"Sim"),"Falta phantom",IF(AND(K28="Não",F28="Sim"),"Phantom sem uso",IF(I28="LR + grupo","Caminho duplo",IF(OR(I28="",I28="Nenhum"),"Sem destino","OK")))))))))</f>
        <v>OK</v>
      </c>
      <c r="M28" s="21" t="str">
        <f aca="false">IF(L28="","",IF(L28="Falta entrada","Anote o conector ligado ao canal",IF(L28="Entrada inexistente","A mesa não tem essa entrada: confira o número",IF(L28="Entrada repetida","Dois canais na mesma entrada: confira o patch e os cabos",IF(L28="Falta tipo","Informe o tipo da fonte",IF(L28="Falta phantom","Ligue o phantom com o canal em mute",IF(L28="Phantom sem uso","Desligue o phantom com o canal em mute",IF(L28="Caminho duplo","Deixe um só caminho até o master: tire o L-R ou o grupo",IF(L28="Sem destino","Enderece o canal ao master ou a um grupo","Manter")))))))))</f>
        <v>Manter</v>
      </c>
      <c r="N28" s="29"/>
      <c r="P28" s="18" t="n">
        <v>15</v>
      </c>
      <c r="Q28" s="19" t="n">
        <f aca="false">IF(OR($L$4="",P28&gt;$L$4),"",COUNTIF($E$14:$E$45,P28))</f>
        <v>0</v>
      </c>
      <c r="R28" s="19" t="str">
        <f aca="false">IF(Q28="","–",IF(Q28=0,"Livre",IF(Q28=1,"OK","Repetida")))</f>
        <v>Livre</v>
      </c>
    </row>
    <row r="29" customFormat="false" ht="21.75" hidden="false" customHeight="true" outlineLevel="0" collapsed="false">
      <c r="B29" s="18" t="n">
        <v>16</v>
      </c>
      <c r="C29" s="29" t="s">
        <v>325</v>
      </c>
      <c r="D29" s="30" t="s">
        <v>323</v>
      </c>
      <c r="E29" s="30"/>
      <c r="F29" s="30" t="s">
        <v>94</v>
      </c>
      <c r="G29" s="30" t="s">
        <v>94</v>
      </c>
      <c r="H29" s="30"/>
      <c r="I29" s="30" t="s">
        <v>302</v>
      </c>
      <c r="J29" s="30" t="s">
        <v>324</v>
      </c>
      <c r="K29" s="19" t="str">
        <f aca="false">IF(D29="","",IF(OR(D29="Condensador",D29="DI ativa"),"Sim","Não"))</f>
        <v>Não</v>
      </c>
      <c r="L29" s="20" t="str">
        <f aca="false">IF(AND(C29="",D29="",E29=""),"",IF(AND(E29="",D29&lt;&gt;"USB ou rede"),"Falta entrada",IF(AND(E29&lt;&gt;"",$L$4&lt;&gt;"",E29&gt;$L$4),"Entrada inexistente",IF(AND(E29&lt;&gt;"",COUNTIF($E$14:$E$45,E29)&gt;1),"Entrada repetida",IF(D29="","Falta tipo",IF(AND(K29="Sim",F29&lt;&gt;"Sim"),"Falta phantom",IF(AND(K29="Não",F29="Sim"),"Phantom sem uso",IF(I29="LR + grupo","Caminho duplo",IF(OR(I29="",I29="Nenhum"),"Sem destino","OK")))))))))</f>
        <v>OK</v>
      </c>
      <c r="M29" s="21" t="str">
        <f aca="false">IF(L29="","",IF(L29="Falta entrada","Anote o conector ligado ao canal",IF(L29="Entrada inexistente","A mesa não tem essa entrada: confira o número",IF(L29="Entrada repetida","Dois canais na mesma entrada: confira o patch e os cabos",IF(L29="Falta tipo","Informe o tipo da fonte",IF(L29="Falta phantom","Ligue o phantom com o canal em mute",IF(L29="Phantom sem uso","Desligue o phantom com o canal em mute",IF(L29="Caminho duplo","Deixe um só caminho até o master: tire o L-R ou o grupo",IF(L29="Sem destino","Enderece o canal ao master ou a um grupo","Manter")))))))))</f>
        <v>Manter</v>
      </c>
      <c r="N29" s="29"/>
      <c r="P29" s="18" t="n">
        <v>16</v>
      </c>
      <c r="Q29" s="19" t="n">
        <f aca="false">IF(OR($L$4="",P29&gt;$L$4),"",COUNTIF($E$14:$E$45,P29))</f>
        <v>0</v>
      </c>
      <c r="R29" s="19" t="str">
        <f aca="false">IF(Q29="","–",IF(Q29=0,"Livre",IF(Q29=1,"OK","Repetida")))</f>
        <v>Livre</v>
      </c>
    </row>
    <row r="30" customFormat="false" ht="21.75" hidden="false" customHeight="true" outlineLevel="0" collapsed="false">
      <c r="B30" s="18" t="n">
        <v>17</v>
      </c>
      <c r="C30" s="29"/>
      <c r="D30" s="30"/>
      <c r="E30" s="30"/>
      <c r="F30" s="30"/>
      <c r="G30" s="30"/>
      <c r="H30" s="30"/>
      <c r="I30" s="30"/>
      <c r="J30" s="30"/>
      <c r="K30" s="19" t="str">
        <f aca="false">IF(D30="","",IF(OR(D30="Condensador",D30="DI ativa"),"Sim","Não"))</f>
        <v/>
      </c>
      <c r="L30" s="20" t="str">
        <f aca="false">IF(AND(C30="",D30="",E30=""),"",IF(AND(E30="",D30&lt;&gt;"USB ou rede"),"Falta entrada",IF(AND(E30&lt;&gt;"",$L$4&lt;&gt;"",E30&gt;$L$4),"Entrada inexistente",IF(AND(E30&lt;&gt;"",COUNTIF($E$14:$E$45,E30)&gt;1),"Entrada repetida",IF(D30="","Falta tipo",IF(AND(K30="Sim",F30&lt;&gt;"Sim"),"Falta phantom",IF(AND(K30="Não",F30="Sim"),"Phantom sem uso",IF(I30="LR + grupo","Caminho duplo",IF(OR(I30="",I30="Nenhum"),"Sem destino","OK")))))))))</f>
        <v/>
      </c>
      <c r="M30" s="21" t="str">
        <f aca="false">IF(L30="","",IF(L30="Falta entrada","Anote o conector ligado ao canal",IF(L30="Entrada inexistente","A mesa não tem essa entrada: confira o número",IF(L30="Entrada repetida","Dois canais na mesma entrada: confira o patch e os cabos",IF(L30="Falta tipo","Informe o tipo da fonte",IF(L30="Falta phantom","Ligue o phantom com o canal em mute",IF(L30="Phantom sem uso","Desligue o phantom com o canal em mute",IF(L30="Caminho duplo","Deixe um só caminho até o master: tire o L-R ou o grupo",IF(L30="Sem destino","Enderece o canal ao master ou a um grupo","Manter")))))))))</f>
        <v/>
      </c>
      <c r="N30" s="29"/>
      <c r="P30" s="18" t="n">
        <v>17</v>
      </c>
      <c r="Q30" s="19" t="str">
        <f aca="false">IF(OR($L$4="",P30&gt;$L$4),"",COUNTIF($E$14:$E$45,P30))</f>
        <v/>
      </c>
      <c r="R30" s="19" t="str">
        <f aca="false">IF(Q30="","–",IF(Q30=0,"Livre",IF(Q30=1,"OK","Repetida")))</f>
        <v>–</v>
      </c>
    </row>
    <row r="31" customFormat="false" ht="21.75" hidden="false" customHeight="true" outlineLevel="0" collapsed="false">
      <c r="B31" s="18" t="n">
        <v>18</v>
      </c>
      <c r="C31" s="29"/>
      <c r="D31" s="30"/>
      <c r="E31" s="30"/>
      <c r="F31" s="30"/>
      <c r="G31" s="30"/>
      <c r="H31" s="30"/>
      <c r="I31" s="30"/>
      <c r="J31" s="30"/>
      <c r="K31" s="19" t="str">
        <f aca="false">IF(D31="","",IF(OR(D31="Condensador",D31="DI ativa"),"Sim","Não"))</f>
        <v/>
      </c>
      <c r="L31" s="20" t="str">
        <f aca="false">IF(AND(C31="",D31="",E31=""),"",IF(AND(E31="",D31&lt;&gt;"USB ou rede"),"Falta entrada",IF(AND(E31&lt;&gt;"",$L$4&lt;&gt;"",E31&gt;$L$4),"Entrada inexistente",IF(AND(E31&lt;&gt;"",COUNTIF($E$14:$E$45,E31)&gt;1),"Entrada repetida",IF(D31="","Falta tipo",IF(AND(K31="Sim",F31&lt;&gt;"Sim"),"Falta phantom",IF(AND(K31="Não",F31="Sim"),"Phantom sem uso",IF(I31="LR + grupo","Caminho duplo",IF(OR(I31="",I31="Nenhum"),"Sem destino","OK")))))))))</f>
        <v/>
      </c>
      <c r="M31" s="21" t="str">
        <f aca="false">IF(L31="","",IF(L31="Falta entrada","Anote o conector ligado ao canal",IF(L31="Entrada inexistente","A mesa não tem essa entrada: confira o número",IF(L31="Entrada repetida","Dois canais na mesma entrada: confira o patch e os cabos",IF(L31="Falta tipo","Informe o tipo da fonte",IF(L31="Falta phantom","Ligue o phantom com o canal em mute",IF(L31="Phantom sem uso","Desligue o phantom com o canal em mute",IF(L31="Caminho duplo","Deixe um só caminho até o master: tire o L-R ou o grupo",IF(L31="Sem destino","Enderece o canal ao master ou a um grupo","Manter")))))))))</f>
        <v/>
      </c>
      <c r="N31" s="29"/>
      <c r="P31" s="18" t="n">
        <v>18</v>
      </c>
      <c r="Q31" s="19" t="str">
        <f aca="false">IF(OR($L$4="",P31&gt;$L$4),"",COUNTIF($E$14:$E$45,P31))</f>
        <v/>
      </c>
      <c r="R31" s="19" t="str">
        <f aca="false">IF(Q31="","–",IF(Q31=0,"Livre",IF(Q31=1,"OK","Repetida")))</f>
        <v>–</v>
      </c>
    </row>
    <row r="32" customFormat="false" ht="21.75" hidden="false" customHeight="true" outlineLevel="0" collapsed="false">
      <c r="B32" s="18" t="n">
        <v>19</v>
      </c>
      <c r="C32" s="29"/>
      <c r="D32" s="30"/>
      <c r="E32" s="30"/>
      <c r="F32" s="30"/>
      <c r="G32" s="30"/>
      <c r="H32" s="30"/>
      <c r="I32" s="30"/>
      <c r="J32" s="30"/>
      <c r="K32" s="19" t="str">
        <f aca="false">IF(D32="","",IF(OR(D32="Condensador",D32="DI ativa"),"Sim","Não"))</f>
        <v/>
      </c>
      <c r="L32" s="20" t="str">
        <f aca="false">IF(AND(C32="",D32="",E32=""),"",IF(AND(E32="",D32&lt;&gt;"USB ou rede"),"Falta entrada",IF(AND(E32&lt;&gt;"",$L$4&lt;&gt;"",E32&gt;$L$4),"Entrada inexistente",IF(AND(E32&lt;&gt;"",COUNTIF($E$14:$E$45,E32)&gt;1),"Entrada repetida",IF(D32="","Falta tipo",IF(AND(K32="Sim",F32&lt;&gt;"Sim"),"Falta phantom",IF(AND(K32="Não",F32="Sim"),"Phantom sem uso",IF(I32="LR + grupo","Caminho duplo",IF(OR(I32="",I32="Nenhum"),"Sem destino","OK")))))))))</f>
        <v/>
      </c>
      <c r="M32" s="21" t="str">
        <f aca="false">IF(L32="","",IF(L32="Falta entrada","Anote o conector ligado ao canal",IF(L32="Entrada inexistente","A mesa não tem essa entrada: confira o número",IF(L32="Entrada repetida","Dois canais na mesma entrada: confira o patch e os cabos",IF(L32="Falta tipo","Informe o tipo da fonte",IF(L32="Falta phantom","Ligue o phantom com o canal em mute",IF(L32="Phantom sem uso","Desligue o phantom com o canal em mute",IF(L32="Caminho duplo","Deixe um só caminho até o master: tire o L-R ou o grupo",IF(L32="Sem destino","Enderece o canal ao master ou a um grupo","Manter")))))))))</f>
        <v/>
      </c>
      <c r="N32" s="29"/>
      <c r="P32" s="18" t="n">
        <v>19</v>
      </c>
      <c r="Q32" s="19" t="str">
        <f aca="false">IF(OR($L$4="",P32&gt;$L$4),"",COUNTIF($E$14:$E$45,P32))</f>
        <v/>
      </c>
      <c r="R32" s="19" t="str">
        <f aca="false">IF(Q32="","–",IF(Q32=0,"Livre",IF(Q32=1,"OK","Repetida")))</f>
        <v>–</v>
      </c>
    </row>
    <row r="33" customFormat="false" ht="21.75" hidden="false" customHeight="true" outlineLevel="0" collapsed="false">
      <c r="B33" s="18" t="n">
        <v>20</v>
      </c>
      <c r="C33" s="29"/>
      <c r="D33" s="30"/>
      <c r="E33" s="30"/>
      <c r="F33" s="30"/>
      <c r="G33" s="30"/>
      <c r="H33" s="30"/>
      <c r="I33" s="30"/>
      <c r="J33" s="30"/>
      <c r="K33" s="19" t="str">
        <f aca="false">IF(D33="","",IF(OR(D33="Condensador",D33="DI ativa"),"Sim","Não"))</f>
        <v/>
      </c>
      <c r="L33" s="20" t="str">
        <f aca="false">IF(AND(C33="",D33="",E33=""),"",IF(AND(E33="",D33&lt;&gt;"USB ou rede"),"Falta entrada",IF(AND(E33&lt;&gt;"",$L$4&lt;&gt;"",E33&gt;$L$4),"Entrada inexistente",IF(AND(E33&lt;&gt;"",COUNTIF($E$14:$E$45,E33)&gt;1),"Entrada repetida",IF(D33="","Falta tipo",IF(AND(K33="Sim",F33&lt;&gt;"Sim"),"Falta phantom",IF(AND(K33="Não",F33="Sim"),"Phantom sem uso",IF(I33="LR + grupo","Caminho duplo",IF(OR(I33="",I33="Nenhum"),"Sem destino","OK")))))))))</f>
        <v/>
      </c>
      <c r="M33" s="21" t="str">
        <f aca="false">IF(L33="","",IF(L33="Falta entrada","Anote o conector ligado ao canal",IF(L33="Entrada inexistente","A mesa não tem essa entrada: confira o número",IF(L33="Entrada repetida","Dois canais na mesma entrada: confira o patch e os cabos",IF(L33="Falta tipo","Informe o tipo da fonte",IF(L33="Falta phantom","Ligue o phantom com o canal em mute",IF(L33="Phantom sem uso","Desligue o phantom com o canal em mute",IF(L33="Caminho duplo","Deixe um só caminho até o master: tire o L-R ou o grupo",IF(L33="Sem destino","Enderece o canal ao master ou a um grupo","Manter")))))))))</f>
        <v/>
      </c>
      <c r="N33" s="29"/>
      <c r="P33" s="18" t="n">
        <v>20</v>
      </c>
      <c r="Q33" s="19" t="str">
        <f aca="false">IF(OR($L$4="",P33&gt;$L$4),"",COUNTIF($E$14:$E$45,P33))</f>
        <v/>
      </c>
      <c r="R33" s="19" t="str">
        <f aca="false">IF(Q33="","–",IF(Q33=0,"Livre",IF(Q33=1,"OK","Repetida")))</f>
        <v>–</v>
      </c>
    </row>
    <row r="34" customFormat="false" ht="21.75" hidden="false" customHeight="true" outlineLevel="0" collapsed="false">
      <c r="B34" s="18" t="n">
        <v>21</v>
      </c>
      <c r="C34" s="29"/>
      <c r="D34" s="30"/>
      <c r="E34" s="30"/>
      <c r="F34" s="30"/>
      <c r="G34" s="30"/>
      <c r="H34" s="30"/>
      <c r="I34" s="30"/>
      <c r="J34" s="30"/>
      <c r="K34" s="19" t="str">
        <f aca="false">IF(D34="","",IF(OR(D34="Condensador",D34="DI ativa"),"Sim","Não"))</f>
        <v/>
      </c>
      <c r="L34" s="20" t="str">
        <f aca="false">IF(AND(C34="",D34="",E34=""),"",IF(AND(E34="",D34&lt;&gt;"USB ou rede"),"Falta entrada",IF(AND(E34&lt;&gt;"",$L$4&lt;&gt;"",E34&gt;$L$4),"Entrada inexistente",IF(AND(E34&lt;&gt;"",COUNTIF($E$14:$E$45,E34)&gt;1),"Entrada repetida",IF(D34="","Falta tipo",IF(AND(K34="Sim",F34&lt;&gt;"Sim"),"Falta phantom",IF(AND(K34="Não",F34="Sim"),"Phantom sem uso",IF(I34="LR + grupo","Caminho duplo",IF(OR(I34="",I34="Nenhum"),"Sem destino","OK")))))))))</f>
        <v/>
      </c>
      <c r="M34" s="21" t="str">
        <f aca="false">IF(L34="","",IF(L34="Falta entrada","Anote o conector ligado ao canal",IF(L34="Entrada inexistente","A mesa não tem essa entrada: confira o número",IF(L34="Entrada repetida","Dois canais na mesma entrada: confira o patch e os cabos",IF(L34="Falta tipo","Informe o tipo da fonte",IF(L34="Falta phantom","Ligue o phantom com o canal em mute",IF(L34="Phantom sem uso","Desligue o phantom com o canal em mute",IF(L34="Caminho duplo","Deixe um só caminho até o master: tire o L-R ou o grupo",IF(L34="Sem destino","Enderece o canal ao master ou a um grupo","Manter")))))))))</f>
        <v/>
      </c>
      <c r="N34" s="29"/>
      <c r="P34" s="18" t="n">
        <v>21</v>
      </c>
      <c r="Q34" s="19" t="str">
        <f aca="false">IF(OR($L$4="",P34&gt;$L$4),"",COUNTIF($E$14:$E$45,P34))</f>
        <v/>
      </c>
      <c r="R34" s="19" t="str">
        <f aca="false">IF(Q34="","–",IF(Q34=0,"Livre",IF(Q34=1,"OK","Repetida")))</f>
        <v>–</v>
      </c>
    </row>
    <row r="35" customFormat="false" ht="21.75" hidden="false" customHeight="true" outlineLevel="0" collapsed="false">
      <c r="B35" s="18" t="n">
        <v>22</v>
      </c>
      <c r="C35" s="29"/>
      <c r="D35" s="30"/>
      <c r="E35" s="30"/>
      <c r="F35" s="30"/>
      <c r="G35" s="30"/>
      <c r="H35" s="30"/>
      <c r="I35" s="30"/>
      <c r="J35" s="30"/>
      <c r="K35" s="19" t="str">
        <f aca="false">IF(D35="","",IF(OR(D35="Condensador",D35="DI ativa"),"Sim","Não"))</f>
        <v/>
      </c>
      <c r="L35" s="20" t="str">
        <f aca="false">IF(AND(C35="",D35="",E35=""),"",IF(AND(E35="",D35&lt;&gt;"USB ou rede"),"Falta entrada",IF(AND(E35&lt;&gt;"",$L$4&lt;&gt;"",E35&gt;$L$4),"Entrada inexistente",IF(AND(E35&lt;&gt;"",COUNTIF($E$14:$E$45,E35)&gt;1),"Entrada repetida",IF(D35="","Falta tipo",IF(AND(K35="Sim",F35&lt;&gt;"Sim"),"Falta phantom",IF(AND(K35="Não",F35="Sim"),"Phantom sem uso",IF(I35="LR + grupo","Caminho duplo",IF(OR(I35="",I35="Nenhum"),"Sem destino","OK")))))))))</f>
        <v/>
      </c>
      <c r="M35" s="21" t="str">
        <f aca="false">IF(L35="","",IF(L35="Falta entrada","Anote o conector ligado ao canal",IF(L35="Entrada inexistente","A mesa não tem essa entrada: confira o número",IF(L35="Entrada repetida","Dois canais na mesma entrada: confira o patch e os cabos",IF(L35="Falta tipo","Informe o tipo da fonte",IF(L35="Falta phantom","Ligue o phantom com o canal em mute",IF(L35="Phantom sem uso","Desligue o phantom com o canal em mute",IF(L35="Caminho duplo","Deixe um só caminho até o master: tire o L-R ou o grupo",IF(L35="Sem destino","Enderece o canal ao master ou a um grupo","Manter")))))))))</f>
        <v/>
      </c>
      <c r="N35" s="29"/>
      <c r="P35" s="18" t="n">
        <v>22</v>
      </c>
      <c r="Q35" s="19" t="str">
        <f aca="false">IF(OR($L$4="",P35&gt;$L$4),"",COUNTIF($E$14:$E$45,P35))</f>
        <v/>
      </c>
      <c r="R35" s="19" t="str">
        <f aca="false">IF(Q35="","–",IF(Q35=0,"Livre",IF(Q35=1,"OK","Repetida")))</f>
        <v>–</v>
      </c>
    </row>
    <row r="36" customFormat="false" ht="21.75" hidden="false" customHeight="true" outlineLevel="0" collapsed="false">
      <c r="B36" s="18" t="n">
        <v>23</v>
      </c>
      <c r="C36" s="29"/>
      <c r="D36" s="30"/>
      <c r="E36" s="30"/>
      <c r="F36" s="30"/>
      <c r="G36" s="30"/>
      <c r="H36" s="30"/>
      <c r="I36" s="30"/>
      <c r="J36" s="30"/>
      <c r="K36" s="19" t="str">
        <f aca="false">IF(D36="","",IF(OR(D36="Condensador",D36="DI ativa"),"Sim","Não"))</f>
        <v/>
      </c>
      <c r="L36" s="20" t="str">
        <f aca="false">IF(AND(C36="",D36="",E36=""),"",IF(AND(E36="",D36&lt;&gt;"USB ou rede"),"Falta entrada",IF(AND(E36&lt;&gt;"",$L$4&lt;&gt;"",E36&gt;$L$4),"Entrada inexistente",IF(AND(E36&lt;&gt;"",COUNTIF($E$14:$E$45,E36)&gt;1),"Entrada repetida",IF(D36="","Falta tipo",IF(AND(K36="Sim",F36&lt;&gt;"Sim"),"Falta phantom",IF(AND(K36="Não",F36="Sim"),"Phantom sem uso",IF(I36="LR + grupo","Caminho duplo",IF(OR(I36="",I36="Nenhum"),"Sem destino","OK")))))))))</f>
        <v/>
      </c>
      <c r="M36" s="21" t="str">
        <f aca="false">IF(L36="","",IF(L36="Falta entrada","Anote o conector ligado ao canal",IF(L36="Entrada inexistente","A mesa não tem essa entrada: confira o número",IF(L36="Entrada repetida","Dois canais na mesma entrada: confira o patch e os cabos",IF(L36="Falta tipo","Informe o tipo da fonte",IF(L36="Falta phantom","Ligue o phantom com o canal em mute",IF(L36="Phantom sem uso","Desligue o phantom com o canal em mute",IF(L36="Caminho duplo","Deixe um só caminho até o master: tire o L-R ou o grupo",IF(L36="Sem destino","Enderece o canal ao master ou a um grupo","Manter")))))))))</f>
        <v/>
      </c>
      <c r="N36" s="29"/>
      <c r="P36" s="18" t="n">
        <v>23</v>
      </c>
      <c r="Q36" s="19" t="str">
        <f aca="false">IF(OR($L$4="",P36&gt;$L$4),"",COUNTIF($E$14:$E$45,P36))</f>
        <v/>
      </c>
      <c r="R36" s="19" t="str">
        <f aca="false">IF(Q36="","–",IF(Q36=0,"Livre",IF(Q36=1,"OK","Repetida")))</f>
        <v>–</v>
      </c>
    </row>
    <row r="37" customFormat="false" ht="21.75" hidden="false" customHeight="true" outlineLevel="0" collapsed="false">
      <c r="B37" s="18" t="n">
        <v>24</v>
      </c>
      <c r="C37" s="29"/>
      <c r="D37" s="30"/>
      <c r="E37" s="30"/>
      <c r="F37" s="30"/>
      <c r="G37" s="30"/>
      <c r="H37" s="30"/>
      <c r="I37" s="30"/>
      <c r="J37" s="30"/>
      <c r="K37" s="19" t="str">
        <f aca="false">IF(D37="","",IF(OR(D37="Condensador",D37="DI ativa"),"Sim","Não"))</f>
        <v/>
      </c>
      <c r="L37" s="20" t="str">
        <f aca="false">IF(AND(C37="",D37="",E37=""),"",IF(AND(E37="",D37&lt;&gt;"USB ou rede"),"Falta entrada",IF(AND(E37&lt;&gt;"",$L$4&lt;&gt;"",E37&gt;$L$4),"Entrada inexistente",IF(AND(E37&lt;&gt;"",COUNTIF($E$14:$E$45,E37)&gt;1),"Entrada repetida",IF(D37="","Falta tipo",IF(AND(K37="Sim",F37&lt;&gt;"Sim"),"Falta phantom",IF(AND(K37="Não",F37="Sim"),"Phantom sem uso",IF(I37="LR + grupo","Caminho duplo",IF(OR(I37="",I37="Nenhum"),"Sem destino","OK")))))))))</f>
        <v/>
      </c>
      <c r="M37" s="21" t="str">
        <f aca="false">IF(L37="","",IF(L37="Falta entrada","Anote o conector ligado ao canal",IF(L37="Entrada inexistente","A mesa não tem essa entrada: confira o número",IF(L37="Entrada repetida","Dois canais na mesma entrada: confira o patch e os cabos",IF(L37="Falta tipo","Informe o tipo da fonte",IF(L37="Falta phantom","Ligue o phantom com o canal em mute",IF(L37="Phantom sem uso","Desligue o phantom com o canal em mute",IF(L37="Caminho duplo","Deixe um só caminho até o master: tire o L-R ou o grupo",IF(L37="Sem destino","Enderece o canal ao master ou a um grupo","Manter")))))))))</f>
        <v/>
      </c>
      <c r="N37" s="29"/>
      <c r="P37" s="18" t="n">
        <v>24</v>
      </c>
      <c r="Q37" s="19" t="str">
        <f aca="false">IF(OR($L$4="",P37&gt;$L$4),"",COUNTIF($E$14:$E$45,P37))</f>
        <v/>
      </c>
      <c r="R37" s="19" t="str">
        <f aca="false">IF(Q37="","–",IF(Q37=0,"Livre",IF(Q37=1,"OK","Repetida")))</f>
        <v>–</v>
      </c>
    </row>
    <row r="38" customFormat="false" ht="21.75" hidden="false" customHeight="true" outlineLevel="0" collapsed="false">
      <c r="B38" s="18" t="n">
        <v>25</v>
      </c>
      <c r="C38" s="29"/>
      <c r="D38" s="30"/>
      <c r="E38" s="30"/>
      <c r="F38" s="30"/>
      <c r="G38" s="30"/>
      <c r="H38" s="30"/>
      <c r="I38" s="30"/>
      <c r="J38" s="30"/>
      <c r="K38" s="19" t="str">
        <f aca="false">IF(D38="","",IF(OR(D38="Condensador",D38="DI ativa"),"Sim","Não"))</f>
        <v/>
      </c>
      <c r="L38" s="20" t="str">
        <f aca="false">IF(AND(C38="",D38="",E38=""),"",IF(AND(E38="",D38&lt;&gt;"USB ou rede"),"Falta entrada",IF(AND(E38&lt;&gt;"",$L$4&lt;&gt;"",E38&gt;$L$4),"Entrada inexistente",IF(AND(E38&lt;&gt;"",COUNTIF($E$14:$E$45,E38)&gt;1),"Entrada repetida",IF(D38="","Falta tipo",IF(AND(K38="Sim",F38&lt;&gt;"Sim"),"Falta phantom",IF(AND(K38="Não",F38="Sim"),"Phantom sem uso",IF(I38="LR + grupo","Caminho duplo",IF(OR(I38="",I38="Nenhum"),"Sem destino","OK")))))))))</f>
        <v/>
      </c>
      <c r="M38" s="21" t="str">
        <f aca="false">IF(L38="","",IF(L38="Falta entrada","Anote o conector ligado ao canal",IF(L38="Entrada inexistente","A mesa não tem essa entrada: confira o número",IF(L38="Entrada repetida","Dois canais na mesma entrada: confira o patch e os cabos",IF(L38="Falta tipo","Informe o tipo da fonte",IF(L38="Falta phantom","Ligue o phantom com o canal em mute",IF(L38="Phantom sem uso","Desligue o phantom com o canal em mute",IF(L38="Caminho duplo","Deixe um só caminho até o master: tire o L-R ou o grupo",IF(L38="Sem destino","Enderece o canal ao master ou a um grupo","Manter")))))))))</f>
        <v/>
      </c>
      <c r="N38" s="29"/>
      <c r="P38" s="18" t="n">
        <v>25</v>
      </c>
      <c r="Q38" s="19" t="str">
        <f aca="false">IF(OR($L$4="",P38&gt;$L$4),"",COUNTIF($E$14:$E$45,P38))</f>
        <v/>
      </c>
      <c r="R38" s="19" t="str">
        <f aca="false">IF(Q38="","–",IF(Q38=0,"Livre",IF(Q38=1,"OK","Repetida")))</f>
        <v>–</v>
      </c>
    </row>
    <row r="39" customFormat="false" ht="21.75" hidden="false" customHeight="true" outlineLevel="0" collapsed="false">
      <c r="B39" s="18" t="n">
        <v>26</v>
      </c>
      <c r="C39" s="29"/>
      <c r="D39" s="30"/>
      <c r="E39" s="30"/>
      <c r="F39" s="30"/>
      <c r="G39" s="30"/>
      <c r="H39" s="30"/>
      <c r="I39" s="30"/>
      <c r="J39" s="30"/>
      <c r="K39" s="19" t="str">
        <f aca="false">IF(D39="","",IF(OR(D39="Condensador",D39="DI ativa"),"Sim","Não"))</f>
        <v/>
      </c>
      <c r="L39" s="20" t="str">
        <f aca="false">IF(AND(C39="",D39="",E39=""),"",IF(AND(E39="",D39&lt;&gt;"USB ou rede"),"Falta entrada",IF(AND(E39&lt;&gt;"",$L$4&lt;&gt;"",E39&gt;$L$4),"Entrada inexistente",IF(AND(E39&lt;&gt;"",COUNTIF($E$14:$E$45,E39)&gt;1),"Entrada repetida",IF(D39="","Falta tipo",IF(AND(K39="Sim",F39&lt;&gt;"Sim"),"Falta phantom",IF(AND(K39="Não",F39="Sim"),"Phantom sem uso",IF(I39="LR + grupo","Caminho duplo",IF(OR(I39="",I39="Nenhum"),"Sem destino","OK")))))))))</f>
        <v/>
      </c>
      <c r="M39" s="21" t="str">
        <f aca="false">IF(L39="","",IF(L39="Falta entrada","Anote o conector ligado ao canal",IF(L39="Entrada inexistente","A mesa não tem essa entrada: confira o número",IF(L39="Entrada repetida","Dois canais na mesma entrada: confira o patch e os cabos",IF(L39="Falta tipo","Informe o tipo da fonte",IF(L39="Falta phantom","Ligue o phantom com o canal em mute",IF(L39="Phantom sem uso","Desligue o phantom com o canal em mute",IF(L39="Caminho duplo","Deixe um só caminho até o master: tire o L-R ou o grupo",IF(L39="Sem destino","Enderece o canal ao master ou a um grupo","Manter")))))))))</f>
        <v/>
      </c>
      <c r="N39" s="29"/>
      <c r="P39" s="18" t="n">
        <v>26</v>
      </c>
      <c r="Q39" s="19" t="str">
        <f aca="false">IF(OR($L$4="",P39&gt;$L$4),"",COUNTIF($E$14:$E$45,P39))</f>
        <v/>
      </c>
      <c r="R39" s="19" t="str">
        <f aca="false">IF(Q39="","–",IF(Q39=0,"Livre",IF(Q39=1,"OK","Repetida")))</f>
        <v>–</v>
      </c>
    </row>
    <row r="40" customFormat="false" ht="21.75" hidden="false" customHeight="true" outlineLevel="0" collapsed="false">
      <c r="B40" s="18" t="n">
        <v>27</v>
      </c>
      <c r="C40" s="29"/>
      <c r="D40" s="30"/>
      <c r="E40" s="30"/>
      <c r="F40" s="30"/>
      <c r="G40" s="30"/>
      <c r="H40" s="30"/>
      <c r="I40" s="30"/>
      <c r="J40" s="30"/>
      <c r="K40" s="19" t="str">
        <f aca="false">IF(D40="","",IF(OR(D40="Condensador",D40="DI ativa"),"Sim","Não"))</f>
        <v/>
      </c>
      <c r="L40" s="20" t="str">
        <f aca="false">IF(AND(C40="",D40="",E40=""),"",IF(AND(E40="",D40&lt;&gt;"USB ou rede"),"Falta entrada",IF(AND(E40&lt;&gt;"",$L$4&lt;&gt;"",E40&gt;$L$4),"Entrada inexistente",IF(AND(E40&lt;&gt;"",COUNTIF($E$14:$E$45,E40)&gt;1),"Entrada repetida",IF(D40="","Falta tipo",IF(AND(K40="Sim",F40&lt;&gt;"Sim"),"Falta phantom",IF(AND(K40="Não",F40="Sim"),"Phantom sem uso",IF(I40="LR + grupo","Caminho duplo",IF(OR(I40="",I40="Nenhum"),"Sem destino","OK")))))))))</f>
        <v/>
      </c>
      <c r="M40" s="21" t="str">
        <f aca="false">IF(L40="","",IF(L40="Falta entrada","Anote o conector ligado ao canal",IF(L40="Entrada inexistente","A mesa não tem essa entrada: confira o número",IF(L40="Entrada repetida","Dois canais na mesma entrada: confira o patch e os cabos",IF(L40="Falta tipo","Informe o tipo da fonte",IF(L40="Falta phantom","Ligue o phantom com o canal em mute",IF(L40="Phantom sem uso","Desligue o phantom com o canal em mute",IF(L40="Caminho duplo","Deixe um só caminho até o master: tire o L-R ou o grupo",IF(L40="Sem destino","Enderece o canal ao master ou a um grupo","Manter")))))))))</f>
        <v/>
      </c>
      <c r="N40" s="29"/>
      <c r="P40" s="18" t="n">
        <v>27</v>
      </c>
      <c r="Q40" s="19" t="str">
        <f aca="false">IF(OR($L$4="",P40&gt;$L$4),"",COUNTIF($E$14:$E$45,P40))</f>
        <v/>
      </c>
      <c r="R40" s="19" t="str">
        <f aca="false">IF(Q40="","–",IF(Q40=0,"Livre",IF(Q40=1,"OK","Repetida")))</f>
        <v>–</v>
      </c>
    </row>
    <row r="41" customFormat="false" ht="21.75" hidden="false" customHeight="true" outlineLevel="0" collapsed="false">
      <c r="B41" s="18" t="n">
        <v>28</v>
      </c>
      <c r="C41" s="29"/>
      <c r="D41" s="30"/>
      <c r="E41" s="30"/>
      <c r="F41" s="30"/>
      <c r="G41" s="30"/>
      <c r="H41" s="30"/>
      <c r="I41" s="30"/>
      <c r="J41" s="30"/>
      <c r="K41" s="19" t="str">
        <f aca="false">IF(D41="","",IF(OR(D41="Condensador",D41="DI ativa"),"Sim","Não"))</f>
        <v/>
      </c>
      <c r="L41" s="20" t="str">
        <f aca="false">IF(AND(C41="",D41="",E41=""),"",IF(AND(E41="",D41&lt;&gt;"USB ou rede"),"Falta entrada",IF(AND(E41&lt;&gt;"",$L$4&lt;&gt;"",E41&gt;$L$4),"Entrada inexistente",IF(AND(E41&lt;&gt;"",COUNTIF($E$14:$E$45,E41)&gt;1),"Entrada repetida",IF(D41="","Falta tipo",IF(AND(K41="Sim",F41&lt;&gt;"Sim"),"Falta phantom",IF(AND(K41="Não",F41="Sim"),"Phantom sem uso",IF(I41="LR + grupo","Caminho duplo",IF(OR(I41="",I41="Nenhum"),"Sem destino","OK")))))))))</f>
        <v/>
      </c>
      <c r="M41" s="21" t="str">
        <f aca="false">IF(L41="","",IF(L41="Falta entrada","Anote o conector ligado ao canal",IF(L41="Entrada inexistente","A mesa não tem essa entrada: confira o número",IF(L41="Entrada repetida","Dois canais na mesma entrada: confira o patch e os cabos",IF(L41="Falta tipo","Informe o tipo da fonte",IF(L41="Falta phantom","Ligue o phantom com o canal em mute",IF(L41="Phantom sem uso","Desligue o phantom com o canal em mute",IF(L41="Caminho duplo","Deixe um só caminho até o master: tire o L-R ou o grupo",IF(L41="Sem destino","Enderece o canal ao master ou a um grupo","Manter")))))))))</f>
        <v/>
      </c>
      <c r="N41" s="29"/>
      <c r="P41" s="18" t="n">
        <v>28</v>
      </c>
      <c r="Q41" s="19" t="str">
        <f aca="false">IF(OR($L$4="",P41&gt;$L$4),"",COUNTIF($E$14:$E$45,P41))</f>
        <v/>
      </c>
      <c r="R41" s="19" t="str">
        <f aca="false">IF(Q41="","–",IF(Q41=0,"Livre",IF(Q41=1,"OK","Repetida")))</f>
        <v>–</v>
      </c>
    </row>
    <row r="42" customFormat="false" ht="21.75" hidden="false" customHeight="true" outlineLevel="0" collapsed="false">
      <c r="B42" s="18" t="n">
        <v>29</v>
      </c>
      <c r="C42" s="29"/>
      <c r="D42" s="30"/>
      <c r="E42" s="30"/>
      <c r="F42" s="30"/>
      <c r="G42" s="30"/>
      <c r="H42" s="30"/>
      <c r="I42" s="30"/>
      <c r="J42" s="30"/>
      <c r="K42" s="19" t="str">
        <f aca="false">IF(D42="","",IF(OR(D42="Condensador",D42="DI ativa"),"Sim","Não"))</f>
        <v/>
      </c>
      <c r="L42" s="20" t="str">
        <f aca="false">IF(AND(C42="",D42="",E42=""),"",IF(AND(E42="",D42&lt;&gt;"USB ou rede"),"Falta entrada",IF(AND(E42&lt;&gt;"",$L$4&lt;&gt;"",E42&gt;$L$4),"Entrada inexistente",IF(AND(E42&lt;&gt;"",COUNTIF($E$14:$E$45,E42)&gt;1),"Entrada repetida",IF(D42="","Falta tipo",IF(AND(K42="Sim",F42&lt;&gt;"Sim"),"Falta phantom",IF(AND(K42="Não",F42="Sim"),"Phantom sem uso",IF(I42="LR + grupo","Caminho duplo",IF(OR(I42="",I42="Nenhum"),"Sem destino","OK")))))))))</f>
        <v/>
      </c>
      <c r="M42" s="21" t="str">
        <f aca="false">IF(L42="","",IF(L42="Falta entrada","Anote o conector ligado ao canal",IF(L42="Entrada inexistente","A mesa não tem essa entrada: confira o número",IF(L42="Entrada repetida","Dois canais na mesma entrada: confira o patch e os cabos",IF(L42="Falta tipo","Informe o tipo da fonte",IF(L42="Falta phantom","Ligue o phantom com o canal em mute",IF(L42="Phantom sem uso","Desligue o phantom com o canal em mute",IF(L42="Caminho duplo","Deixe um só caminho até o master: tire o L-R ou o grupo",IF(L42="Sem destino","Enderece o canal ao master ou a um grupo","Manter")))))))))</f>
        <v/>
      </c>
      <c r="N42" s="29"/>
      <c r="P42" s="18" t="n">
        <v>29</v>
      </c>
      <c r="Q42" s="19" t="str">
        <f aca="false">IF(OR($L$4="",P42&gt;$L$4),"",COUNTIF($E$14:$E$45,P42))</f>
        <v/>
      </c>
      <c r="R42" s="19" t="str">
        <f aca="false">IF(Q42="","–",IF(Q42=0,"Livre",IF(Q42=1,"OK","Repetida")))</f>
        <v>–</v>
      </c>
    </row>
    <row r="43" customFormat="false" ht="21.75" hidden="false" customHeight="true" outlineLevel="0" collapsed="false">
      <c r="B43" s="18" t="n">
        <v>30</v>
      </c>
      <c r="C43" s="29"/>
      <c r="D43" s="30"/>
      <c r="E43" s="30"/>
      <c r="F43" s="30"/>
      <c r="G43" s="30"/>
      <c r="H43" s="30"/>
      <c r="I43" s="30"/>
      <c r="J43" s="30"/>
      <c r="K43" s="19" t="str">
        <f aca="false">IF(D43="","",IF(OR(D43="Condensador",D43="DI ativa"),"Sim","Não"))</f>
        <v/>
      </c>
      <c r="L43" s="20" t="str">
        <f aca="false">IF(AND(C43="",D43="",E43=""),"",IF(AND(E43="",D43&lt;&gt;"USB ou rede"),"Falta entrada",IF(AND(E43&lt;&gt;"",$L$4&lt;&gt;"",E43&gt;$L$4),"Entrada inexistente",IF(AND(E43&lt;&gt;"",COUNTIF($E$14:$E$45,E43)&gt;1),"Entrada repetida",IF(D43="","Falta tipo",IF(AND(K43="Sim",F43&lt;&gt;"Sim"),"Falta phantom",IF(AND(K43="Não",F43="Sim"),"Phantom sem uso",IF(I43="LR + grupo","Caminho duplo",IF(OR(I43="",I43="Nenhum"),"Sem destino","OK")))))))))</f>
        <v/>
      </c>
      <c r="M43" s="21" t="str">
        <f aca="false">IF(L43="","",IF(L43="Falta entrada","Anote o conector ligado ao canal",IF(L43="Entrada inexistente","A mesa não tem essa entrada: confira o número",IF(L43="Entrada repetida","Dois canais na mesma entrada: confira o patch e os cabos",IF(L43="Falta tipo","Informe o tipo da fonte",IF(L43="Falta phantom","Ligue o phantom com o canal em mute",IF(L43="Phantom sem uso","Desligue o phantom com o canal em mute",IF(L43="Caminho duplo","Deixe um só caminho até o master: tire o L-R ou o grupo",IF(L43="Sem destino","Enderece o canal ao master ou a um grupo","Manter")))))))))</f>
        <v/>
      </c>
      <c r="N43" s="29"/>
      <c r="P43" s="18" t="n">
        <v>30</v>
      </c>
      <c r="Q43" s="19" t="str">
        <f aca="false">IF(OR($L$4="",P43&gt;$L$4),"",COUNTIF($E$14:$E$45,P43))</f>
        <v/>
      </c>
      <c r="R43" s="19" t="str">
        <f aca="false">IF(Q43="","–",IF(Q43=0,"Livre",IF(Q43=1,"OK","Repetida")))</f>
        <v>–</v>
      </c>
    </row>
    <row r="44" customFormat="false" ht="21.75" hidden="false" customHeight="true" outlineLevel="0" collapsed="false">
      <c r="B44" s="18" t="n">
        <v>31</v>
      </c>
      <c r="C44" s="29"/>
      <c r="D44" s="30"/>
      <c r="E44" s="30"/>
      <c r="F44" s="30"/>
      <c r="G44" s="30"/>
      <c r="H44" s="30"/>
      <c r="I44" s="30"/>
      <c r="J44" s="30"/>
      <c r="K44" s="19" t="str">
        <f aca="false">IF(D44="","",IF(OR(D44="Condensador",D44="DI ativa"),"Sim","Não"))</f>
        <v/>
      </c>
      <c r="L44" s="20" t="str">
        <f aca="false">IF(AND(C44="",D44="",E44=""),"",IF(AND(E44="",D44&lt;&gt;"USB ou rede"),"Falta entrada",IF(AND(E44&lt;&gt;"",$L$4&lt;&gt;"",E44&gt;$L$4),"Entrada inexistente",IF(AND(E44&lt;&gt;"",COUNTIF($E$14:$E$45,E44)&gt;1),"Entrada repetida",IF(D44="","Falta tipo",IF(AND(K44="Sim",F44&lt;&gt;"Sim"),"Falta phantom",IF(AND(K44="Não",F44="Sim"),"Phantom sem uso",IF(I44="LR + grupo","Caminho duplo",IF(OR(I44="",I44="Nenhum"),"Sem destino","OK")))))))))</f>
        <v/>
      </c>
      <c r="M44" s="21" t="str">
        <f aca="false">IF(L44="","",IF(L44="Falta entrada","Anote o conector ligado ao canal",IF(L44="Entrada inexistente","A mesa não tem essa entrada: confira o número",IF(L44="Entrada repetida","Dois canais na mesma entrada: confira o patch e os cabos",IF(L44="Falta tipo","Informe o tipo da fonte",IF(L44="Falta phantom","Ligue o phantom com o canal em mute",IF(L44="Phantom sem uso","Desligue o phantom com o canal em mute",IF(L44="Caminho duplo","Deixe um só caminho até o master: tire o L-R ou o grupo",IF(L44="Sem destino","Enderece o canal ao master ou a um grupo","Manter")))))))))</f>
        <v/>
      </c>
      <c r="N44" s="29"/>
      <c r="P44" s="18" t="n">
        <v>31</v>
      </c>
      <c r="Q44" s="19" t="str">
        <f aca="false">IF(OR($L$4="",P44&gt;$L$4),"",COUNTIF($E$14:$E$45,P44))</f>
        <v/>
      </c>
      <c r="R44" s="19" t="str">
        <f aca="false">IF(Q44="","–",IF(Q44=0,"Livre",IF(Q44=1,"OK","Repetida")))</f>
        <v>–</v>
      </c>
    </row>
    <row r="45" customFormat="false" ht="21.75" hidden="false" customHeight="true" outlineLevel="0" collapsed="false">
      <c r="B45" s="18" t="n">
        <v>32</v>
      </c>
      <c r="C45" s="29"/>
      <c r="D45" s="30"/>
      <c r="E45" s="30"/>
      <c r="F45" s="30"/>
      <c r="G45" s="30"/>
      <c r="H45" s="30"/>
      <c r="I45" s="30"/>
      <c r="J45" s="30"/>
      <c r="K45" s="19" t="str">
        <f aca="false">IF(D45="","",IF(OR(D45="Condensador",D45="DI ativa"),"Sim","Não"))</f>
        <v/>
      </c>
      <c r="L45" s="20" t="str">
        <f aca="false">IF(AND(C45="",D45="",E45=""),"",IF(AND(E45="",D45&lt;&gt;"USB ou rede"),"Falta entrada",IF(AND(E45&lt;&gt;"",$L$4&lt;&gt;"",E45&gt;$L$4),"Entrada inexistente",IF(AND(E45&lt;&gt;"",COUNTIF($E$14:$E$45,E45)&gt;1),"Entrada repetida",IF(D45="","Falta tipo",IF(AND(K45="Sim",F45&lt;&gt;"Sim"),"Falta phantom",IF(AND(K45="Não",F45="Sim"),"Phantom sem uso",IF(I45="LR + grupo","Caminho duplo",IF(OR(I45="",I45="Nenhum"),"Sem destino","OK")))))))))</f>
        <v/>
      </c>
      <c r="M45" s="21" t="str">
        <f aca="false">IF(L45="","",IF(L45="Falta entrada","Anote o conector ligado ao canal",IF(L45="Entrada inexistente","A mesa não tem essa entrada: confira o número",IF(L45="Entrada repetida","Dois canais na mesma entrada: confira o patch e os cabos",IF(L45="Falta tipo","Informe o tipo da fonte",IF(L45="Falta phantom","Ligue o phantom com o canal em mute",IF(L45="Phantom sem uso","Desligue o phantom com o canal em mute",IF(L45="Caminho duplo","Deixe um só caminho até o master: tire o L-R ou o grupo",IF(L45="Sem destino","Enderece o canal ao master ou a um grupo","Manter")))))))))</f>
        <v/>
      </c>
      <c r="N45" s="29"/>
      <c r="P45" s="18" t="n">
        <v>32</v>
      </c>
      <c r="Q45" s="19" t="str">
        <f aca="false">IF(OR($L$4="",P45&gt;$L$4),"",COUNTIF($E$14:$E$45,P45))</f>
        <v/>
      </c>
      <c r="R45" s="19" t="str">
        <f aca="false">IF(Q45="","–",IF(Q45=0,"Livre",IF(Q45=1,"OK","Repetida")))</f>
        <v>–</v>
      </c>
    </row>
    <row r="47" customFormat="false" ht="21.75" hidden="false" customHeight="true" outlineLevel="0" collapsed="false">
      <c r="B47" s="12" t="s">
        <v>100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customFormat="false" ht="19.5" hidden="false" customHeight="true" outlineLevel="0" collapsed="false">
      <c r="B48" s="22" t="s">
        <v>101</v>
      </c>
      <c r="C48" s="22"/>
      <c r="D48" s="22"/>
      <c r="E48" s="22"/>
      <c r="F48" s="20" t="n">
        <f aca="false">COUNTA(C14:C45)</f>
        <v>16</v>
      </c>
      <c r="G48" s="20"/>
      <c r="H48" s="20"/>
    </row>
    <row r="49" customFormat="false" ht="19.5" hidden="false" customHeight="true" outlineLevel="0" collapsed="false">
      <c r="B49" s="22" t="s">
        <v>102</v>
      </c>
      <c r="C49" s="22"/>
      <c r="D49" s="22"/>
      <c r="E49" s="22"/>
      <c r="F49" s="20" t="n">
        <f aca="false">COUNTIF(L14:L45,"OK")</f>
        <v>12</v>
      </c>
      <c r="G49" s="20"/>
      <c r="H49" s="20"/>
    </row>
    <row r="50" customFormat="false" ht="19.5" hidden="false" customHeight="true" outlineLevel="0" collapsed="false">
      <c r="B50" s="22" t="s">
        <v>103</v>
      </c>
      <c r="C50" s="22"/>
      <c r="D50" s="22"/>
      <c r="E50" s="22"/>
      <c r="F50" s="20" t="n">
        <f aca="false">COUNTIF(L14:L45,"Falta entrada")+COUNTIF(L14:L45,"Entrada inexistente")+COUNTIF(L14:L45,"Entrada repetida")+COUNTIF(L14:L45,"Falta tipo")+COUNTIF(L14:L45,"Falta phantom")+COUNTIF(L14:L45,"Phantom sem uso")+COUNTIF(L14:L45,"Caminho duplo")+COUNTIF(L14:L45,"Sem destino")</f>
        <v>4</v>
      </c>
      <c r="G50" s="20"/>
      <c r="H50" s="20"/>
    </row>
    <row r="51" customFormat="false" ht="19.5" hidden="false" customHeight="true" outlineLevel="0" collapsed="false">
      <c r="B51" s="22" t="s">
        <v>104</v>
      </c>
      <c r="C51" s="22"/>
      <c r="D51" s="22"/>
      <c r="E51" s="22"/>
      <c r="F51" s="20" t="n">
        <f aca="false">COUNTIF(F14:F45,"Sim")</f>
        <v>3</v>
      </c>
      <c r="G51" s="20"/>
      <c r="H51" s="20"/>
    </row>
    <row r="52" customFormat="false" ht="19.5" hidden="false" customHeight="true" outlineLevel="0" collapsed="false">
      <c r="B52" s="22" t="s">
        <v>105</v>
      </c>
      <c r="C52" s="22"/>
      <c r="D52" s="22"/>
      <c r="E52" s="22"/>
      <c r="F52" s="20" t="n">
        <f aca="false">COUNTIF(R14:R45,"Repetida")</f>
        <v>1</v>
      </c>
      <c r="G52" s="20"/>
      <c r="H52" s="20"/>
    </row>
    <row r="53" customFormat="false" ht="19.5" hidden="false" customHeight="true" outlineLevel="0" collapsed="false">
      <c r="B53" s="22" t="s">
        <v>106</v>
      </c>
      <c r="C53" s="22"/>
      <c r="D53" s="22"/>
      <c r="E53" s="22"/>
      <c r="F53" s="20" t="n">
        <f aca="false">COUNTIF(R14:R45,"Livre")</f>
        <v>3</v>
      </c>
      <c r="G53" s="20"/>
      <c r="H53" s="20"/>
    </row>
    <row r="54" customFormat="false" ht="21.75" hidden="false" customHeight="true" outlineLevel="0" collapsed="false">
      <c r="B54" s="22" t="s">
        <v>107</v>
      </c>
      <c r="C54" s="22"/>
      <c r="D54" s="22"/>
      <c r="E54" s="22"/>
      <c r="F54" s="23" t="str">
        <f aca="false">IF(F48=0,"Liste os canais",IF(F52&gt;0,"Há entrada física em dois canais: confira o patch",IF(F50&gt;0,"Há canal com aviso: corrija antes do teste de linha","OK")))</f>
        <v>Há entrada física em dois canais: confira o patch</v>
      </c>
      <c r="G54" s="23"/>
      <c r="H54" s="23"/>
      <c r="I54" s="23"/>
      <c r="J54" s="23"/>
      <c r="K54" s="23"/>
      <c r="L54" s="23"/>
      <c r="M54" s="23"/>
    </row>
    <row r="56" customFormat="false" ht="21.75" hidden="false" customHeight="true" outlineLevel="0" collapsed="false">
      <c r="B56" s="12" t="s">
        <v>326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customFormat="false" ht="21.75" hidden="false" customHeight="true" outlineLevel="0" collapsed="false">
      <c r="B57" s="8" t="s">
        <v>69</v>
      </c>
      <c r="C57" s="8" t="s">
        <v>327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customFormat="false" ht="21.75" hidden="false" customHeight="true" outlineLevel="0" collapsed="false">
      <c r="B58" s="18" t="s">
        <v>24</v>
      </c>
      <c r="C58" s="7" t="s">
        <v>328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customFormat="false" ht="21.75" hidden="false" customHeight="true" outlineLevel="0" collapsed="false">
      <c r="B59" s="18" t="s">
        <v>26</v>
      </c>
      <c r="C59" s="7" t="s">
        <v>329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customFormat="false" ht="21.75" hidden="false" customHeight="true" outlineLevel="0" collapsed="false">
      <c r="B60" s="18" t="s">
        <v>330</v>
      </c>
      <c r="C60" s="7" t="s">
        <v>331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customFormat="false" ht="21.75" hidden="false" customHeight="true" outlineLevel="0" collapsed="false">
      <c r="B61" s="18" t="s">
        <v>332</v>
      </c>
      <c r="C61" s="7" t="s">
        <v>333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</sheetData>
  <mergeCells count="39">
    <mergeCell ref="B1:R1"/>
    <mergeCell ref="B2:R2"/>
    <mergeCell ref="B4:C4"/>
    <mergeCell ref="D4:H4"/>
    <mergeCell ref="J4:K4"/>
    <mergeCell ref="M4:R4"/>
    <mergeCell ref="B5:C5"/>
    <mergeCell ref="D5:H5"/>
    <mergeCell ref="B6:C6"/>
    <mergeCell ref="D6:H6"/>
    <mergeCell ref="J6:R8"/>
    <mergeCell ref="B7:C7"/>
    <mergeCell ref="D7:H7"/>
    <mergeCell ref="B8:C8"/>
    <mergeCell ref="D8:H8"/>
    <mergeCell ref="B10:N10"/>
    <mergeCell ref="P10:R10"/>
    <mergeCell ref="B13:N13"/>
    <mergeCell ref="B47:N47"/>
    <mergeCell ref="B48:E48"/>
    <mergeCell ref="F48:H48"/>
    <mergeCell ref="B49:E49"/>
    <mergeCell ref="F49:H49"/>
    <mergeCell ref="B50:E50"/>
    <mergeCell ref="F50:H50"/>
    <mergeCell ref="B51:E51"/>
    <mergeCell ref="F51:H51"/>
    <mergeCell ref="B52:E52"/>
    <mergeCell ref="F52:H52"/>
    <mergeCell ref="B53:E53"/>
    <mergeCell ref="F53:H53"/>
    <mergeCell ref="B54:E54"/>
    <mergeCell ref="F54:M54"/>
    <mergeCell ref="B56:N56"/>
    <mergeCell ref="C57:N57"/>
    <mergeCell ref="C58:N58"/>
    <mergeCell ref="C59:N59"/>
    <mergeCell ref="C60:N60"/>
    <mergeCell ref="C61:N61"/>
  </mergeCells>
  <conditionalFormatting sqref="L14:L45">
    <cfRule type="cellIs" priority="2" operator="equal" aboveAverage="0" equalAverage="0" bottom="0" percent="0" rank="0" text="" dxfId="0">
      <formula>"Falta entrada"</formula>
    </cfRule>
    <cfRule type="cellIs" priority="3" operator="equal" aboveAverage="0" equalAverage="0" bottom="0" percent="0" rank="0" text="" dxfId="0">
      <formula>"Entrada inexistente"</formula>
    </cfRule>
    <cfRule type="cellIs" priority="4" operator="equal" aboveAverage="0" equalAverage="0" bottom="0" percent="0" rank="0" text="" dxfId="0">
      <formula>"Entrada repetida"</formula>
    </cfRule>
    <cfRule type="cellIs" priority="5" operator="equal" aboveAverage="0" equalAverage="0" bottom="0" percent="0" rank="0" text="" dxfId="0">
      <formula>"Falta phantom"</formula>
    </cfRule>
    <cfRule type="cellIs" priority="6" operator="equal" aboveAverage="0" equalAverage="0" bottom="0" percent="0" rank="0" text="" dxfId="1">
      <formula>"OK"</formula>
    </cfRule>
    <cfRule type="expression" priority="7" aboveAverage="0" equalAverage="0" bottom="0" percent="0" rank="0" text="" dxfId="2">
      <formula>AND(LEN(L14)&gt;0,L14&lt;&gt;"OK")</formula>
    </cfRule>
  </conditionalFormatting>
  <conditionalFormatting sqref="R14:R45">
    <cfRule type="cellIs" priority="8" operator="equal" aboveAverage="0" equalAverage="0" bottom="0" percent="0" rank="0" text="" dxfId="1">
      <formula>"OK"</formula>
    </cfRule>
    <cfRule type="cellIs" priority="9" operator="equal" aboveAverage="0" equalAverage="0" bottom="0" percent="0" rank="0" text="" dxfId="0">
      <formula>"Repetida"</formula>
    </cfRule>
  </conditionalFormatting>
  <conditionalFormatting sqref="F54:M54">
    <cfRule type="cellIs" priority="10" operator="equal" aboveAverage="0" equalAverage="0" bottom="0" percent="0" rank="0" text="" dxfId="1">
      <formula>"OK"</formula>
    </cfRule>
    <cfRule type="cellIs" priority="11" operator="notEqual" aboveAverage="0" equalAverage="0" bottom="0" percent="0" rank="0" text="" dxfId="2">
      <formula>"OK"</formula>
    </cfRule>
  </conditionalFormatting>
  <dataValidations count="7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" type="decimal">
      <formula1>-1000000000</formula1>
      <formula2>1000000000</formula2>
    </dataValidation>
    <dataValidation allowBlank="true" error="Escolha uma das opções da lista." errorStyle="stop" errorTitle="Valor inválido" operator="between" prompt="Tipo da fonte." promptTitle="Opções" showDropDown="false" showErrorMessage="true" showInputMessage="true" sqref="D14:D45" type="list">
      <formula1>"Dinâmico,Condensador,Fita,DI passiva,DI ativa,Linha,Sem fio,USB ou rede"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4:E45" type="decimal">
      <formula1>-1000000000</formula1>
      <formula2>1000000000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F14:G45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H14:H45" type="decimal">
      <formula1>-1000000000</formula1>
      <formula2>1000000000</formula2>
    </dataValidation>
    <dataValidation allowBlank="true" error="Escolha uma das opções da lista." errorStyle="stop" errorTitle="Valor inválido" operator="between" prompt="Barramento que recebe o canal depois do fader." promptTitle="Opções" showDropDown="false" showErrorMessage="true" showInputMessage="true" sqref="I14:I45" type="list">
      <formula1>"LR,Grupo 1-2,Grupo 3-4,Grupo 5-6,LR + grupo,Só auxiliares,Nenhum"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2026-10-01T12:59:01Z</dcterms:created>
  <dc:creator>Estudos: Técnico em áudio e vídeo</dc:creator>
  <dc:description/>
  <dc:language>pt-BR</dc:language>
  <cp:lastModifiedBy/>
  <dcterms:modified xsi:type="dcterms:W3CDTF">2026-10-01T12:59:01Z</dcterms:modified>
  <cp:revision>0</cp:revision>
  <dc:subject/>
  <dc:title>A mesa de som e o caminho do sinal — modelo de folha de canais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