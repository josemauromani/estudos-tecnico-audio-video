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Amplificador e caixas" sheetId="2" state="visible" r:id="rId4"/>
    <sheet name="SPL e cobertura" sheetId="3" state="visible" r:id="rId5"/>
    <sheet name="Referência" sheetId="4" state="visible" r:id="rId6"/>
    <sheet name="Checklist" sheetId="5" state="visible" r:id="rId7"/>
    <sheet name="Exemplo - Amplificador" sheetId="6" state="visible" r:id="rId8"/>
    <sheet name="Exemplo - Cobertura" sheetId="7" state="visible" r:id="rId9"/>
  </sheets>
  <definedNames>
    <definedName function="false" hidden="false" localSheetId="1" name="_xlnm.Print_Area" vbProcedure="false">'Amplificador e caixas'!$B$1:$R$34</definedName>
    <definedName function="false" hidden="false" localSheetId="4" name="_xlnm.Print_Area" vbProcedure="false">Checklist!$B$1:$F$20</definedName>
    <definedName function="false" hidden="false" localSheetId="5" name="_xlnm.Print_Area" vbProcedure="false">'Exemplo - Amplificador'!$B$1:$R$40</definedName>
    <definedName function="false" hidden="false" localSheetId="6" name="_xlnm.Print_Area" vbProcedure="false">'Exemplo - Cobertura'!$B$1:$N$52</definedName>
    <definedName function="false" hidden="false" localSheetId="0" name="_xlnm.Print_Area" vbProcedure="false">Instruções!$B$1:$C$39</definedName>
    <definedName function="false" hidden="false" localSheetId="3" name="_xlnm.Print_Area" vbProcedure="false">Referência!$B$1:$E$52</definedName>
    <definedName function="false" hidden="false" localSheetId="2" name="_xlnm.Print_Area" vbProcedure="false">'SPL e cobertura'!$B$1:$N$46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0" authorId="0">
      <text>
        <r>
          <rPr>
            <sz val="10"/>
            <rFont val="Arial"/>
            <family val="2"/>
          </rPr>
          <t xml:space="preserve">Quantas caixas iguais estão ligadas em paralelo nesta saída, contando as que estão em cadeia, uma ligada na outra.</t>
        </r>
      </text>
    </comment>
    <comment ref="F10" authorId="0">
      <text>
        <r>
          <rPr>
            <sz val="10"/>
            <rFont val="Arial"/>
            <family val="2"/>
          </rPr>
          <t xml:space="preserve">Impedância nominal de cada caixa, em ohms: está na etiqueta, perto do conector. Em geral 8 ou 4.</t>
        </r>
      </text>
    </comment>
    <comment ref="G10" authorId="0">
      <text>
        <r>
          <rPr>
            <sz val="10"/>
            <rFont val="Arial"/>
            <family val="2"/>
          </rPr>
          <t xml:space="preserve">Potência contínua (a que o fabricante chama de RMS ou AES) de cada caixa.
Não use a potência de programa nem a de pico.</t>
        </r>
      </text>
    </comment>
    <comment ref="H10" authorId="0">
      <text>
        <r>
          <rPr>
            <sz val="10"/>
            <rFont val="Arial"/>
            <family val="2"/>
          </rPr>
          <t xml:space="preserve">Menor impedância que o amplificador aceita por canal, segundo o manual. Em geral 4 Ω; alguns aceitam 2 Ω.
Em ponte (bridge), o mínimo dobra.</t>
        </r>
      </text>
    </comment>
    <comment ref="I10" authorId="0">
      <text>
        <r>
          <rPr>
            <sz val="10"/>
            <rFont val="Arial"/>
            <family val="2"/>
          </rPr>
          <t xml:space="preserve">Potência por canal que o manual declara, e a impedância em que ela foi declarada (coluna seguinte).
Exemplo: 700 W em 4 Ω.</t>
        </r>
      </text>
    </comment>
    <comment ref="K10" authorId="0">
      <text>
        <r>
          <rPr>
            <sz val="10"/>
            <rFont val="Arial"/>
            <family val="2"/>
          </rPr>
          <t xml:space="preserve">Ganho de tensão do amplificador, em dB, com os controles de nível no máximo. Está no manual: em geral de 26 a 35 dB.
Só é usado para calcular o limiar do limiter.</t>
        </r>
      </text>
    </comment>
    <comment ref="L10" authorId="0">
      <text>
        <r>
          <rPr>
            <sz val="10"/>
            <rFont val="Arial"/>
            <family val="2"/>
          </rPr>
          <t xml:space="preserve">Impedância de cada caixa dividida pelo número de caixas iguais em paralelo.
Para caixas de impedâncias diferentes, use a calculadora no fim da aba.</t>
        </r>
      </text>
    </comment>
    <comment ref="M10" authorId="0">
      <text>
        <r>
          <rPr>
            <sz val="10"/>
            <rFont val="Arial"/>
            <family val="2"/>
          </rPr>
          <t xml:space="preserve">Potência que cada caixa recebe com o amplificador no máximo: potência declarada × impedância declarada ÷ impedância da caixa.
Fica em branco quando a saída está abaixo do mínimo: ali o amplificador sai do projeto.</t>
        </r>
      </text>
    </comment>
    <comment ref="Q10" authorId="0">
      <text>
        <r>
          <rPr>
            <sz val="10"/>
            <rFont val="Arial"/>
            <family val="2"/>
          </rPr>
          <t xml:space="preserve">Nível de saída do processador, em dBu, em que o amplificador entrega à caixa a potência contínua dela.
É ponto de partida para o limiter. Vale com os controles de nível do amplificador no máximo.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2" authorId="0">
      <text>
        <r>
          <rPr>
            <sz val="10"/>
            <rFont val="Arial"/>
            <family val="2"/>
          </rPr>
          <t xml:space="preserve">Sensibilidade da caixa: o nível que ela produz a 1 metro com 1 watt. Está no manual. Em caixas de PA, de 93 a 100 dB.</t>
        </r>
      </text>
    </comment>
    <comment ref="D22" authorId="0">
      <text>
        <r>
          <rPr>
            <sz val="10"/>
            <rFont val="Arial"/>
            <family val="2"/>
          </rPr>
          <t xml:space="preserve">Número da caixa que cobre esta zona, na lista Caixas do sistema.</t>
        </r>
      </text>
    </comment>
    <comment ref="E12" authorId="0">
      <text>
        <r>
          <rPr>
            <sz val="10"/>
            <rFont val="Arial"/>
            <family val="2"/>
          </rPr>
          <t xml:space="preserve">Potência contínua que a caixa recebe: a menor entre a potência contínua da caixa e a que o amplificador entrega a ela.</t>
        </r>
      </text>
    </comment>
    <comment ref="F12" authorId="0">
      <text>
        <r>
          <rPr>
            <sz val="10"/>
            <rFont val="Arial"/>
            <family val="2"/>
          </rPr>
          <t xml:space="preserve">Para caixa ativa: o SPL máximo do manual, a 1 metro. A planilha tira o desconto indicado no alto da aba.
Se a sensibilidade e a potência estiverem preenchidas, este campo não é usado.</t>
        </r>
      </text>
    </comment>
    <comment ref="F22" authorId="0">
      <text>
        <r>
          <rPr>
            <sz val="10"/>
            <rFont val="Arial"/>
            <family val="2"/>
          </rPr>
          <t xml:space="preserve">Só para caixas de delay e front fill: a distância entre o PA principal e esta caixa.
A planilha calcula o atraso a programar nela.</t>
        </r>
      </text>
    </comment>
    <comment ref="G12" authorId="0">
      <text>
        <r>
          <rPr>
            <sz val="10"/>
            <rFont val="Arial"/>
            <family val="2"/>
          </rPr>
          <t xml:space="preserve">Distância, em linha reta, da caixa até o ouvinte mais próximo que ela cobre. Com a caixa no alto, conte a altura.</t>
        </r>
      </text>
    </comment>
    <comment ref="H22" authorId="0">
      <text>
        <r>
          <rPr>
            <sz val="10"/>
            <rFont val="Arial"/>
            <family val="2"/>
          </rPr>
          <t xml:space="preserve">Nível contínuo máximo estimado de uma caixa, em campo livre: SPL contínuo a 1 m menos a perda pela distância.
Não soma a segunda caixa nem a reverberação da sala.</t>
        </r>
      </text>
    </comment>
    <comment ref="I22" authorId="0">
      <text>
        <r>
          <rPr>
            <sz val="10"/>
            <rFont val="Arial"/>
            <family val="2"/>
          </rPr>
          <t xml:space="preserve">SPL máximo na zona menos o alvo (nível médio desejado mais a folga para os picos). Negativo: falta sistema.</t>
        </r>
      </text>
    </comment>
    <comment ref="J22" authorId="0">
      <text>
        <r>
          <rPr>
            <sz val="10"/>
            <rFont val="Arial"/>
            <family val="2"/>
          </rPr>
          <t xml:space="preserve">Quantos dB esta zona recebe a menos do que o ouvinte mais próximo da mesma caixa.</t>
        </r>
      </text>
    </comment>
  </commentList>
</comments>
</file>

<file path=xl/sharedStrings.xml><?xml version="1.0" encoding="utf-8"?>
<sst xmlns="http://schemas.openxmlformats.org/spreadsheetml/2006/main" count="574" uniqueCount="379">
  <si>
    <t xml:space="preserve">Caixas, amplificação e PA — como usar esta planilha</t>
  </si>
  <si>
    <t xml:space="preserve">Conferência da ligação entre amplificador e caixas e estimativa do nível que o sistema entrega em cada zona da plateia.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</si>
  <si>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</si>
  <si>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</si>
  <si>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</si>
  <si>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</si>
  <si>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</si>
  <si>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</si>
  <si>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</si>
  <si>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</si>
  <si>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A coluna Caixa que cobre aceita só o número de uma caixa da lista.</t>
  </si>
  <si>
    <t xml:space="preserve">Números</t>
  </si>
  <si>
    <t xml:space="preserve">Digite só o número, sem unidade: 8, e não “8 ohms”; 350, e não “350 W”.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</si>
  <si>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</si>
  <si>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</si>
  <si>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</si>
  <si>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</si>
  <si>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Tenha em mãos o manual do amplificador e a etiqueta das caixas (impedância e potência contínua).</t>
  </si>
  <si>
    <t xml:space="preserve">2</t>
  </si>
  <si>
    <t xml:space="preserve">Aba Amplificador e caixas: uma linha por saída, com o número de caixas em paralelo e os dados do amplificador.</t>
  </si>
  <si>
    <t xml:space="preserve">3</t>
  </si>
  <si>
    <t xml:space="preserve">Veja a impedância total e a situação. Saída abaixo do mínimo se corrige antes de ligar o sistema.</t>
  </si>
  <si>
    <t xml:space="preserve">4</t>
  </si>
  <si>
    <t xml:space="preserve">Aba SPL e cobertura: confira os valores de referência e liste as caixas do sistema.</t>
  </si>
  <si>
    <t xml:space="preserve">5</t>
  </si>
  <si>
    <t xml:space="preserve">Meça com trena a distância de cada caixa ao ouvinte mais próximo e a cada zona da plateia, e preencha as zonas.</t>
  </si>
  <si>
    <t xml:space="preserve">6</t>
  </si>
  <si>
    <t xml:space="preserve">Veja a margem, a diferença entre frente e fundo e, para as caixas de delay, o atraso sugerido.</t>
  </si>
  <si>
    <t xml:space="preserve">7</t>
  </si>
  <si>
    <t xml:space="preserve">Aba Checklist: confira os doze itens antes de abrir as portas.</t>
  </si>
  <si>
    <t xml:space="preserve">Abas da planilha</t>
  </si>
  <si>
    <t xml:space="preserve">Amplificador e caixas</t>
  </si>
  <si>
    <t xml:space="preserve">Até 8 saídas: impedância total em paralelo, potência por caixa, situação e limiar de partida do limiter. Calculadora de paralelo.</t>
  </si>
  <si>
    <t xml:space="preserve">SPL e cobertura</t>
  </si>
  <si>
    <t xml:space="preserve">Até 6 caixas e 12 zonas: SPL máximo contínuo estimado por zona, margem sobre o alvo e atraso das caixas de delay.</t>
  </si>
  <si>
    <t xml:space="preserve">Referência</t>
  </si>
  <si>
    <t xml:space="preserve">Potências, impedância em paralelo, decibéis por potência e por distância, cabo de caixa e ordem de ligar.</t>
  </si>
  <si>
    <t xml:space="preserve">Checklist</t>
  </si>
  <si>
    <t xml:space="preserve">Os doze itens do treinamento, com percentual atendido.</t>
  </si>
  <si>
    <t xml:space="preserve">Exemplo - Amplificador</t>
  </si>
  <si>
    <t xml:space="preserve">O amplificador que desligava na formatura: três caixas na mesma saída (exemplo 1 do treinamento).</t>
  </si>
  <si>
    <t xml:space="preserve">Exemplo - Cobertura</t>
  </si>
  <si>
    <t xml:space="preserve">O evento ao ar livre em que o fundo não ouvia, com as caixas de delay (exemplo 2 do treinamento).</t>
  </si>
  <si>
    <t xml:space="preserve">Regras e premissas do modelo</t>
  </si>
  <si>
    <t xml:space="preserve">Impedância em paralelo</t>
  </si>
  <si>
    <t xml:space="preserve">Caixas iguais: impedância de uma dividida pelo número de caixas. Caixas diferentes: use a calculadora no fim da aba.</t>
  </si>
  <si>
    <t xml:space="preserve">Potência por caixa</t>
  </si>
  <si>
    <t xml:space="preserve">Estimada pela tensão do amplificador: potência declarada × impedância declarada ÷ impedância da caixa. É exata quando a carga é igual à declarada.</t>
  </si>
  <si>
    <t xml:space="preserve">Razão amplificador ÷ caixa</t>
  </si>
  <si>
    <t xml:space="preserve">OK entre 1 e 2 vezes a potência contínua da caixa. É regra prática comum, e não norma: os limites podem ser trocados no alto da aba.</t>
  </si>
  <si>
    <t xml:space="preserve">Limiar do limiter</t>
  </si>
  <si>
    <t xml:space="preserve">Tensão que dá à caixa a potência contínua dela, em dBu, menos o ganho do amplificador. É ponto de partida: siga o manual da caixa e do processador.</t>
  </si>
  <si>
    <t xml:space="preserve">SPL a 1 metro</t>
  </si>
  <si>
    <t xml:space="preserve">Sensibilidade mais 10 × log da potência. Em caixa ativa, o SPL máximo do folheto menos o desconto indicado.</t>
  </si>
  <si>
    <t xml:space="preserve">SPL na zona</t>
  </si>
  <si>
    <t xml:space="preserve">Campo livre: cai 6 dB cada vez que a distância dobra. Não considera a soma de caixas, a reverberação nem a posição fora do eixo.</t>
  </si>
  <si>
    <t xml:space="preserve">Atraso do delay</t>
  </si>
  <si>
    <t xml:space="preserve">Distância entre o PA principal e a caixa de delay, dividida pela velocidade do som, mais o atraso extra.</t>
  </si>
  <si>
    <t xml:space="preserve">Exemplos</t>
  </si>
  <si>
    <t xml:space="preserve">Os dados das abas de exemplo são ilustrativos, criados para este material.</t>
  </si>
  <si>
    <t xml:space="preserve">Amplificador e caixas — impedância e potência por saída</t>
  </si>
  <si>
    <t xml:space="preserve">Uma linha por saída do amplificador. Preencha as células em amarelo-claro com os dados do manual e da etiqueta das caixas.</t>
  </si>
  <si>
    <t xml:space="preserve">Evento ou sistema</t>
  </si>
  <si>
    <t xml:space="preserve">Razão mínima amplificador ÷ caixa</t>
  </si>
  <si>
    <t xml:space="preserve">Abaixo dela o amplificador é fraco para a caixa e chega ao clip cedo. Ponto de partida: 1.</t>
  </si>
  <si>
    <t xml:space="preserve">Local</t>
  </si>
  <si>
    <t xml:space="preserve">Razão máxima amplificador ÷ caixa</t>
  </si>
  <si>
    <t xml:space="preserve">Acima dela a caixa recebe mais do que a potência de programa. Ponto de partida: 2.</t>
  </si>
  <si>
    <t xml:space="preserve">Data</t>
  </si>
  <si>
    <t xml:space="preserve">A potência por caixa é uma estimativa: considera que o amplificador mantém a mesma tensão de saída.</t>
  </si>
  <si>
    <t xml:space="preserve">Responsável</t>
  </si>
  <si>
    <t xml:space="preserve">Use a potência que o manual declara na impedância igual, ou mais próxima, à impedância total da saída.</t>
  </si>
  <si>
    <t xml:space="preserve">Saídas do amplificador</t>
  </si>
  <si>
    <t xml:space="preserve">#</t>
  </si>
  <si>
    <t xml:space="preserve">Saída</t>
  </si>
  <si>
    <t xml:space="preserve">O que alimenta</t>
  </si>
  <si>
    <t xml:space="preserve">Caixas</t>
  </si>
  <si>
    <t xml:space="preserve">Impedância de cada caixa</t>
  </si>
  <si>
    <t xml:space="preserve">Potência contínua de cada caixa</t>
  </si>
  <si>
    <t xml:space="preserve">Impedância mínima do amplif.</t>
  </si>
  <si>
    <t xml:space="preserve">Potência do amplif. por canal</t>
  </si>
  <si>
    <t xml:space="preserve">declarada em</t>
  </si>
  <si>
    <t xml:space="preserve">Ganho do amplif.</t>
  </si>
  <si>
    <t xml:space="preserve">Impedância total</t>
  </si>
  <si>
    <t xml:space="preserve">Razão amplif. ÷ caixa</t>
  </si>
  <si>
    <t xml:space="preserve">Situação</t>
  </si>
  <si>
    <t xml:space="preserve">O que fazer</t>
  </si>
  <si>
    <t xml:space="preserve">Observação</t>
  </si>
  <si>
    <t xml:space="preserve">canal do amplificador</t>
  </si>
  <si>
    <t xml:space="preserve">caixas ligadas em paralelo nesta saída</t>
  </si>
  <si>
    <t xml:space="preserve">quantas</t>
  </si>
  <si>
    <t xml:space="preserve">Ω</t>
  </si>
  <si>
    <t xml:space="preserve">W (RMS)</t>
  </si>
  <si>
    <t xml:space="preserve">Ω, do manual</t>
  </si>
  <si>
    <t xml:space="preserve">W, do manual</t>
  </si>
  <si>
    <t xml:space="preserve">dB, opcional</t>
  </si>
  <si>
    <t xml:space="preserve">W, estimada</t>
  </si>
  <si>
    <t xml:space="preserve">vezes</t>
  </si>
  <si>
    <t xml:space="preserve">dBu, opcional</t>
  </si>
  <si>
    <t xml:space="preserve">Ex.</t>
  </si>
  <si>
    <t xml:space="preserve">Canal A</t>
  </si>
  <si>
    <t xml:space="preserve">2 caixas principais</t>
  </si>
  <si>
    <t xml:space="preserve">OK</t>
  </si>
  <si>
    <t xml:space="preserve">Manter</t>
  </si>
  <si>
    <t xml:space="preserve">Resumo automático</t>
  </si>
  <si>
    <t xml:space="preserve">Saídas registradas</t>
  </si>
  <si>
    <t xml:space="preserve">Saídas na faixa (OK)</t>
  </si>
  <si>
    <t xml:space="preserve">Saídas abaixo da impedância mínima</t>
  </si>
  <si>
    <t xml:space="preserve">Saídas com aviso de potência</t>
  </si>
  <si>
    <t xml:space="preserve">Saídas com dados incompletos</t>
  </si>
  <si>
    <t xml:space="preserve">Aviso</t>
  </si>
  <si>
    <t xml:space="preserve">Calculadora: caixas de impedâncias diferentes em paralelo</t>
  </si>
  <si>
    <t xml:space="preserve">Conjunto</t>
  </si>
  <si>
    <t xml:space="preserve">Caixa 1 (Ω)</t>
  </si>
  <si>
    <t xml:space="preserve">Caixa 2 (Ω)</t>
  </si>
  <si>
    <t xml:space="preserve">Caixa 3 (Ω)</t>
  </si>
  <si>
    <t xml:space="preserve">Caixa 4 (Ω)</t>
  </si>
  <si>
    <t xml:space="preserve">Total (Ω)</t>
  </si>
  <si>
    <t xml:space="preserve">Parte da caixa 1</t>
  </si>
  <si>
    <t xml:space="preserve">Parte da caixa 2</t>
  </si>
  <si>
    <t xml:space="preserve">Parte da caixa 3</t>
  </si>
  <si>
    <t xml:space="preserve">Parte da caixa 4</t>
  </si>
  <si>
    <t xml:space="preserve">Como ler</t>
  </si>
  <si>
    <t xml:space="preserve">A parte é a fração da potência da saída que cada caixa recebe.</t>
  </si>
  <si>
    <t xml:space="preserve">Em paralelo, a caixa de menor impedância recebe a maior parte.</t>
  </si>
  <si>
    <t xml:space="preserve">Compare o total com a impedância mínima do amplificador.</t>
  </si>
  <si>
    <t xml:space="preserve">SPL e cobertura — nível máximo estimado por zona da sala</t>
  </si>
  <si>
    <t xml:space="preserve">Liste as caixas, depois as zonas da plateia com a distância até a caixa que cobre cada uma. As células cinza são calculadas.</t>
  </si>
  <si>
    <t xml:space="preserve">Evento</t>
  </si>
  <si>
    <t xml:space="preserve">Nível médio desejado (dB SPL)</t>
  </si>
  <si>
    <t xml:space="preserve">Nível médio que você quer na plateia. Combine com a liderança e meça com um medidor.</t>
  </si>
  <si>
    <t xml:space="preserve">Folga para os picos (dB)</t>
  </si>
  <si>
    <t xml:space="preserve">Espaço acima da média. Ponto de partida: 10 dB. Fala aceita menos; banda com bateria pede mais.</t>
  </si>
  <si>
    <t xml:space="preserve">Desconto do SPL do folheto (dB)</t>
  </si>
  <si>
    <t xml:space="preserve">O SPL máximo do folheto costuma ser de pico. Ponto de partida deste material: 6 dB.</t>
  </si>
  <si>
    <t xml:space="preserve">Diferença aceitável na zona (dB)</t>
  </si>
  <si>
    <t xml:space="preserve">Entre o ouvinte mais próximo da caixa e a zona. Regra prática deste material: 10 dB.</t>
  </si>
  <si>
    <t xml:space="preserve">Velocidade do som (m/s)</t>
  </si>
  <si>
    <t xml:space="preserve">Cerca de 343 m/s a 20 °C. Sobe perto de 0,6 m/s a cada grau.</t>
  </si>
  <si>
    <t xml:space="preserve">A conta vale para campo livre (ao ar livre). Em sala, o nível real ao fundo é maior, mas a clareza não.</t>
  </si>
  <si>
    <t xml:space="preserve">Atraso extra do delay (ms)</t>
  </si>
  <si>
    <t xml:space="preserve">Somado ao atraso da distância, para o som parecer vir do palco. De 5 a 15 ms.</t>
  </si>
  <si>
    <t xml:space="preserve">Caixas do sistema</t>
  </si>
  <si>
    <t xml:space="preserve">Caixa</t>
  </si>
  <si>
    <t xml:space="preserve">Sensibilidade</t>
  </si>
  <si>
    <t xml:space="preserve">Potência aplicada</t>
  </si>
  <si>
    <t xml:space="preserve">SPL máximo do folheto</t>
  </si>
  <si>
    <t xml:space="preserve">Ouvinte mais próximo</t>
  </si>
  <si>
    <t xml:space="preserve">SPL contínuo a 1 m</t>
  </si>
  <si>
    <t xml:space="preserve">SPL no ouvinte mais próximo</t>
  </si>
  <si>
    <t xml:space="preserve">Origem do valor</t>
  </si>
  <si>
    <t xml:space="preserve">nome, tipo e onde fica</t>
  </si>
  <si>
    <t xml:space="preserve">dB (1 W, 1 m)</t>
  </si>
  <si>
    <t xml:space="preserve">W, contínua</t>
  </si>
  <si>
    <t xml:space="preserve">dB a 1 m</t>
  </si>
  <si>
    <t xml:space="preserve">m, em linha reta</t>
  </si>
  <si>
    <t xml:space="preserve">dB, estimado</t>
  </si>
  <si>
    <t xml:space="preserve">Preencha a sensibilidade e a potência, ou só o SPL máximo do folheto.</t>
  </si>
  <si>
    <t xml:space="preserve">Zonas da plateia</t>
  </si>
  <si>
    <t xml:space="preserve">Zona</t>
  </si>
  <si>
    <t xml:space="preserve">Caixa que cobre</t>
  </si>
  <si>
    <t xml:space="preserve">Distância até a caixa</t>
  </si>
  <si>
    <t xml:space="preserve">Distância do PA principal a esta caixa</t>
  </si>
  <si>
    <t xml:space="preserve">Perda pela distância</t>
  </si>
  <si>
    <t xml:space="preserve">SPL máximo na zona</t>
  </si>
  <si>
    <t xml:space="preserve">Margem sobre o alvo</t>
  </si>
  <si>
    <t xml:space="preserve">Diferença para o mais próximo</t>
  </si>
  <si>
    <t xml:space="preserve">Atraso sugerido</t>
  </si>
  <si>
    <t xml:space="preserve">parte da plateia</t>
  </si>
  <si>
    <t xml:space="preserve">nº da lista acima</t>
  </si>
  <si>
    <t xml:space="preserve">m, só para delay e fill</t>
  </si>
  <si>
    <t xml:space="preserve">dB</t>
  </si>
  <si>
    <t xml:space="preserve">dB, contínuo</t>
  </si>
  <si>
    <t xml:space="preserve">ms</t>
  </si>
  <si>
    <t xml:space="preserve">Meio da plateia</t>
  </si>
  <si>
    <t xml:space="preserve">Zonas registradas</t>
  </si>
  <si>
    <t xml:space="preserve">Zonas atendidas (OK)</t>
  </si>
  <si>
    <t xml:space="preserve">Zonas com falta de nível</t>
  </si>
  <si>
    <t xml:space="preserve">Zonas com nível desigual</t>
  </si>
  <si>
    <t xml:space="preserve">Menor SPL máximo entre as zonas (dB)</t>
  </si>
  <si>
    <t xml:space="preserve">Alvo: nível médio mais a folga (dB)</t>
  </si>
  <si>
    <t xml:space="preserve">Estimativa em campo livre, para uma caixa por zona. Não substitui a medição com medidor de nível sonoro nem o ouvido em cada zona.</t>
  </si>
  <si>
    <t xml:space="preserve">Referência — valores típicos</t>
  </si>
  <si>
    <t xml:space="preserve">Valores de referência, para servir de ponto de partida. Confira o manual do seu equipamento.</t>
  </si>
  <si>
    <t xml:space="preserve">Potência: o que cada número quer dizer</t>
  </si>
  <si>
    <t xml:space="preserve">Número</t>
  </si>
  <si>
    <t xml:space="preserve">Relação com a contínua</t>
  </si>
  <si>
    <t xml:space="preserve">Exemplo</t>
  </si>
  <si>
    <t xml:space="preserve">Para que serve</t>
  </si>
  <si>
    <t xml:space="preserve">Contínua (RMS, AES)</t>
  </si>
  <si>
    <t xml:space="preserve">é a base</t>
  </si>
  <si>
    <t xml:space="preserve">350 W</t>
  </si>
  <si>
    <t xml:space="preserve">O que a caixa suporta por horas, com sinal de teste. É o número para comparar com o amplificador.</t>
  </si>
  <si>
    <t xml:space="preserve">Programa (música)</t>
  </si>
  <si>
    <t xml:space="preserve">2 vezes a contínua</t>
  </si>
  <si>
    <t xml:space="preserve">700 W</t>
  </si>
  <si>
    <t xml:space="preserve">Convenção para sinal musical, que tem média bem abaixo dos picos. Teto para a potência do amplificador.</t>
  </si>
  <si>
    <t xml:space="preserve">Pico</t>
  </si>
  <si>
    <t xml:space="preserve">4 vezes a contínua</t>
  </si>
  <si>
    <t xml:space="preserve">1.400 W</t>
  </si>
  <si>
    <t xml:space="preserve">O que a caixa aguenta por um instante. Não serve para escolher amplificador.</t>
  </si>
  <si>
    <t xml:space="preserve">PMPO</t>
  </si>
  <si>
    <t xml:space="preserve">sem relação definida</t>
  </si>
  <si>
    <t xml:space="preserve">–</t>
  </si>
  <si>
    <t xml:space="preserve">Número de propaganda, sem método de medida comum. Ignore.</t>
  </si>
  <si>
    <t xml:space="preserve">Caixas em paralelo na mesma saída</t>
  </si>
  <si>
    <t xml:space="preserve">Ligação</t>
  </si>
  <si>
    <t xml:space="preserve">Amplificador com mínimo de 4 Ω</t>
  </si>
  <si>
    <t xml:space="preserve">1 caixa de 8 Ω</t>
  </si>
  <si>
    <t xml:space="preserve">8 Ω</t>
  </si>
  <si>
    <t xml:space="preserve">aceita</t>
  </si>
  <si>
    <t xml:space="preserve">Carga leve. O amplificador entrega menos potência do que em 4 Ω.</t>
  </si>
  <si>
    <t xml:space="preserve">2 caixas de 8 Ω</t>
  </si>
  <si>
    <t xml:space="preserve">4 Ω</t>
  </si>
  <si>
    <t xml:space="preserve">aceita, no limite</t>
  </si>
  <si>
    <t xml:space="preserve">A ligação mais comum. Cada caixa recebe metade da potência do canal.</t>
  </si>
  <si>
    <t xml:space="preserve">3 caixas de 8 Ω</t>
  </si>
  <si>
    <t xml:space="preserve">2,67 Ω</t>
  </si>
  <si>
    <t xml:space="preserve">não aceita</t>
  </si>
  <si>
    <t xml:space="preserve">Abaixo do mínimo: aquece, entra em proteção ou queima.</t>
  </si>
  <si>
    <t xml:space="preserve">4 caixas de 8 Ω</t>
  </si>
  <si>
    <t xml:space="preserve">2 Ω</t>
  </si>
  <si>
    <t xml:space="preserve">Só para amplificador que declara potência em 2 Ω.</t>
  </si>
  <si>
    <t xml:space="preserve">1 caixa de 4 Ω</t>
  </si>
  <si>
    <t xml:space="preserve">Não ligue outra caixa na mesma saída.</t>
  </si>
  <si>
    <t xml:space="preserve">2 caixas de 4 Ω</t>
  </si>
  <si>
    <t xml:space="preserve">1 de 8 Ω com 1 de 4 Ω</t>
  </si>
  <si>
    <t xml:space="preserve">A caixa de 4 Ω recebe o dobro da potência da de 8 Ω.</t>
  </si>
  <si>
    <t xml:space="preserve">Modo ponte (bridge)</t>
  </si>
  <si>
    <t xml:space="preserve">mínimo de 8 Ω</t>
  </si>
  <si>
    <t xml:space="preserve">Em ponte, a impedância mínima dobra. Confira o manual.</t>
  </si>
  <si>
    <t xml:space="preserve">Decibéis por potência e por distância</t>
  </si>
  <si>
    <t xml:space="preserve">Mudança</t>
  </si>
  <si>
    <t xml:space="preserve">Efeito no nível</t>
  </si>
  <si>
    <t xml:space="preserve">O que lembrar</t>
  </si>
  <si>
    <t xml:space="preserve">Dobrar a potência</t>
  </si>
  <si>
    <t xml:space="preserve">+3 dB</t>
  </si>
  <si>
    <t xml:space="preserve">400 W → 800 W</t>
  </si>
  <si>
    <t xml:space="preserve">Diferença pequena no ouvido. Custa o dobro de amplificador.</t>
  </si>
  <si>
    <t xml:space="preserve">Dez vezes a potência</t>
  </si>
  <si>
    <t xml:space="preserve">+10 dB</t>
  </si>
  <si>
    <t xml:space="preserve">100 W → 1.000 W</t>
  </si>
  <si>
    <t xml:space="preserve">É o que o ouvido percebe como o dobro do volume.</t>
  </si>
  <si>
    <t xml:space="preserve">Dobrar a distância</t>
  </si>
  <si>
    <t xml:space="preserve">−6 dB em campo livre</t>
  </si>
  <si>
    <t xml:space="preserve">4 m → 8 m</t>
  </si>
  <si>
    <t xml:space="preserve">Em sala, a queda é menor ao fundo, por causa da reverberação.</t>
  </si>
  <si>
    <t xml:space="preserve">Dez vezes a distância</t>
  </si>
  <si>
    <t xml:space="preserve">−20 dB em campo livre</t>
  </si>
  <si>
    <t xml:space="preserve">2 m → 20 m</t>
  </si>
  <si>
    <t xml:space="preserve">Aproximar a caixa do ouvinte rende mais do que trocar de amplificador.</t>
  </si>
  <si>
    <t xml:space="preserve">Sensibilidade 3 dB maior</t>
  </si>
  <si>
    <t xml:space="preserve">+3 dB com a mesma potência</t>
  </si>
  <si>
    <t xml:space="preserve">95 dB → 98 dB</t>
  </si>
  <si>
    <t xml:space="preserve">Vale tanto quanto dobrar a potência do amplificador.</t>
  </si>
  <si>
    <t xml:space="preserve">Dobrar o número de caixas</t>
  </si>
  <si>
    <t xml:space="preserve">+3 a +6 dB</t>
  </si>
  <si>
    <t xml:space="preserve">1 sub → 2 subs juntos</t>
  </si>
  <si>
    <t xml:space="preserve">Perto de +6 dB nos graves, com as caixas juntas. Nos agudos, a soma é irregular.</t>
  </si>
  <si>
    <t xml:space="preserve">Cabo de caixa: seção do condutor (cobre)</t>
  </si>
  <si>
    <t xml:space="preserve">Comprimento do cabo</t>
  </si>
  <si>
    <t xml:space="preserve">Carga de 8 Ω</t>
  </si>
  <si>
    <t xml:space="preserve">Carga de 4 Ω</t>
  </si>
  <si>
    <t xml:space="preserve">Até 10 m</t>
  </si>
  <si>
    <t xml:space="preserve">1,5 mm²</t>
  </si>
  <si>
    <t xml:space="preserve">2,5 mm²</t>
  </si>
  <si>
    <t xml:space="preserve">Use cabo de caixa de dois condutores. Cabo de instrumento ou de microfone não serve.</t>
  </si>
  <si>
    <t xml:space="preserve">De 10 a 25 m</t>
  </si>
  <si>
    <t xml:space="preserve">4 mm²</t>
  </si>
  <si>
    <t xml:space="preserve">Cabo fino e longo perde potência e controle dos graves.</t>
  </si>
  <si>
    <t xml:space="preserve">Acima de 25 m</t>
  </si>
  <si>
    <t xml:space="preserve">leve o amplificador para perto</t>
  </si>
  <si>
    <t xml:space="preserve">Para trechos longos, prefira caixa ativa ou amplificador perto da caixa, com cabo de sinal longo.</t>
  </si>
  <si>
    <t xml:space="preserve">Ordem de ligar e de desligar</t>
  </si>
  <si>
    <t xml:space="preserve">Etapa</t>
  </si>
  <si>
    <t xml:space="preserve">Ao ligar</t>
  </si>
  <si>
    <t xml:space="preserve">Ao desligar</t>
  </si>
  <si>
    <t xml:space="preserve">Por quê</t>
  </si>
  <si>
    <t xml:space="preserve">Fontes e periféricos</t>
  </si>
  <si>
    <t xml:space="preserve">1º</t>
  </si>
  <si>
    <t xml:space="preserve">4º</t>
  </si>
  <si>
    <t xml:space="preserve">Computador, receptores sem fio, tocadores.</t>
  </si>
  <si>
    <t xml:space="preserve">Mesa de som</t>
  </si>
  <si>
    <t xml:space="preserve">2º</t>
  </si>
  <si>
    <t xml:space="preserve">3º</t>
  </si>
  <si>
    <t xml:space="preserve">Com o master fechado. Espere a mesa terminar de iniciar.</t>
  </si>
  <si>
    <t xml:space="preserve">Processador</t>
  </si>
  <si>
    <t xml:space="preserve">Fica entre a mesa e os amplificadores.</t>
  </si>
  <si>
    <t xml:space="preserve">Amplificadores e caixas ativas</t>
  </si>
  <si>
    <t xml:space="preserve">por último</t>
  </si>
  <si>
    <t xml:space="preserve">primeiro</t>
  </si>
  <si>
    <t xml:space="preserve">O estalo de qualquer aparelho ligado antes deles não chega aos alto-falantes.</t>
  </si>
  <si>
    <t xml:space="preserve">Posição e cobertura</t>
  </si>
  <si>
    <t xml:space="preserve">Item</t>
  </si>
  <si>
    <t xml:space="preserve">Ponto de partida</t>
  </si>
  <si>
    <t xml:space="preserve">Faixa típica</t>
  </si>
  <si>
    <t xml:space="preserve">O que conferir</t>
  </si>
  <si>
    <t xml:space="preserve">Ângulo de cobertura</t>
  </si>
  <si>
    <t xml:space="preserve">90° × 50°</t>
  </si>
  <si>
    <t xml:space="preserve">60° a 110° na horizontal</t>
  </si>
  <si>
    <t xml:space="preserve">Horizontal × vertical, do manual. Caixa deitada troca os dois ângulos.</t>
  </si>
  <si>
    <t xml:space="preserve">Altura da corneta</t>
  </si>
  <si>
    <t xml:space="preserve">acima das cabeças</t>
  </si>
  <si>
    <t xml:space="preserve">2 m ou mais</t>
  </si>
  <si>
    <t xml:space="preserve">Acima de quem está em pé na frente da caixa.</t>
  </si>
  <si>
    <t xml:space="preserve">Direção do eixo</t>
  </si>
  <si>
    <t xml:space="preserve">para as últimas filas</t>
  </si>
  <si>
    <t xml:space="preserve">Não aponte para a parede do fundo, para o teto nem para as paredes laterais.</t>
  </si>
  <si>
    <t xml:space="preserve">Linha das caixas</t>
  </si>
  <si>
    <t xml:space="preserve">à frente dos microfones</t>
  </si>
  <si>
    <t xml:space="preserve">Microfone dentro da cobertura da caixa reduz a margem antes da microfonia.</t>
  </si>
  <si>
    <t xml:space="preserve">Corte entre sub e caixa</t>
  </si>
  <si>
    <t xml:space="preserve">100 Hz</t>
  </si>
  <si>
    <t xml:space="preserve">80 a 120 Hz</t>
  </si>
  <si>
    <t xml:space="preserve">Ligue o filtro passa-altas da caixa quando houver subwoofer.</t>
  </si>
  <si>
    <t xml:space="preserve">Atraso da caixa de delay</t>
  </si>
  <si>
    <t xml:space="preserve">2,9 ms por metro, mais 10 ms</t>
  </si>
  <si>
    <t xml:space="preserve">extra de 5 a 15 ms</t>
  </si>
  <si>
    <t xml:space="preserve">Distância entre o PA principal e a caixa de delay.</t>
  </si>
  <si>
    <t xml:space="preserve">Faixas típicas, que variam com o modelo e com a sala. As seções de cabo e a razão amplificador ÷ caixa são regra prática, e não norma.</t>
  </si>
  <si>
    <t xml:space="preserve">Checklist do PA</t>
  </si>
  <si>
    <t xml:space="preserve">Confira depois de montar o sistema e antes de abrir as portas. Escolha a situação de cada item na lista suspensa.</t>
  </si>
  <si>
    <t xml:space="preserve">Grupo</t>
  </si>
  <si>
    <t xml:space="preserve">A impedância total de cada saída do amplificador foi calculada e não fica abaixo do mínimo do manual.</t>
  </si>
  <si>
    <t xml:space="preserve">A potência do amplificador, na impedância da carga, fica entre uma e duas vezes a potência contínua de cada caixa.</t>
  </si>
  <si>
    <t xml:space="preserve">As caixas passivas estão ligadas com cabo de caixa, de bitola adequada ao comprimento, e não com cabo de instrumento.</t>
  </si>
  <si>
    <t xml:space="preserve">Nas caixas ativas, a chave de entrada está em linha, e o filtro para uso com subwoofer está ligado quando há sub.</t>
  </si>
  <si>
    <t xml:space="preserve">Posição</t>
  </si>
  <si>
    <t xml:space="preserve">As caixas principais estão à frente da linha dos microfones e apontam para a plateia, e não para as paredes.</t>
  </si>
  <si>
    <t xml:space="preserve">A corneta fica acima da cabeça de quem está em pé, e o eixo da caixa aponta para as últimas filas.</t>
  </si>
  <si>
    <t xml:space="preserve">A primeira fila e o fundo foram ouvidos: se a diferença é grande, há front fill, caixa de delay ou nova posição.</t>
  </si>
  <si>
    <t xml:space="preserve">As caixas de delay têm o atraso calculado pela distância e o nível só o bastante para devolver a clareza.</t>
  </si>
  <si>
    <t xml:space="preserve">Nível</t>
  </si>
  <si>
    <t xml:space="preserve">O sistema foi ligado na ordem: fontes, mesa, processador e, por último, amplificadores e caixas ativas.</t>
  </si>
  <si>
    <t xml:space="preserve">No trecho mais forte, a luz de clip do amplificador não acende, e a luz de limite só pisca de vez em quando.</t>
  </si>
  <si>
    <t xml:space="preserve">Segurança</t>
  </si>
  <si>
    <t xml:space="preserve">Os tripés estão com a base toda aberta, em piso firme e plano, com o pino de segurança travado e os cabos presos.</t>
  </si>
  <si>
    <t xml:space="preserve">Nenhuma caixa está pendurada sem ferragem própria, e as tomadas têm aterramento e carga compatível.</t>
  </si>
  <si>
    <t xml:space="preserve">Itens respondidos</t>
  </si>
  <si>
    <t xml:space="preserve">Percentual atendido (Parcial vale metade)</t>
  </si>
  <si>
    <t xml:space="preserve">Exemplo preenchido, para consulta. Use a aba Amplificador e caixas para o seu sistema.</t>
  </si>
  <si>
    <t xml:space="preserve">Formatura no auditório da escola</t>
  </si>
  <si>
    <t xml:space="preserve">Auditório de 150 lugares</t>
  </si>
  <si>
    <t xml:space="preserve">Operador de som do evento</t>
  </si>
  <si>
    <t xml:space="preserve">A primeira linha mostra a ligação que derrubava o amplificador. As duas seguintes mostram a ligação corrigida. As colunas de L a Q são calculadas.</t>
  </si>
  <si>
    <t xml:space="preserve">Canal A (antes)</t>
  </si>
  <si>
    <t xml:space="preserve">2 caixas principais + 1 retorno, em paralelo</t>
  </si>
  <si>
    <t xml:space="preserve">Canal A (depois)</t>
  </si>
  <si>
    <t xml:space="preserve">2 caixas principais, em paralelo</t>
  </si>
  <si>
    <t xml:space="preserve">Canal B (depois)</t>
  </si>
  <si>
    <t xml:space="preserve">1 retorno de chão</t>
  </si>
  <si>
    <t xml:space="preserve">Duas caixas de 8 Ω</t>
  </si>
  <si>
    <t xml:space="preserve">Três caixas de 8 Ω (o erro do exemplo)</t>
  </si>
  <si>
    <t xml:space="preserve">Uma de 8 Ω com uma de 4 Ω</t>
  </si>
  <si>
    <t xml:space="preserve">O que aconteceu no exemplo</t>
  </si>
  <si>
    <t xml:space="preserve">Antes</t>
  </si>
  <si>
    <t xml:space="preserve">As duas caixas principais e o retorno estavam ligados em cadeia na saída A: três caixas de 8 Ω em paralelo, 2,67 Ω. O amplificador pede 4 Ω ou mais por canal.</t>
  </si>
  <si>
    <t xml:space="preserve">Sintoma</t>
  </si>
  <si>
    <t xml:space="preserve">Depois de uns 20 minutos de uso, a luz de proteção acendia e o som caía. Voltava sozinho quando o amplificador esfriava.</t>
  </si>
  <si>
    <t xml:space="preserve">Depois</t>
  </si>
  <si>
    <t xml:space="preserve">Saída A: só as duas caixas principais (4 Ω). Saída B: o retorno, sozinho (8 Ω), alimentado por um auxiliar da mesa.</t>
  </si>
  <si>
    <t xml:space="preserve">Resultado</t>
  </si>
  <si>
    <t xml:space="preserve">O amplificador trabalhou a formatura inteira sem entrar em proteção, e o retorno ganhou controle de volume separado.</t>
  </si>
  <si>
    <t xml:space="preserve">Exemplo preenchido, para consulta. Use a aba SPL e cobertura para o seu evento.</t>
  </si>
  <si>
    <t xml:space="preserve">Culto ao ar livre na praça</t>
  </si>
  <si>
    <t xml:space="preserve">Área de 20 m por 26 m, cerca de 300 pessoas</t>
  </si>
  <si>
    <t xml:space="preserve">Equipe de som da igreja</t>
  </si>
  <si>
    <t xml:space="preserve">Caixa ativa de 15 pol. em tripé (PA principal)</t>
  </si>
  <si>
    <t xml:space="preserve">Caixa ativa de 15 pol. em tripé (delay)</t>
  </si>
  <si>
    <t xml:space="preserve">A terceira linha mostra o fundo antes da correção, só com o PA principal. As duas últimas mostram as caixas de delay.</t>
  </si>
  <si>
    <t xml:space="preserve">Frente (primeira fila)</t>
  </si>
  <si>
    <t xml:space="preserve">Meio</t>
  </si>
  <si>
    <t xml:space="preserve">Fundo, só com o PA principal</t>
  </si>
  <si>
    <t xml:space="preserve">Logo depois das caixas de delay</t>
  </si>
  <si>
    <t xml:space="preserve">Fundo, com as caixas de delay</t>
  </si>
  <si>
    <t xml:space="preserve">Duas caixas ativas em tripé para uma área de 26 m de fundo. A 25 m, o nível máximo contínuo estimado é de 95 dB: faltam 5 dB para o alvo de 100 dB (90 de média mais 10 de folga).</t>
  </si>
  <si>
    <t xml:space="preserve">O fundo não entendia a pregação. O operador subiu o master, a luz de limite das caixas ficou acesa e a primeira fila reclamou do volume.</t>
  </si>
  <si>
    <t xml:space="preserve">Mais duas caixas iguais a 14 m do palco, apontadas para o fundo, com atraso de 51 ms (41 ms da distância mais 10 ms). O PA principal voltou ao nível da passagem.</t>
  </si>
  <si>
    <t xml:space="preserve">O fundo passou a receber cerca de 102 dB de máximo contínuo, com folga. A luz de limite do PA principal apagou.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</si>
</sst>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0"/>
    <numFmt numFmtId="167" formatCode="0.0"/>
    <numFmt numFmtId="168" formatCode="General"/>
    <numFmt numFmtId="169" formatCode="\+0.0;\-0.0;0.0"/>
    <numFmt numFmtId="170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993366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31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R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10" min="6" style="0" width="12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19"/>
    <col collapsed="false" customWidth="true" hidden="false" outlineLevel="0" max="16" min="16" style="0" width="52"/>
    <col collapsed="false" customWidth="true" hidden="false" outlineLevel="0" max="17" min="17" style="0" width="12"/>
    <col collapsed="false" customWidth="true" hidden="false" outlineLevel="0" max="18" min="18" style="0" width="28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62</v>
      </c>
      <c r="C4" s="4"/>
      <c r="D4" s="5"/>
      <c r="E4" s="5"/>
      <c r="F4" s="5"/>
      <c r="G4" s="5"/>
      <c r="I4" s="4" t="s">
        <v>63</v>
      </c>
      <c r="J4" s="4"/>
      <c r="K4" s="4"/>
      <c r="L4" s="4"/>
      <c r="M4" s="9" t="n">
        <v>1</v>
      </c>
      <c r="N4" s="10" t="s">
        <v>64</v>
      </c>
      <c r="O4" s="10"/>
      <c r="P4" s="10"/>
      <c r="Q4" s="10"/>
      <c r="R4" s="10"/>
    </row>
    <row r="5" customFormat="false" ht="21.75" hidden="false" customHeight="true" outlineLevel="0" collapsed="false">
      <c r="B5" s="4" t="s">
        <v>65</v>
      </c>
      <c r="C5" s="4"/>
      <c r="D5" s="5"/>
      <c r="E5" s="5"/>
      <c r="F5" s="5"/>
      <c r="G5" s="5"/>
      <c r="I5" s="4" t="s">
        <v>66</v>
      </c>
      <c r="J5" s="4"/>
      <c r="K5" s="4"/>
      <c r="L5" s="4"/>
      <c r="M5" s="9" t="n">
        <v>2</v>
      </c>
      <c r="N5" s="10" t="s">
        <v>67</v>
      </c>
      <c r="O5" s="10"/>
      <c r="P5" s="10"/>
      <c r="Q5" s="10"/>
      <c r="R5" s="10"/>
    </row>
    <row r="6" customFormat="false" ht="21.75" hidden="false" customHeight="true" outlineLevel="0" collapsed="false">
      <c r="B6" s="4" t="s">
        <v>68</v>
      </c>
      <c r="C6" s="4"/>
      <c r="D6" s="11"/>
      <c r="E6" s="11"/>
      <c r="F6" s="11"/>
      <c r="G6" s="11"/>
      <c r="I6" s="10" t="s">
        <v>69</v>
      </c>
      <c r="J6" s="10"/>
      <c r="K6" s="10"/>
      <c r="L6" s="10"/>
      <c r="M6" s="10"/>
      <c r="N6" s="10"/>
      <c r="O6" s="10"/>
      <c r="P6" s="10"/>
      <c r="Q6" s="10"/>
      <c r="R6" s="10"/>
    </row>
    <row r="7" customFormat="false" ht="21.75" hidden="false" customHeight="true" outlineLevel="0" collapsed="false">
      <c r="B7" s="4" t="s">
        <v>70</v>
      </c>
      <c r="C7" s="4"/>
      <c r="D7" s="5"/>
      <c r="E7" s="5"/>
      <c r="F7" s="5"/>
      <c r="G7" s="5"/>
      <c r="I7" s="10" t="s">
        <v>71</v>
      </c>
      <c r="J7" s="10"/>
      <c r="K7" s="10"/>
      <c r="L7" s="10"/>
      <c r="M7" s="10"/>
      <c r="N7" s="10"/>
      <c r="O7" s="10"/>
      <c r="P7" s="10"/>
      <c r="Q7" s="10"/>
      <c r="R7" s="10"/>
    </row>
    <row r="9" customFormat="false" ht="21.75" hidden="false" customHeight="true" outlineLevel="0" collapsed="false">
      <c r="B9" s="12" t="s">
        <v>72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customFormat="false" ht="43.5" hidden="false" customHeight="true" outlineLevel="0" collapsed="false">
      <c r="B10" s="13" t="s">
        <v>73</v>
      </c>
      <c r="C10" s="13" t="s">
        <v>74</v>
      </c>
      <c r="D10" s="13" t="s">
        <v>75</v>
      </c>
      <c r="E10" s="14" t="s">
        <v>76</v>
      </c>
      <c r="F10" s="14" t="s">
        <v>77</v>
      </c>
      <c r="G10" s="14" t="s">
        <v>78</v>
      </c>
      <c r="H10" s="15" t="s">
        <v>79</v>
      </c>
      <c r="I10" s="15" t="s">
        <v>80</v>
      </c>
      <c r="J10" s="15" t="s">
        <v>81</v>
      </c>
      <c r="K10" s="15" t="s">
        <v>82</v>
      </c>
      <c r="L10" s="16" t="s">
        <v>83</v>
      </c>
      <c r="M10" s="16" t="s">
        <v>46</v>
      </c>
      <c r="N10" s="16" t="s">
        <v>84</v>
      </c>
      <c r="O10" s="16" t="s">
        <v>85</v>
      </c>
      <c r="P10" s="16" t="s">
        <v>86</v>
      </c>
      <c r="Q10" s="16" t="s">
        <v>50</v>
      </c>
      <c r="R10" s="13" t="s">
        <v>87</v>
      </c>
    </row>
    <row r="11" customFormat="false" ht="27" hidden="false" customHeight="true" outlineLevel="0" collapsed="false">
      <c r="B11" s="17"/>
      <c r="C11" s="17" t="s">
        <v>88</v>
      </c>
      <c r="D11" s="17" t="s">
        <v>89</v>
      </c>
      <c r="E11" s="17" t="s">
        <v>90</v>
      </c>
      <c r="F11" s="17" t="s">
        <v>91</v>
      </c>
      <c r="G11" s="17" t="s">
        <v>92</v>
      </c>
      <c r="H11" s="17" t="s">
        <v>93</v>
      </c>
      <c r="I11" s="17" t="s">
        <v>94</v>
      </c>
      <c r="J11" s="17" t="s">
        <v>91</v>
      </c>
      <c r="K11" s="17" t="s">
        <v>95</v>
      </c>
      <c r="L11" s="17" t="s">
        <v>91</v>
      </c>
      <c r="M11" s="17" t="s">
        <v>96</v>
      </c>
      <c r="N11" s="17" t="s">
        <v>97</v>
      </c>
      <c r="O11" s="17"/>
      <c r="P11" s="17"/>
      <c r="Q11" s="17" t="s">
        <v>98</v>
      </c>
      <c r="R11" s="17"/>
    </row>
    <row r="12" customFormat="false" ht="31.5" hidden="false" customHeight="true" outlineLevel="0" collapsed="false">
      <c r="B12" s="17" t="s">
        <v>99</v>
      </c>
      <c r="C12" s="10" t="s">
        <v>100</v>
      </c>
      <c r="D12" s="10" t="s">
        <v>101</v>
      </c>
      <c r="E12" s="17" t="n">
        <v>2</v>
      </c>
      <c r="F12" s="17" t="n">
        <v>8</v>
      </c>
      <c r="G12" s="17" t="n">
        <v>350</v>
      </c>
      <c r="H12" s="17" t="n">
        <v>4</v>
      </c>
      <c r="I12" s="17" t="n">
        <v>700</v>
      </c>
      <c r="J12" s="17" t="n">
        <v>4</v>
      </c>
      <c r="K12" s="17" t="n">
        <v>32</v>
      </c>
      <c r="L12" s="18" t="n">
        <v>4</v>
      </c>
      <c r="M12" s="17" t="n">
        <v>350</v>
      </c>
      <c r="N12" s="18" t="n">
        <v>1</v>
      </c>
      <c r="O12" s="17" t="s">
        <v>102</v>
      </c>
      <c r="P12" s="10" t="s">
        <v>103</v>
      </c>
      <c r="Q12" s="19" t="n">
        <v>4.7</v>
      </c>
      <c r="R12" s="10"/>
    </row>
    <row r="13" customFormat="false" ht="30" hidden="false" customHeight="true" outlineLevel="0" collapsed="false">
      <c r="B13" s="20" t="n">
        <v>1</v>
      </c>
      <c r="C13" s="5"/>
      <c r="D13" s="5"/>
      <c r="E13" s="9"/>
      <c r="F13" s="9"/>
      <c r="G13" s="9"/>
      <c r="H13" s="9"/>
      <c r="I13" s="9"/>
      <c r="J13" s="9"/>
      <c r="K13" s="9"/>
      <c r="L13" s="21" t="str">
        <f aca="false">IF(OR(E13="",F13="",E13&lt;=0),"",F13/E13)</f>
        <v/>
      </c>
      <c r="M13" s="22" t="str">
        <f aca="false">IF(OR(F13="",I13="",J13="",F13&lt;=0),"",IF(AND(H13&lt;&gt;"",L13&lt;&gt;"",L13&lt;H13-0.01),"",ROUND(I13*J13/F13,0)))</f>
        <v/>
      </c>
      <c r="N13" s="23" t="str">
        <f aca="false">IF(OR(M13="",G13="",G13&lt;=0),"",M13/G13)</f>
        <v/>
      </c>
      <c r="O13" s="24" t="str">
        <f aca="false">IF(L13="","",IF(H13="","Incompleto",IF(L13&lt;H13-0.01,"Abaixo do mínimo",IF(N13="","Incompleto",IF(N13&gt;$M$5,"Amplificador forte",IF(N13&lt;$M$4,"Amplificador fraco","OK"))))))</f>
        <v/>
      </c>
      <c r="P13" s="25" t="str">
        <f aca="false">IF(O13="","",IF(O13="Abaixo do mínimo","Tire caixas desta saída ou divida entre os canais: o amplificador pede "&amp;H13&amp;" Ω ou mais",IF(O13="Incompleto","Preencha o mínimo e a potência do amplificador e a potência da caixa",IF(O13="Amplificador forte","A caixa pode receber mais do que suporta: use limiter e não deixe o clip acender",IF(O13="Amplificador fraco","Pouca folga: se a luz de clip acender, baixe o nível na mesa","Manter")))))</f>
        <v/>
      </c>
      <c r="Q13" s="26" t="str">
        <f aca="false">IF(OR(F13="",G13="",K13="",F13&lt;=0,G13&lt;=0),"",ROUND(20*LOG10((G13*F13)^0.5/0.775)-K13,1))</f>
        <v/>
      </c>
      <c r="R13" s="5"/>
    </row>
    <row r="14" customFormat="false" ht="30" hidden="false" customHeight="true" outlineLevel="0" collapsed="false">
      <c r="B14" s="20" t="n">
        <v>2</v>
      </c>
      <c r="C14" s="5"/>
      <c r="D14" s="5"/>
      <c r="E14" s="9"/>
      <c r="F14" s="9"/>
      <c r="G14" s="9"/>
      <c r="H14" s="9"/>
      <c r="I14" s="9"/>
      <c r="J14" s="9"/>
      <c r="K14" s="9"/>
      <c r="L14" s="21" t="str">
        <f aca="false">IF(OR(E14="",F14="",E14&lt;=0),"",F14/E14)</f>
        <v/>
      </c>
      <c r="M14" s="22" t="str">
        <f aca="false">IF(OR(F14="",I14="",J14="",F14&lt;=0),"",IF(AND(H14&lt;&gt;"",L14&lt;&gt;"",L14&lt;H14-0.01),"",ROUND(I14*J14/F14,0)))</f>
        <v/>
      </c>
      <c r="N14" s="23" t="str">
        <f aca="false">IF(OR(M14="",G14="",G14&lt;=0),"",M14/G14)</f>
        <v/>
      </c>
      <c r="O14" s="24" t="str">
        <f aca="false">IF(L14="","",IF(H14="","Incompleto",IF(L14&lt;H14-0.01,"Abaixo do mínimo",IF(N14="","Incompleto",IF(N14&gt;$M$5,"Amplificador forte",IF(N14&lt;$M$4,"Amplificador fraco","OK"))))))</f>
        <v/>
      </c>
      <c r="P14" s="25" t="str">
        <f aca="false">IF(O14="","",IF(O14="Abaixo do mínimo","Tire caixas desta saída ou divida entre os canais: o amplificador pede "&amp;H14&amp;" Ω ou mais",IF(O14="Incompleto","Preencha o mínimo e a potência do amplificador e a potência da caixa",IF(O14="Amplificador forte","A caixa pode receber mais do que suporta: use limiter e não deixe o clip acender",IF(O14="Amplificador fraco","Pouca folga: se a luz de clip acender, baixe o nível na mesa","Manter")))))</f>
        <v/>
      </c>
      <c r="Q14" s="26" t="str">
        <f aca="false">IF(OR(F14="",G14="",K14="",F14&lt;=0,G14&lt;=0),"",ROUND(20*LOG10((G14*F14)^0.5/0.775)-K14,1))</f>
        <v/>
      </c>
      <c r="R14" s="5"/>
    </row>
    <row r="15" customFormat="false" ht="30" hidden="false" customHeight="true" outlineLevel="0" collapsed="false">
      <c r="B15" s="20" t="n">
        <v>3</v>
      </c>
      <c r="C15" s="5"/>
      <c r="D15" s="5"/>
      <c r="E15" s="9"/>
      <c r="F15" s="9"/>
      <c r="G15" s="9"/>
      <c r="H15" s="9"/>
      <c r="I15" s="9"/>
      <c r="J15" s="9"/>
      <c r="K15" s="9"/>
      <c r="L15" s="21" t="str">
        <f aca="false">IF(OR(E15="",F15="",E15&lt;=0),"",F15/E15)</f>
        <v/>
      </c>
      <c r="M15" s="22" t="str">
        <f aca="false">IF(OR(F15="",I15="",J15="",F15&lt;=0),"",IF(AND(H15&lt;&gt;"",L15&lt;&gt;"",L15&lt;H15-0.01),"",ROUND(I15*J15/F15,0)))</f>
        <v/>
      </c>
      <c r="N15" s="23" t="str">
        <f aca="false">IF(OR(M15="",G15="",G15&lt;=0),"",M15/G15)</f>
        <v/>
      </c>
      <c r="O15" s="24" t="str">
        <f aca="false">IF(L15="","",IF(H15="","Incompleto",IF(L15&lt;H15-0.01,"Abaixo do mínimo",IF(N15="","Incompleto",IF(N15&gt;$M$5,"Amplificador forte",IF(N15&lt;$M$4,"Amplificador fraco","OK"))))))</f>
        <v/>
      </c>
      <c r="P15" s="25" t="str">
        <f aca="false">IF(O15="","",IF(O15="Abaixo do mínimo","Tire caixas desta saída ou divida entre os canais: o amplificador pede "&amp;H15&amp;" Ω ou mais",IF(O15="Incompleto","Preencha o mínimo e a potência do amplificador e a potência da caixa",IF(O15="Amplificador forte","A caixa pode receber mais do que suporta: use limiter e não deixe o clip acender",IF(O15="Amplificador fraco","Pouca folga: se a luz de clip acender, baixe o nível na mesa","Manter")))))</f>
        <v/>
      </c>
      <c r="Q15" s="26" t="str">
        <f aca="false">IF(OR(F15="",G15="",K15="",F15&lt;=0,G15&lt;=0),"",ROUND(20*LOG10((G15*F15)^0.5/0.775)-K15,1))</f>
        <v/>
      </c>
      <c r="R15" s="5"/>
    </row>
    <row r="16" customFormat="false" ht="30" hidden="false" customHeight="true" outlineLevel="0" collapsed="false">
      <c r="B16" s="20" t="n">
        <v>4</v>
      </c>
      <c r="C16" s="5"/>
      <c r="D16" s="5"/>
      <c r="E16" s="9"/>
      <c r="F16" s="9"/>
      <c r="G16" s="9"/>
      <c r="H16" s="9"/>
      <c r="I16" s="9"/>
      <c r="J16" s="9"/>
      <c r="K16" s="9"/>
      <c r="L16" s="21" t="str">
        <f aca="false">IF(OR(E16="",F16="",E16&lt;=0),"",F16/E16)</f>
        <v/>
      </c>
      <c r="M16" s="22" t="str">
        <f aca="false">IF(OR(F16="",I16="",J16="",F16&lt;=0),"",IF(AND(H16&lt;&gt;"",L16&lt;&gt;"",L16&lt;H16-0.01),"",ROUND(I16*J16/F16,0)))</f>
        <v/>
      </c>
      <c r="N16" s="23" t="str">
        <f aca="false">IF(OR(M16="",G16="",G16&lt;=0),"",M16/G16)</f>
        <v/>
      </c>
      <c r="O16" s="24" t="str">
        <f aca="false">IF(L16="","",IF(H16="","Incompleto",IF(L16&lt;H16-0.01,"Abaixo do mínimo",IF(N16="","Incompleto",IF(N16&gt;$M$5,"Amplificador forte",IF(N16&lt;$M$4,"Amplificador fraco","OK"))))))</f>
        <v/>
      </c>
      <c r="P16" s="25" t="str">
        <f aca="false">IF(O16="","",IF(O16="Abaixo do mínimo","Tire caixas desta saída ou divida entre os canais: o amplificador pede "&amp;H16&amp;" Ω ou mais",IF(O16="Incompleto","Preencha o mínimo e a potência do amplificador e a potência da caixa",IF(O16="Amplificador forte","A caixa pode receber mais do que suporta: use limiter e não deixe o clip acender",IF(O16="Amplificador fraco","Pouca folga: se a luz de clip acender, baixe o nível na mesa","Manter")))))</f>
        <v/>
      </c>
      <c r="Q16" s="26" t="str">
        <f aca="false">IF(OR(F16="",G16="",K16="",F16&lt;=0,G16&lt;=0),"",ROUND(20*LOG10((G16*F16)^0.5/0.775)-K16,1))</f>
        <v/>
      </c>
      <c r="R16" s="5"/>
    </row>
    <row r="17" customFormat="false" ht="30" hidden="false" customHeight="true" outlineLevel="0" collapsed="false">
      <c r="B17" s="20" t="n">
        <v>5</v>
      </c>
      <c r="C17" s="5"/>
      <c r="D17" s="5"/>
      <c r="E17" s="9"/>
      <c r="F17" s="9"/>
      <c r="G17" s="9"/>
      <c r="H17" s="9"/>
      <c r="I17" s="9"/>
      <c r="J17" s="9"/>
      <c r="K17" s="9"/>
      <c r="L17" s="21" t="str">
        <f aca="false">IF(OR(E17="",F17="",E17&lt;=0),"",F17/E17)</f>
        <v/>
      </c>
      <c r="M17" s="22" t="str">
        <f aca="false">IF(OR(F17="",I17="",J17="",F17&lt;=0),"",IF(AND(H17&lt;&gt;"",L17&lt;&gt;"",L17&lt;H17-0.01),"",ROUND(I17*J17/F17,0)))</f>
        <v/>
      </c>
      <c r="N17" s="23" t="str">
        <f aca="false">IF(OR(M17="",G17="",G17&lt;=0),"",M17/G17)</f>
        <v/>
      </c>
      <c r="O17" s="24" t="str">
        <f aca="false">IF(L17="","",IF(H17="","Incompleto",IF(L17&lt;H17-0.01,"Abaixo do mínimo",IF(N17="","Incompleto",IF(N17&gt;$M$5,"Amplificador forte",IF(N17&lt;$M$4,"Amplificador fraco","OK"))))))</f>
        <v/>
      </c>
      <c r="P17" s="25" t="str">
        <f aca="false">IF(O17="","",IF(O17="Abaixo do mínimo","Tire caixas desta saída ou divida entre os canais: o amplificador pede "&amp;H17&amp;" Ω ou mais",IF(O17="Incompleto","Preencha o mínimo e a potência do amplificador e a potência da caixa",IF(O17="Amplificador forte","A caixa pode receber mais do que suporta: use limiter e não deixe o clip acender",IF(O17="Amplificador fraco","Pouca folga: se a luz de clip acender, baixe o nível na mesa","Manter")))))</f>
        <v/>
      </c>
      <c r="Q17" s="26" t="str">
        <f aca="false">IF(OR(F17="",G17="",K17="",F17&lt;=0,G17&lt;=0),"",ROUND(20*LOG10((G17*F17)^0.5/0.775)-K17,1))</f>
        <v/>
      </c>
      <c r="R17" s="5"/>
    </row>
    <row r="18" customFormat="false" ht="30" hidden="false" customHeight="true" outlineLevel="0" collapsed="false">
      <c r="B18" s="20" t="n">
        <v>6</v>
      </c>
      <c r="C18" s="5"/>
      <c r="D18" s="5"/>
      <c r="E18" s="9"/>
      <c r="F18" s="9"/>
      <c r="G18" s="9"/>
      <c r="H18" s="9"/>
      <c r="I18" s="9"/>
      <c r="J18" s="9"/>
      <c r="K18" s="9"/>
      <c r="L18" s="21" t="str">
        <f aca="false">IF(OR(E18="",F18="",E18&lt;=0),"",F18/E18)</f>
        <v/>
      </c>
      <c r="M18" s="22" t="str">
        <f aca="false">IF(OR(F18="",I18="",J18="",F18&lt;=0),"",IF(AND(H18&lt;&gt;"",L18&lt;&gt;"",L18&lt;H18-0.01),"",ROUND(I18*J18/F18,0)))</f>
        <v/>
      </c>
      <c r="N18" s="23" t="str">
        <f aca="false">IF(OR(M18="",G18="",G18&lt;=0),"",M18/G18)</f>
        <v/>
      </c>
      <c r="O18" s="24" t="str">
        <f aca="false">IF(L18="","",IF(H18="","Incompleto",IF(L18&lt;H18-0.01,"Abaixo do mínimo",IF(N18="","Incompleto",IF(N18&gt;$M$5,"Amplificador forte",IF(N18&lt;$M$4,"Amplificador fraco","OK"))))))</f>
        <v/>
      </c>
      <c r="P18" s="25" t="str">
        <f aca="false">IF(O18="","",IF(O18="Abaixo do mínimo","Tire caixas desta saída ou divida entre os canais: o amplificador pede "&amp;H18&amp;" Ω ou mais",IF(O18="Incompleto","Preencha o mínimo e a potência do amplificador e a potência da caixa",IF(O18="Amplificador forte","A caixa pode receber mais do que suporta: use limiter e não deixe o clip acender",IF(O18="Amplificador fraco","Pouca folga: se a luz de clip acender, baixe o nível na mesa","Manter")))))</f>
        <v/>
      </c>
      <c r="Q18" s="26" t="str">
        <f aca="false">IF(OR(F18="",G18="",K18="",F18&lt;=0,G18&lt;=0),"",ROUND(20*LOG10((G18*F18)^0.5/0.775)-K18,1))</f>
        <v/>
      </c>
      <c r="R18" s="5"/>
    </row>
    <row r="19" customFormat="false" ht="30" hidden="false" customHeight="true" outlineLevel="0" collapsed="false">
      <c r="B19" s="20" t="n">
        <v>7</v>
      </c>
      <c r="C19" s="5"/>
      <c r="D19" s="5"/>
      <c r="E19" s="9"/>
      <c r="F19" s="9"/>
      <c r="G19" s="9"/>
      <c r="H19" s="9"/>
      <c r="I19" s="9"/>
      <c r="J19" s="9"/>
      <c r="K19" s="9"/>
      <c r="L19" s="21" t="str">
        <f aca="false">IF(OR(E19="",F19="",E19&lt;=0),"",F19/E19)</f>
        <v/>
      </c>
      <c r="M19" s="22" t="str">
        <f aca="false">IF(OR(F19="",I19="",J19="",F19&lt;=0),"",IF(AND(H19&lt;&gt;"",L19&lt;&gt;"",L19&lt;H19-0.01),"",ROUND(I19*J19/F19,0)))</f>
        <v/>
      </c>
      <c r="N19" s="23" t="str">
        <f aca="false">IF(OR(M19="",G19="",G19&lt;=0),"",M19/G19)</f>
        <v/>
      </c>
      <c r="O19" s="24" t="str">
        <f aca="false">IF(L19="","",IF(H19="","Incompleto",IF(L19&lt;H19-0.01,"Abaixo do mínimo",IF(N19="","Incompleto",IF(N19&gt;$M$5,"Amplificador forte",IF(N19&lt;$M$4,"Amplificador fraco","OK"))))))</f>
        <v/>
      </c>
      <c r="P19" s="25" t="str">
        <f aca="false">IF(O19="","",IF(O19="Abaixo do mínimo","Tire caixas desta saída ou divida entre os canais: o amplificador pede "&amp;H19&amp;" Ω ou mais",IF(O19="Incompleto","Preencha o mínimo e a potência do amplificador e a potência da caixa",IF(O19="Amplificador forte","A caixa pode receber mais do que suporta: use limiter e não deixe o clip acender",IF(O19="Amplificador fraco","Pouca folga: se a luz de clip acender, baixe o nível na mesa","Manter")))))</f>
        <v/>
      </c>
      <c r="Q19" s="26" t="str">
        <f aca="false">IF(OR(F19="",G19="",K19="",F19&lt;=0,G19&lt;=0),"",ROUND(20*LOG10((G19*F19)^0.5/0.775)-K19,1))</f>
        <v/>
      </c>
      <c r="R19" s="5"/>
    </row>
    <row r="20" customFormat="false" ht="30" hidden="false" customHeight="true" outlineLevel="0" collapsed="false">
      <c r="B20" s="20" t="n">
        <v>8</v>
      </c>
      <c r="C20" s="5"/>
      <c r="D20" s="5"/>
      <c r="E20" s="9"/>
      <c r="F20" s="9"/>
      <c r="G20" s="9"/>
      <c r="H20" s="9"/>
      <c r="I20" s="9"/>
      <c r="J20" s="9"/>
      <c r="K20" s="9"/>
      <c r="L20" s="21" t="str">
        <f aca="false">IF(OR(E20="",F20="",E20&lt;=0),"",F20/E20)</f>
        <v/>
      </c>
      <c r="M20" s="22" t="str">
        <f aca="false">IF(OR(F20="",I20="",J20="",F20&lt;=0),"",IF(AND(H20&lt;&gt;"",L20&lt;&gt;"",L20&lt;H20-0.01),"",ROUND(I20*J20/F20,0)))</f>
        <v/>
      </c>
      <c r="N20" s="23" t="str">
        <f aca="false">IF(OR(M20="",G20="",G20&lt;=0),"",M20/G20)</f>
        <v/>
      </c>
      <c r="O20" s="24" t="str">
        <f aca="false">IF(L20="","",IF(H20="","Incompleto",IF(L20&lt;H20-0.01,"Abaixo do mínimo",IF(N20="","Incompleto",IF(N20&gt;$M$5,"Amplificador forte",IF(N20&lt;$M$4,"Amplificador fraco","OK"))))))</f>
        <v/>
      </c>
      <c r="P20" s="25" t="str">
        <f aca="false">IF(O20="","",IF(O20="Abaixo do mínimo","Tire caixas desta saída ou divida entre os canais: o amplificador pede "&amp;H20&amp;" Ω ou mais",IF(O20="Incompleto","Preencha o mínimo e a potência do amplificador e a potência da caixa",IF(O20="Amplificador forte","A caixa pode receber mais do que suporta: use limiter e não deixe o clip acender",IF(O20="Amplificador fraco","Pouca folga: se a luz de clip acender, baixe o nível na mesa","Manter")))))</f>
        <v/>
      </c>
      <c r="Q20" s="26" t="str">
        <f aca="false">IF(OR(F20="",G20="",K20="",F20&lt;=0,G20&lt;=0),"",ROUND(20*LOG10((G20*F20)^0.5/0.775)-K20,1))</f>
        <v/>
      </c>
      <c r="R20" s="5"/>
    </row>
    <row r="22" customFormat="false" ht="21.75" hidden="false" customHeight="true" outlineLevel="0" collapsed="false">
      <c r="B22" s="12" t="s">
        <v>104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customFormat="false" ht="19.5" hidden="false" customHeight="true" outlineLevel="0" collapsed="false">
      <c r="B23" s="27" t="s">
        <v>105</v>
      </c>
      <c r="C23" s="27"/>
      <c r="D23" s="27"/>
      <c r="E23" s="24" t="n">
        <f aca="false">COUNT(E13:E20)</f>
        <v>0</v>
      </c>
      <c r="F23" s="24"/>
    </row>
    <row r="24" customFormat="false" ht="19.5" hidden="false" customHeight="true" outlineLevel="0" collapsed="false">
      <c r="B24" s="27" t="s">
        <v>106</v>
      </c>
      <c r="C24" s="27"/>
      <c r="D24" s="27"/>
      <c r="E24" s="24" t="n">
        <f aca="false">COUNTIF(O13:O20,"OK")</f>
        <v>0</v>
      </c>
      <c r="F24" s="24"/>
    </row>
    <row r="25" customFormat="false" ht="19.5" hidden="false" customHeight="true" outlineLevel="0" collapsed="false">
      <c r="B25" s="27" t="s">
        <v>107</v>
      </c>
      <c r="C25" s="27"/>
      <c r="D25" s="27"/>
      <c r="E25" s="24" t="n">
        <f aca="false">COUNTIF(O13:O20,"Abaixo do mínimo")</f>
        <v>0</v>
      </c>
      <c r="F25" s="24"/>
    </row>
    <row r="26" customFormat="false" ht="19.5" hidden="false" customHeight="true" outlineLevel="0" collapsed="false">
      <c r="B26" s="27" t="s">
        <v>108</v>
      </c>
      <c r="C26" s="27"/>
      <c r="D26" s="27"/>
      <c r="E26" s="24" t="n">
        <f aca="false">COUNTIF(O13:O20,"Amplificador forte")+COUNTIF(O13:O20,"Amplificador fraco")</f>
        <v>0</v>
      </c>
      <c r="F26" s="24"/>
    </row>
    <row r="27" customFormat="false" ht="19.5" hidden="false" customHeight="true" outlineLevel="0" collapsed="false">
      <c r="B27" s="27" t="s">
        <v>109</v>
      </c>
      <c r="C27" s="27"/>
      <c r="D27" s="27"/>
      <c r="E27" s="24" t="n">
        <f aca="false">COUNTIF(O13:O20,"Incompleto")</f>
        <v>0</v>
      </c>
      <c r="F27" s="24"/>
    </row>
    <row r="28" customFormat="false" ht="21.75" hidden="false" customHeight="true" outlineLevel="0" collapsed="false">
      <c r="B28" s="27" t="s">
        <v>110</v>
      </c>
      <c r="C28" s="27"/>
      <c r="D28" s="27"/>
      <c r="E28" s="28" t="str">
        <f aca="false">IF(E23=0,"Registre as saídas do amplificador",IF(E25&gt;0,"Há saída abaixo da impedância mínima: corrija antes de ligar",IF(E27&gt;0,"Há saída com dados incompletos",IF(E26&gt;0,"Há saída com aviso de potência: veja o que fazer","OK"))))</f>
        <v>Registre as saídas do amplificador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30" customFormat="false" ht="21.75" hidden="false" customHeight="true" outlineLevel="0" collapsed="false">
      <c r="B30" s="12" t="s">
        <v>111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customFormat="false" ht="30" hidden="false" customHeight="true" outlineLevel="0" collapsed="false">
      <c r="B31" s="8" t="s">
        <v>73</v>
      </c>
      <c r="C31" s="24" t="s">
        <v>112</v>
      </c>
      <c r="D31" s="24"/>
      <c r="E31" s="8" t="s">
        <v>113</v>
      </c>
      <c r="F31" s="8" t="s">
        <v>114</v>
      </c>
      <c r="G31" s="8" t="s">
        <v>115</v>
      </c>
      <c r="H31" s="8" t="s">
        <v>116</v>
      </c>
      <c r="I31" s="8" t="s">
        <v>117</v>
      </c>
      <c r="J31" s="8" t="s">
        <v>118</v>
      </c>
      <c r="K31" s="8" t="s">
        <v>119</v>
      </c>
      <c r="L31" s="8" t="s">
        <v>120</v>
      </c>
      <c r="M31" s="8" t="s">
        <v>121</v>
      </c>
      <c r="N31" s="8" t="s">
        <v>122</v>
      </c>
      <c r="O31" s="8"/>
      <c r="P31" s="8"/>
      <c r="Q31" s="8"/>
      <c r="R31" s="8"/>
    </row>
    <row r="32" customFormat="false" ht="21.75" hidden="false" customHeight="true" outlineLevel="0" collapsed="false">
      <c r="B32" s="20" t="n">
        <v>1</v>
      </c>
      <c r="C32" s="5"/>
      <c r="D32" s="5"/>
      <c r="E32" s="9"/>
      <c r="F32" s="9"/>
      <c r="G32" s="9"/>
      <c r="H32" s="9"/>
      <c r="I32" s="21" t="str">
        <f aca="false">IF(COUNTIF(E32:H32,"&gt;0")=0,"",1/(IF(OR(E32="",E32&lt;=0),0,1/E32)+IF(OR(F32="",F32&lt;=0),0,1/F32)+IF(OR(G32="",G32&lt;=0),0,1/G32)+IF(OR(H32="",H32&lt;=0),0,1/H32)))</f>
        <v/>
      </c>
      <c r="J32" s="29" t="str">
        <f aca="false">IF(OR(I32="",E32="",E32&lt;=0),"",I32/E32)</f>
        <v/>
      </c>
      <c r="K32" s="29" t="str">
        <f aca="false">IF(OR(I32="",F32="",F32&lt;=0),"",I32/F32)</f>
        <v/>
      </c>
      <c r="L32" s="29" t="str">
        <f aca="false">IF(OR(I32="",G32="",G32&lt;=0),"",I32/G32)</f>
        <v/>
      </c>
      <c r="M32" s="29" t="str">
        <f aca="false">IF(OR(I32="",H32="",H32&lt;=0),"",I32/H32)</f>
        <v/>
      </c>
      <c r="N32" s="10" t="s">
        <v>123</v>
      </c>
      <c r="O32" s="10"/>
      <c r="P32" s="10"/>
      <c r="Q32" s="10"/>
      <c r="R32" s="10"/>
    </row>
    <row r="33" customFormat="false" ht="21.75" hidden="false" customHeight="true" outlineLevel="0" collapsed="false">
      <c r="B33" s="20" t="n">
        <v>2</v>
      </c>
      <c r="C33" s="5"/>
      <c r="D33" s="5"/>
      <c r="E33" s="9"/>
      <c r="F33" s="9"/>
      <c r="G33" s="9"/>
      <c r="H33" s="9"/>
      <c r="I33" s="21" t="str">
        <f aca="false">IF(COUNTIF(E33:H33,"&gt;0")=0,"",1/(IF(OR(E33="",E33&lt;=0),0,1/E33)+IF(OR(F33="",F33&lt;=0),0,1/F33)+IF(OR(G33="",G33&lt;=0),0,1/G33)+IF(OR(H33="",H33&lt;=0),0,1/H33)))</f>
        <v/>
      </c>
      <c r="J33" s="29" t="str">
        <f aca="false">IF(OR(I33="",E33="",E33&lt;=0),"",I33/E33)</f>
        <v/>
      </c>
      <c r="K33" s="29" t="str">
        <f aca="false">IF(OR(I33="",F33="",F33&lt;=0),"",I33/F33)</f>
        <v/>
      </c>
      <c r="L33" s="29" t="str">
        <f aca="false">IF(OR(I33="",G33="",G33&lt;=0),"",I33/G33)</f>
        <v/>
      </c>
      <c r="M33" s="29" t="str">
        <f aca="false">IF(OR(I33="",H33="",H33&lt;=0),"",I33/H33)</f>
        <v/>
      </c>
      <c r="N33" s="10" t="s">
        <v>124</v>
      </c>
      <c r="O33" s="10"/>
      <c r="P33" s="10"/>
      <c r="Q33" s="10"/>
      <c r="R33" s="10"/>
    </row>
    <row r="34" customFormat="false" ht="21.75" hidden="false" customHeight="true" outlineLevel="0" collapsed="false">
      <c r="B34" s="20" t="n">
        <v>3</v>
      </c>
      <c r="C34" s="5"/>
      <c r="D34" s="5"/>
      <c r="E34" s="9"/>
      <c r="F34" s="9"/>
      <c r="G34" s="9"/>
      <c r="H34" s="9"/>
      <c r="I34" s="21" t="str">
        <f aca="false">IF(COUNTIF(E34:H34,"&gt;0")=0,"",1/(IF(OR(E34="",E34&lt;=0),0,1/E34)+IF(OR(F34="",F34&lt;=0),0,1/F34)+IF(OR(G34="",G34&lt;=0),0,1/G34)+IF(OR(H34="",H34&lt;=0),0,1/H34)))</f>
        <v/>
      </c>
      <c r="J34" s="29" t="str">
        <f aca="false">IF(OR(I34="",E34="",E34&lt;=0),"",I34/E34)</f>
        <v/>
      </c>
      <c r="K34" s="29" t="str">
        <f aca="false">IF(OR(I34="",F34="",F34&lt;=0),"",I34/F34)</f>
        <v/>
      </c>
      <c r="L34" s="29" t="str">
        <f aca="false">IF(OR(I34="",G34="",G34&lt;=0),"",I34/G34)</f>
        <v/>
      </c>
      <c r="M34" s="29" t="str">
        <f aca="false">IF(OR(I34="",H34="",H34&lt;=0),"",I34/H34)</f>
        <v/>
      </c>
      <c r="N34" s="10" t="s">
        <v>125</v>
      </c>
      <c r="O34" s="10"/>
      <c r="P34" s="10"/>
      <c r="Q34" s="10"/>
      <c r="R34" s="10"/>
    </row>
  </sheetData>
  <mergeCells count="39">
    <mergeCell ref="B1:R1"/>
    <mergeCell ref="B2:R2"/>
    <mergeCell ref="B4:C4"/>
    <mergeCell ref="D4:G4"/>
    <mergeCell ref="I4:L4"/>
    <mergeCell ref="N4:R4"/>
    <mergeCell ref="B5:C5"/>
    <mergeCell ref="D5:G5"/>
    <mergeCell ref="I5:L5"/>
    <mergeCell ref="N5:R5"/>
    <mergeCell ref="B6:C6"/>
    <mergeCell ref="D6:G6"/>
    <mergeCell ref="I6:R6"/>
    <mergeCell ref="B7:C7"/>
    <mergeCell ref="D7:G7"/>
    <mergeCell ref="I7:R7"/>
    <mergeCell ref="B9:R9"/>
    <mergeCell ref="B22:R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P28"/>
    <mergeCell ref="B30:R30"/>
    <mergeCell ref="C31:D31"/>
    <mergeCell ref="N31:R31"/>
    <mergeCell ref="C32:D32"/>
    <mergeCell ref="N32:R32"/>
    <mergeCell ref="C33:D33"/>
    <mergeCell ref="N33:R33"/>
    <mergeCell ref="C34:D34"/>
    <mergeCell ref="N34:R34"/>
  </mergeCells>
  <conditionalFormatting sqref="O13:O2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"Abaixo do mínimo"</formula>
    </cfRule>
    <cfRule type="cellIs" priority="4" operator="equal" aboveAverage="0" equalAverage="0" bottom="0" percent="0" rank="0" text="" dxfId="2">
      <formula>"Amplificador forte"</formula>
    </cfRule>
    <cfRule type="cellIs" priority="5" operator="equal" aboveAverage="0" equalAverage="0" bottom="0" percent="0" rank="0" text="" dxfId="2">
      <formula>"Amplificador fraco"</formula>
    </cfRule>
    <cfRule type="cellIs" priority="6" operator="equal" aboveAverage="0" equalAverage="0" bottom="0" percent="0" rank="0" text="" dxfId="2">
      <formula>"Incompleto"</formula>
    </cfRule>
  </conditionalFormatting>
  <conditionalFormatting sqref="E28:P28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2">
      <formula>"OK"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4:M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13:K20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32:H3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10" min="7" style="0" width="13"/>
    <col collapsed="false" customWidth="true" hidden="false" outlineLevel="0" max="11" min="11" style="0" width="17"/>
    <col collapsed="false" customWidth="true" hidden="false" outlineLevel="0" max="12" min="12" style="0" width="52"/>
    <col collapsed="false" customWidth="true" hidden="false" outlineLevel="0" max="13" min="13" style="0" width="12"/>
    <col collapsed="false" customWidth="true" hidden="false" outlineLevel="0" max="14" min="14" style="0" width="2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128</v>
      </c>
      <c r="C4" s="4"/>
      <c r="D4" s="5"/>
      <c r="E4" s="5"/>
      <c r="F4" s="5"/>
      <c r="H4" s="4" t="s">
        <v>129</v>
      </c>
      <c r="I4" s="4"/>
      <c r="J4" s="4"/>
      <c r="K4" s="9" t="n">
        <v>90</v>
      </c>
      <c r="L4" s="10" t="s">
        <v>130</v>
      </c>
      <c r="M4" s="10"/>
      <c r="N4" s="10"/>
    </row>
    <row r="5" customFormat="false" ht="21.75" hidden="false" customHeight="true" outlineLevel="0" collapsed="false">
      <c r="B5" s="4" t="s">
        <v>65</v>
      </c>
      <c r="C5" s="4"/>
      <c r="D5" s="5"/>
      <c r="E5" s="5"/>
      <c r="F5" s="5"/>
      <c r="H5" s="4" t="s">
        <v>131</v>
      </c>
      <c r="I5" s="4"/>
      <c r="J5" s="4"/>
      <c r="K5" s="9" t="n">
        <v>10</v>
      </c>
      <c r="L5" s="10" t="s">
        <v>132</v>
      </c>
      <c r="M5" s="10"/>
      <c r="N5" s="10"/>
    </row>
    <row r="6" customFormat="false" ht="21.75" hidden="false" customHeight="true" outlineLevel="0" collapsed="false">
      <c r="B6" s="4" t="s">
        <v>68</v>
      </c>
      <c r="C6" s="4"/>
      <c r="D6" s="11"/>
      <c r="E6" s="11"/>
      <c r="F6" s="11"/>
      <c r="H6" s="4" t="s">
        <v>133</v>
      </c>
      <c r="I6" s="4"/>
      <c r="J6" s="4"/>
      <c r="K6" s="9" t="n">
        <v>6</v>
      </c>
      <c r="L6" s="10" t="s">
        <v>134</v>
      </c>
      <c r="M6" s="10"/>
      <c r="N6" s="10"/>
    </row>
    <row r="7" customFormat="false" ht="21.75" hidden="false" customHeight="true" outlineLevel="0" collapsed="false">
      <c r="B7" s="4" t="s">
        <v>70</v>
      </c>
      <c r="C7" s="4"/>
      <c r="D7" s="5"/>
      <c r="E7" s="5"/>
      <c r="F7" s="5"/>
      <c r="H7" s="4" t="s">
        <v>135</v>
      </c>
      <c r="I7" s="4"/>
      <c r="J7" s="4"/>
      <c r="K7" s="9" t="n">
        <v>10</v>
      </c>
      <c r="L7" s="10" t="s">
        <v>136</v>
      </c>
      <c r="M7" s="10"/>
      <c r="N7" s="10"/>
    </row>
    <row r="8" customFormat="false" ht="21.75" hidden="false" customHeight="true" outlineLevel="0" collapsed="false">
      <c r="H8" s="4" t="s">
        <v>137</v>
      </c>
      <c r="I8" s="4"/>
      <c r="J8" s="4"/>
      <c r="K8" s="9" t="n">
        <v>343</v>
      </c>
      <c r="L8" s="10" t="s">
        <v>138</v>
      </c>
      <c r="M8" s="10"/>
      <c r="N8" s="10"/>
    </row>
    <row r="9" customFormat="false" ht="27" hidden="false" customHeight="true" outlineLevel="0" collapsed="false">
      <c r="B9" s="10" t="s">
        <v>139</v>
      </c>
      <c r="C9" s="10"/>
      <c r="D9" s="10"/>
      <c r="E9" s="10"/>
      <c r="F9" s="10"/>
      <c r="H9" s="4" t="s">
        <v>140</v>
      </c>
      <c r="I9" s="4"/>
      <c r="J9" s="4"/>
      <c r="K9" s="9" t="n">
        <v>10</v>
      </c>
      <c r="L9" s="10" t="s">
        <v>141</v>
      </c>
      <c r="M9" s="10"/>
      <c r="N9" s="10"/>
    </row>
    <row r="11" customFormat="false" ht="21.75" hidden="false" customHeight="true" outlineLevel="0" collapsed="false">
      <c r="B11" s="12" t="s">
        <v>142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43.5" hidden="false" customHeight="true" outlineLevel="0" collapsed="false">
      <c r="B12" s="13" t="s">
        <v>73</v>
      </c>
      <c r="C12" s="13" t="s">
        <v>143</v>
      </c>
      <c r="D12" s="14" t="s">
        <v>144</v>
      </c>
      <c r="E12" s="14" t="s">
        <v>145</v>
      </c>
      <c r="F12" s="14" t="s">
        <v>146</v>
      </c>
      <c r="G12" s="14" t="s">
        <v>147</v>
      </c>
      <c r="H12" s="16" t="s">
        <v>148</v>
      </c>
      <c r="I12" s="16" t="s">
        <v>149</v>
      </c>
      <c r="J12" s="16" t="s">
        <v>150</v>
      </c>
      <c r="K12" s="16"/>
      <c r="L12" s="13" t="s">
        <v>87</v>
      </c>
      <c r="M12" s="13"/>
      <c r="N12" s="13"/>
    </row>
    <row r="13" customFormat="false" ht="27" hidden="false" customHeight="true" outlineLevel="0" collapsed="false">
      <c r="B13" s="17"/>
      <c r="C13" s="17" t="s">
        <v>151</v>
      </c>
      <c r="D13" s="17" t="s">
        <v>152</v>
      </c>
      <c r="E13" s="17" t="s">
        <v>153</v>
      </c>
      <c r="F13" s="17" t="s">
        <v>154</v>
      </c>
      <c r="G13" s="17" t="s">
        <v>155</v>
      </c>
      <c r="H13" s="17" t="s">
        <v>156</v>
      </c>
      <c r="I13" s="17" t="s">
        <v>156</v>
      </c>
      <c r="J13" s="17"/>
      <c r="K13" s="17"/>
      <c r="L13" s="10" t="s">
        <v>157</v>
      </c>
      <c r="M13" s="10"/>
      <c r="N13" s="10"/>
    </row>
    <row r="14" customFormat="false" ht="21.75" hidden="false" customHeight="true" outlineLevel="0" collapsed="false">
      <c r="B14" s="20" t="n">
        <v>1</v>
      </c>
      <c r="C14" s="5"/>
      <c r="D14" s="9"/>
      <c r="E14" s="9"/>
      <c r="F14" s="9"/>
      <c r="G14" s="9"/>
      <c r="H14" s="30" t="str">
        <f aca="false">IF(AND(D14&lt;&gt;"",E14&gt;0),ROUND(D14+10*LOG10(E14),1),IF(F14&lt;&gt;"",F14-$K$6,""))</f>
        <v/>
      </c>
      <c r="I14" s="31" t="str">
        <f aca="false">IF(OR(H14="",G14&lt;=0),"",ROUND(H14-20*LOG10(G14),1))</f>
        <v/>
      </c>
      <c r="J14" s="32" t="str">
        <f aca="false">IF(H14="","",IF(AND(D14&lt;&gt;"",E14&gt;0),"Sensibilidade e potência","Folheto, com desconto"))</f>
        <v/>
      </c>
      <c r="K14" s="32"/>
      <c r="L14" s="5"/>
      <c r="M14" s="5"/>
      <c r="N14" s="5"/>
    </row>
    <row r="15" customFormat="false" ht="21.75" hidden="false" customHeight="true" outlineLevel="0" collapsed="false">
      <c r="B15" s="20" t="n">
        <v>2</v>
      </c>
      <c r="C15" s="5"/>
      <c r="D15" s="9"/>
      <c r="E15" s="9"/>
      <c r="F15" s="9"/>
      <c r="G15" s="9"/>
      <c r="H15" s="30" t="str">
        <f aca="false">IF(AND(D15&lt;&gt;"",E15&gt;0),ROUND(D15+10*LOG10(E15),1),IF(F15&lt;&gt;"",F15-$K$6,""))</f>
        <v/>
      </c>
      <c r="I15" s="31" t="str">
        <f aca="false">IF(OR(H15="",G15&lt;=0),"",ROUND(H15-20*LOG10(G15),1))</f>
        <v/>
      </c>
      <c r="J15" s="32" t="str">
        <f aca="false">IF(H15="","",IF(AND(D15&lt;&gt;"",E15&gt;0),"Sensibilidade e potência","Folheto, com desconto"))</f>
        <v/>
      </c>
      <c r="K15" s="32"/>
      <c r="L15" s="5"/>
      <c r="M15" s="5"/>
      <c r="N15" s="5"/>
    </row>
    <row r="16" customFormat="false" ht="21.75" hidden="false" customHeight="true" outlineLevel="0" collapsed="false">
      <c r="B16" s="20" t="n">
        <v>3</v>
      </c>
      <c r="C16" s="5"/>
      <c r="D16" s="9"/>
      <c r="E16" s="9"/>
      <c r="F16" s="9"/>
      <c r="G16" s="9"/>
      <c r="H16" s="30" t="str">
        <f aca="false">IF(AND(D16&lt;&gt;"",E16&gt;0),ROUND(D16+10*LOG10(E16),1),IF(F16&lt;&gt;"",F16-$K$6,""))</f>
        <v/>
      </c>
      <c r="I16" s="31" t="str">
        <f aca="false">IF(OR(H16="",G16&lt;=0),"",ROUND(H16-20*LOG10(G16),1))</f>
        <v/>
      </c>
      <c r="J16" s="32" t="str">
        <f aca="false">IF(H16="","",IF(AND(D16&lt;&gt;"",E16&gt;0),"Sensibilidade e potência","Folheto, com desconto"))</f>
        <v/>
      </c>
      <c r="K16" s="32"/>
      <c r="L16" s="5"/>
      <c r="M16" s="5"/>
      <c r="N16" s="5"/>
    </row>
    <row r="17" customFormat="false" ht="21.75" hidden="false" customHeight="true" outlineLevel="0" collapsed="false">
      <c r="B17" s="20" t="n">
        <v>4</v>
      </c>
      <c r="C17" s="5"/>
      <c r="D17" s="9"/>
      <c r="E17" s="9"/>
      <c r="F17" s="9"/>
      <c r="G17" s="9"/>
      <c r="H17" s="30" t="str">
        <f aca="false">IF(AND(D17&lt;&gt;"",E17&gt;0),ROUND(D17+10*LOG10(E17),1),IF(F17&lt;&gt;"",F17-$K$6,""))</f>
        <v/>
      </c>
      <c r="I17" s="31" t="str">
        <f aca="false">IF(OR(H17="",G17&lt;=0),"",ROUND(H17-20*LOG10(G17),1))</f>
        <v/>
      </c>
      <c r="J17" s="32" t="str">
        <f aca="false">IF(H17="","",IF(AND(D17&lt;&gt;"",E17&gt;0),"Sensibilidade e potência","Folheto, com desconto"))</f>
        <v/>
      </c>
      <c r="K17" s="32"/>
      <c r="L17" s="5"/>
      <c r="M17" s="5"/>
      <c r="N17" s="5"/>
    </row>
    <row r="18" customFormat="false" ht="21.75" hidden="false" customHeight="true" outlineLevel="0" collapsed="false">
      <c r="B18" s="20" t="n">
        <v>5</v>
      </c>
      <c r="C18" s="5"/>
      <c r="D18" s="9"/>
      <c r="E18" s="9"/>
      <c r="F18" s="9"/>
      <c r="G18" s="9"/>
      <c r="H18" s="30" t="str">
        <f aca="false">IF(AND(D18&lt;&gt;"",E18&gt;0),ROUND(D18+10*LOG10(E18),1),IF(F18&lt;&gt;"",F18-$K$6,""))</f>
        <v/>
      </c>
      <c r="I18" s="31" t="str">
        <f aca="false">IF(OR(H18="",G18&lt;=0),"",ROUND(H18-20*LOG10(G18),1))</f>
        <v/>
      </c>
      <c r="J18" s="32" t="str">
        <f aca="false">IF(H18="","",IF(AND(D18&lt;&gt;"",E18&gt;0),"Sensibilidade e potência","Folheto, com desconto"))</f>
        <v/>
      </c>
      <c r="K18" s="32"/>
      <c r="L18" s="5"/>
      <c r="M18" s="5"/>
      <c r="N18" s="5"/>
    </row>
    <row r="19" customFormat="false" ht="21.75" hidden="false" customHeight="true" outlineLevel="0" collapsed="false">
      <c r="B19" s="20" t="n">
        <v>6</v>
      </c>
      <c r="C19" s="5"/>
      <c r="D19" s="9"/>
      <c r="E19" s="9"/>
      <c r="F19" s="9"/>
      <c r="G19" s="9"/>
      <c r="H19" s="30" t="str">
        <f aca="false">IF(AND(D19&lt;&gt;"",E19&gt;0),ROUND(D19+10*LOG10(E19),1),IF(F19&lt;&gt;"",F19-$K$6,""))</f>
        <v/>
      </c>
      <c r="I19" s="31" t="str">
        <f aca="false">IF(OR(H19="",G19&lt;=0),"",ROUND(H19-20*LOG10(G19),1))</f>
        <v/>
      </c>
      <c r="J19" s="32" t="str">
        <f aca="false">IF(H19="","",IF(AND(D19&lt;&gt;"",E19&gt;0),"Sensibilidade e potência","Folheto, com desconto"))</f>
        <v/>
      </c>
      <c r="K19" s="32"/>
      <c r="L19" s="5"/>
      <c r="M19" s="5"/>
      <c r="N19" s="5"/>
    </row>
    <row r="21" customFormat="false" ht="21.75" hidden="false" customHeight="true" outlineLevel="0" collapsed="false">
      <c r="B21" s="12" t="s">
        <v>158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43.5" hidden="false" customHeight="true" outlineLevel="0" collapsed="false">
      <c r="B22" s="13" t="s">
        <v>73</v>
      </c>
      <c r="C22" s="13" t="s">
        <v>159</v>
      </c>
      <c r="D22" s="15" t="s">
        <v>160</v>
      </c>
      <c r="E22" s="15" t="s">
        <v>161</v>
      </c>
      <c r="F22" s="15" t="s">
        <v>162</v>
      </c>
      <c r="G22" s="16" t="s">
        <v>163</v>
      </c>
      <c r="H22" s="16" t="s">
        <v>164</v>
      </c>
      <c r="I22" s="16" t="s">
        <v>165</v>
      </c>
      <c r="J22" s="16" t="s">
        <v>166</v>
      </c>
      <c r="K22" s="16" t="s">
        <v>85</v>
      </c>
      <c r="L22" s="16" t="s">
        <v>86</v>
      </c>
      <c r="M22" s="16" t="s">
        <v>167</v>
      </c>
      <c r="N22" s="13" t="s">
        <v>87</v>
      </c>
    </row>
    <row r="23" customFormat="false" ht="27" hidden="false" customHeight="true" outlineLevel="0" collapsed="false">
      <c r="B23" s="17"/>
      <c r="C23" s="17" t="s">
        <v>168</v>
      </c>
      <c r="D23" s="17" t="s">
        <v>169</v>
      </c>
      <c r="E23" s="17" t="s">
        <v>155</v>
      </c>
      <c r="F23" s="17" t="s">
        <v>170</v>
      </c>
      <c r="G23" s="17" t="s">
        <v>171</v>
      </c>
      <c r="H23" s="17" t="s">
        <v>172</v>
      </c>
      <c r="I23" s="17" t="s">
        <v>171</v>
      </c>
      <c r="J23" s="17" t="s">
        <v>171</v>
      </c>
      <c r="K23" s="17"/>
      <c r="L23" s="17"/>
      <c r="M23" s="17" t="s">
        <v>173</v>
      </c>
      <c r="N23" s="17"/>
    </row>
    <row r="24" customFormat="false" ht="24" hidden="false" customHeight="true" outlineLevel="0" collapsed="false">
      <c r="B24" s="17" t="s">
        <v>99</v>
      </c>
      <c r="C24" s="10" t="s">
        <v>174</v>
      </c>
      <c r="D24" s="17" t="n">
        <v>1</v>
      </c>
      <c r="E24" s="17" t="n">
        <v>9</v>
      </c>
      <c r="F24" s="17"/>
      <c r="G24" s="19" t="n">
        <v>19.1</v>
      </c>
      <c r="H24" s="19" t="n">
        <v>103.9</v>
      </c>
      <c r="I24" s="33" t="n">
        <v>3.9</v>
      </c>
      <c r="J24" s="33" t="n">
        <v>-9.5</v>
      </c>
      <c r="K24" s="17" t="s">
        <v>102</v>
      </c>
      <c r="L24" s="10" t="s">
        <v>103</v>
      </c>
      <c r="M24" s="17"/>
      <c r="N24" s="10"/>
    </row>
    <row r="25" customFormat="false" ht="30" hidden="false" customHeight="true" outlineLevel="0" collapsed="false">
      <c r="B25" s="20" t="n">
        <v>1</v>
      </c>
      <c r="C25" s="5"/>
      <c r="D25" s="9"/>
      <c r="E25" s="9"/>
      <c r="F25" s="9"/>
      <c r="G25" s="31" t="str">
        <f aca="false">IF(OR(D25="",E25&lt;=0),"",ROUND(20*LOG10(E25),1))</f>
        <v/>
      </c>
      <c r="H25" s="30" t="str">
        <f aca="false">IF(G25="","",IF(INDEX($H$14:$H$19,D25*1)="","",ROUND(INDEX($H$14:$H$19,D25*1)-20*LOG10(E25),1)))</f>
        <v/>
      </c>
      <c r="I25" s="26" t="str">
        <f aca="false">IF(H25="","",ROUND(H25-($K$4+$K$5),1))</f>
        <v/>
      </c>
      <c r="J25" s="26" t="str">
        <f aca="false">IF(G25="","",IF(INDEX($G$14:$G$19,D25*1)&lt;=0,"",ROUND(-20*LOG10(E25/INDEX($G$14:$G$19,D25*1)),1)))</f>
        <v/>
      </c>
      <c r="K25" s="24" t="str">
        <f aca="false">IF(G25="","",IF(H25="","Incompleto",IF(I25&lt;0,"Falta nível",IF(J25="","OK",IF(J25&lt;-$K$7,"Desigual","OK")))))</f>
        <v/>
      </c>
      <c r="L25" s="25" t="str">
        <f aca="false">IF(K25="","",IF(K25="Incompleto","Preencha os dados da caixa na lista acima",IF(K25="Falta nível","Faltam "&amp;ROUND(ABS(I25),0)&amp;" dB: aproxime a caixa, use caixa de delay ou um sistema maior",IF(K25="Desigual","Frente bem mais forte: suba e incline a caixa, ou divida a zona com outra caixa","Manter"))))</f>
        <v/>
      </c>
      <c r="M25" s="22" t="str">
        <f aca="false">IF(F25&gt;0,ROUND(F25/$K$8*1000+$K$9,0),"")</f>
        <v/>
      </c>
      <c r="N25" s="5"/>
    </row>
    <row r="26" customFormat="false" ht="30" hidden="false" customHeight="true" outlineLevel="0" collapsed="false">
      <c r="B26" s="20" t="n">
        <v>2</v>
      </c>
      <c r="C26" s="5"/>
      <c r="D26" s="9"/>
      <c r="E26" s="9"/>
      <c r="F26" s="9"/>
      <c r="G26" s="31" t="str">
        <f aca="false">IF(OR(D26="",E26&lt;=0),"",ROUND(20*LOG10(E26),1))</f>
        <v/>
      </c>
      <c r="H26" s="30" t="str">
        <f aca="false">IF(G26="","",IF(INDEX($H$14:$H$19,D26*1)="","",ROUND(INDEX($H$14:$H$19,D26*1)-20*LOG10(E26),1)))</f>
        <v/>
      </c>
      <c r="I26" s="26" t="str">
        <f aca="false">IF(H26="","",ROUND(H26-($K$4+$K$5),1))</f>
        <v/>
      </c>
      <c r="J26" s="26" t="str">
        <f aca="false">IF(G26="","",IF(INDEX($G$14:$G$19,D26*1)&lt;=0,"",ROUND(-20*LOG10(E26/INDEX($G$14:$G$19,D26*1)),1)))</f>
        <v/>
      </c>
      <c r="K26" s="24" t="str">
        <f aca="false">IF(G26="","",IF(H26="","Incompleto",IF(I26&lt;0,"Falta nível",IF(J26="","OK",IF(J26&lt;-$K$7,"Desigual","OK")))))</f>
        <v/>
      </c>
      <c r="L26" s="25" t="str">
        <f aca="false">IF(K26="","",IF(K26="Incompleto","Preencha os dados da caixa na lista acima",IF(K26="Falta nível","Faltam "&amp;ROUND(ABS(I26),0)&amp;" dB: aproxime a caixa, use caixa de delay ou um sistema maior",IF(K26="Desigual","Frente bem mais forte: suba e incline a caixa, ou divida a zona com outra caixa","Manter"))))</f>
        <v/>
      </c>
      <c r="M26" s="22" t="str">
        <f aca="false">IF(F26&gt;0,ROUND(F26/$K$8*1000+$K$9,0),"")</f>
        <v/>
      </c>
      <c r="N26" s="5"/>
    </row>
    <row r="27" customFormat="false" ht="30" hidden="false" customHeight="true" outlineLevel="0" collapsed="false">
      <c r="B27" s="20" t="n">
        <v>3</v>
      </c>
      <c r="C27" s="5"/>
      <c r="D27" s="9"/>
      <c r="E27" s="9"/>
      <c r="F27" s="9"/>
      <c r="G27" s="31" t="str">
        <f aca="false">IF(OR(D27="",E27&lt;=0),"",ROUND(20*LOG10(E27),1))</f>
        <v/>
      </c>
      <c r="H27" s="30" t="str">
        <f aca="false">IF(G27="","",IF(INDEX($H$14:$H$19,D27*1)="","",ROUND(INDEX($H$14:$H$19,D27*1)-20*LOG10(E27),1)))</f>
        <v/>
      </c>
      <c r="I27" s="26" t="str">
        <f aca="false">IF(H27="","",ROUND(H27-($K$4+$K$5),1))</f>
        <v/>
      </c>
      <c r="J27" s="26" t="str">
        <f aca="false">IF(G27="","",IF(INDEX($G$14:$G$19,D27*1)&lt;=0,"",ROUND(-20*LOG10(E27/INDEX($G$14:$G$19,D27*1)),1)))</f>
        <v/>
      </c>
      <c r="K27" s="24" t="str">
        <f aca="false">IF(G27="","",IF(H27="","Incompleto",IF(I27&lt;0,"Falta nível",IF(J27="","OK",IF(J27&lt;-$K$7,"Desigual","OK")))))</f>
        <v/>
      </c>
      <c r="L27" s="25" t="str">
        <f aca="false">IF(K27="","",IF(K27="Incompleto","Preencha os dados da caixa na lista acima",IF(K27="Falta nível","Faltam "&amp;ROUND(ABS(I27),0)&amp;" dB: aproxime a caixa, use caixa de delay ou um sistema maior",IF(K27="Desigual","Frente bem mais forte: suba e incline a caixa, ou divida a zona com outra caixa","Manter"))))</f>
        <v/>
      </c>
      <c r="M27" s="22" t="str">
        <f aca="false">IF(F27&gt;0,ROUND(F27/$K$8*1000+$K$9,0),"")</f>
        <v/>
      </c>
      <c r="N27" s="5"/>
    </row>
    <row r="28" customFormat="false" ht="30" hidden="false" customHeight="true" outlineLevel="0" collapsed="false">
      <c r="B28" s="20" t="n">
        <v>4</v>
      </c>
      <c r="C28" s="5"/>
      <c r="D28" s="9"/>
      <c r="E28" s="9"/>
      <c r="F28" s="9"/>
      <c r="G28" s="31" t="str">
        <f aca="false">IF(OR(D28="",E28&lt;=0),"",ROUND(20*LOG10(E28),1))</f>
        <v/>
      </c>
      <c r="H28" s="30" t="str">
        <f aca="false">IF(G28="","",IF(INDEX($H$14:$H$19,D28*1)="","",ROUND(INDEX($H$14:$H$19,D28*1)-20*LOG10(E28),1)))</f>
        <v/>
      </c>
      <c r="I28" s="26" t="str">
        <f aca="false">IF(H28="","",ROUND(H28-($K$4+$K$5),1))</f>
        <v/>
      </c>
      <c r="J28" s="26" t="str">
        <f aca="false">IF(G28="","",IF(INDEX($G$14:$G$19,D28*1)&lt;=0,"",ROUND(-20*LOG10(E28/INDEX($G$14:$G$19,D28*1)),1)))</f>
        <v/>
      </c>
      <c r="K28" s="24" t="str">
        <f aca="false">IF(G28="","",IF(H28="","Incompleto",IF(I28&lt;0,"Falta nível",IF(J28="","OK",IF(J28&lt;-$K$7,"Desigual","OK")))))</f>
        <v/>
      </c>
      <c r="L28" s="25" t="str">
        <f aca="false">IF(K28="","",IF(K28="Incompleto","Preencha os dados da caixa na lista acima",IF(K28="Falta nível","Faltam "&amp;ROUND(ABS(I28),0)&amp;" dB: aproxime a caixa, use caixa de delay ou um sistema maior",IF(K28="Desigual","Frente bem mais forte: suba e incline a caixa, ou divida a zona com outra caixa","Manter"))))</f>
        <v/>
      </c>
      <c r="M28" s="22" t="str">
        <f aca="false">IF(F28&gt;0,ROUND(F28/$K$8*1000+$K$9,0),"")</f>
        <v/>
      </c>
      <c r="N28" s="5"/>
    </row>
    <row r="29" customFormat="false" ht="30" hidden="false" customHeight="true" outlineLevel="0" collapsed="false">
      <c r="B29" s="20" t="n">
        <v>5</v>
      </c>
      <c r="C29" s="5"/>
      <c r="D29" s="9"/>
      <c r="E29" s="9"/>
      <c r="F29" s="9"/>
      <c r="G29" s="31" t="str">
        <f aca="false">IF(OR(D29="",E29&lt;=0),"",ROUND(20*LOG10(E29),1))</f>
        <v/>
      </c>
      <c r="H29" s="30" t="str">
        <f aca="false">IF(G29="","",IF(INDEX($H$14:$H$19,D29*1)="","",ROUND(INDEX($H$14:$H$19,D29*1)-20*LOG10(E29),1)))</f>
        <v/>
      </c>
      <c r="I29" s="26" t="str">
        <f aca="false">IF(H29="","",ROUND(H29-($K$4+$K$5),1))</f>
        <v/>
      </c>
      <c r="J29" s="26" t="str">
        <f aca="false">IF(G29="","",IF(INDEX($G$14:$G$19,D29*1)&lt;=0,"",ROUND(-20*LOG10(E29/INDEX($G$14:$G$19,D29*1)),1)))</f>
        <v/>
      </c>
      <c r="K29" s="24" t="str">
        <f aca="false">IF(G29="","",IF(H29="","Incompleto",IF(I29&lt;0,"Falta nível",IF(J29="","OK",IF(J29&lt;-$K$7,"Desigual","OK")))))</f>
        <v/>
      </c>
      <c r="L29" s="25" t="str">
        <f aca="false">IF(K29="","",IF(K29="Incompleto","Preencha os dados da caixa na lista acima",IF(K29="Falta nível","Faltam "&amp;ROUND(ABS(I29),0)&amp;" dB: aproxime a caixa, use caixa de delay ou um sistema maior",IF(K29="Desigual","Frente bem mais forte: suba e incline a caixa, ou divida a zona com outra caixa","Manter"))))</f>
        <v/>
      </c>
      <c r="M29" s="22" t="str">
        <f aca="false">IF(F29&gt;0,ROUND(F29/$K$8*1000+$K$9,0),"")</f>
        <v/>
      </c>
      <c r="N29" s="5"/>
    </row>
    <row r="30" customFormat="false" ht="30" hidden="false" customHeight="true" outlineLevel="0" collapsed="false">
      <c r="B30" s="20" t="n">
        <v>6</v>
      </c>
      <c r="C30" s="5"/>
      <c r="D30" s="9"/>
      <c r="E30" s="9"/>
      <c r="F30" s="9"/>
      <c r="G30" s="31" t="str">
        <f aca="false">IF(OR(D30="",E30&lt;=0),"",ROUND(20*LOG10(E30),1))</f>
        <v/>
      </c>
      <c r="H30" s="30" t="str">
        <f aca="false">IF(G30="","",IF(INDEX($H$14:$H$19,D30*1)="","",ROUND(INDEX($H$14:$H$19,D30*1)-20*LOG10(E30),1)))</f>
        <v/>
      </c>
      <c r="I30" s="26" t="str">
        <f aca="false">IF(H30="","",ROUND(H30-($K$4+$K$5),1))</f>
        <v/>
      </c>
      <c r="J30" s="26" t="str">
        <f aca="false">IF(G30="","",IF(INDEX($G$14:$G$19,D30*1)&lt;=0,"",ROUND(-20*LOG10(E30/INDEX($G$14:$G$19,D30*1)),1)))</f>
        <v/>
      </c>
      <c r="K30" s="24" t="str">
        <f aca="false">IF(G30="","",IF(H30="","Incompleto",IF(I30&lt;0,"Falta nível",IF(J30="","OK",IF(J30&lt;-$K$7,"Desigual","OK")))))</f>
        <v/>
      </c>
      <c r="L30" s="25" t="str">
        <f aca="false">IF(K30="","",IF(K30="Incompleto","Preencha os dados da caixa na lista acima",IF(K30="Falta nível","Faltam "&amp;ROUND(ABS(I30),0)&amp;" dB: aproxime a caixa, use caixa de delay ou um sistema maior",IF(K30="Desigual","Frente bem mais forte: suba e incline a caixa, ou divida a zona com outra caixa","Manter"))))</f>
        <v/>
      </c>
      <c r="M30" s="22" t="str">
        <f aca="false">IF(F30&gt;0,ROUND(F30/$K$8*1000+$K$9,0),"")</f>
        <v/>
      </c>
      <c r="N30" s="5"/>
    </row>
    <row r="31" customFormat="false" ht="30" hidden="false" customHeight="true" outlineLevel="0" collapsed="false">
      <c r="B31" s="20" t="n">
        <v>7</v>
      </c>
      <c r="C31" s="5"/>
      <c r="D31" s="9"/>
      <c r="E31" s="9"/>
      <c r="F31" s="9"/>
      <c r="G31" s="31" t="str">
        <f aca="false">IF(OR(D31="",E31&lt;=0),"",ROUND(20*LOG10(E31),1))</f>
        <v/>
      </c>
      <c r="H31" s="30" t="str">
        <f aca="false">IF(G31="","",IF(INDEX($H$14:$H$19,D31*1)="","",ROUND(INDEX($H$14:$H$19,D31*1)-20*LOG10(E31),1)))</f>
        <v/>
      </c>
      <c r="I31" s="26" t="str">
        <f aca="false">IF(H31="","",ROUND(H31-($K$4+$K$5),1))</f>
        <v/>
      </c>
      <c r="J31" s="26" t="str">
        <f aca="false">IF(G31="","",IF(INDEX($G$14:$G$19,D31*1)&lt;=0,"",ROUND(-20*LOG10(E31/INDEX($G$14:$G$19,D31*1)),1)))</f>
        <v/>
      </c>
      <c r="K31" s="24" t="str">
        <f aca="false">IF(G31="","",IF(H31="","Incompleto",IF(I31&lt;0,"Falta nível",IF(J31="","OK",IF(J31&lt;-$K$7,"Desigual","OK")))))</f>
        <v/>
      </c>
      <c r="L31" s="25" t="str">
        <f aca="false">IF(K31="","",IF(K31="Incompleto","Preencha os dados da caixa na lista acima",IF(K31="Falta nível","Faltam "&amp;ROUND(ABS(I31),0)&amp;" dB: aproxime a caixa, use caixa de delay ou um sistema maior",IF(K31="Desigual","Frente bem mais forte: suba e incline a caixa, ou divida a zona com outra caixa","Manter"))))</f>
        <v/>
      </c>
      <c r="M31" s="22" t="str">
        <f aca="false">IF(F31&gt;0,ROUND(F31/$K$8*1000+$K$9,0),"")</f>
        <v/>
      </c>
      <c r="N31" s="5"/>
    </row>
    <row r="32" customFormat="false" ht="30" hidden="false" customHeight="true" outlineLevel="0" collapsed="false">
      <c r="B32" s="20" t="n">
        <v>8</v>
      </c>
      <c r="C32" s="5"/>
      <c r="D32" s="9"/>
      <c r="E32" s="9"/>
      <c r="F32" s="9"/>
      <c r="G32" s="31" t="str">
        <f aca="false">IF(OR(D32="",E32&lt;=0),"",ROUND(20*LOG10(E32),1))</f>
        <v/>
      </c>
      <c r="H32" s="30" t="str">
        <f aca="false">IF(G32="","",IF(INDEX($H$14:$H$19,D32*1)="","",ROUND(INDEX($H$14:$H$19,D32*1)-20*LOG10(E32),1)))</f>
        <v/>
      </c>
      <c r="I32" s="26" t="str">
        <f aca="false">IF(H32="","",ROUND(H32-($K$4+$K$5),1))</f>
        <v/>
      </c>
      <c r="J32" s="26" t="str">
        <f aca="false">IF(G32="","",IF(INDEX($G$14:$G$19,D32*1)&lt;=0,"",ROUND(-20*LOG10(E32/INDEX($G$14:$G$19,D32*1)),1)))</f>
        <v/>
      </c>
      <c r="K32" s="24" t="str">
        <f aca="false">IF(G32="","",IF(H32="","Incompleto",IF(I32&lt;0,"Falta nível",IF(J32="","OK",IF(J32&lt;-$K$7,"Desigual","OK")))))</f>
        <v/>
      </c>
      <c r="L32" s="25" t="str">
        <f aca="false">IF(K32="","",IF(K32="Incompleto","Preencha os dados da caixa na lista acima",IF(K32="Falta nível","Faltam "&amp;ROUND(ABS(I32),0)&amp;" dB: aproxime a caixa, use caixa de delay ou um sistema maior",IF(K32="Desigual","Frente bem mais forte: suba e incline a caixa, ou divida a zona com outra caixa","Manter"))))</f>
        <v/>
      </c>
      <c r="M32" s="22" t="str">
        <f aca="false">IF(F32&gt;0,ROUND(F32/$K$8*1000+$K$9,0),"")</f>
        <v/>
      </c>
      <c r="N32" s="5"/>
    </row>
    <row r="33" customFormat="false" ht="30" hidden="false" customHeight="true" outlineLevel="0" collapsed="false">
      <c r="B33" s="20" t="n">
        <v>9</v>
      </c>
      <c r="C33" s="5"/>
      <c r="D33" s="9"/>
      <c r="E33" s="9"/>
      <c r="F33" s="9"/>
      <c r="G33" s="31" t="str">
        <f aca="false">IF(OR(D33="",E33&lt;=0),"",ROUND(20*LOG10(E33),1))</f>
        <v/>
      </c>
      <c r="H33" s="30" t="str">
        <f aca="false">IF(G33="","",IF(INDEX($H$14:$H$19,D33*1)="","",ROUND(INDEX($H$14:$H$19,D33*1)-20*LOG10(E33),1)))</f>
        <v/>
      </c>
      <c r="I33" s="26" t="str">
        <f aca="false">IF(H33="","",ROUND(H33-($K$4+$K$5),1))</f>
        <v/>
      </c>
      <c r="J33" s="26" t="str">
        <f aca="false">IF(G33="","",IF(INDEX($G$14:$G$19,D33*1)&lt;=0,"",ROUND(-20*LOG10(E33/INDEX($G$14:$G$19,D33*1)),1)))</f>
        <v/>
      </c>
      <c r="K33" s="24" t="str">
        <f aca="false">IF(G33="","",IF(H33="","Incompleto",IF(I33&lt;0,"Falta nível",IF(J33="","OK",IF(J33&lt;-$K$7,"Desigual","OK")))))</f>
        <v/>
      </c>
      <c r="L33" s="25" t="str">
        <f aca="false">IF(K33="","",IF(K33="Incompleto","Preencha os dados da caixa na lista acima",IF(K33="Falta nível","Faltam "&amp;ROUND(ABS(I33),0)&amp;" dB: aproxime a caixa, use caixa de delay ou um sistema maior",IF(K33="Desigual","Frente bem mais forte: suba e incline a caixa, ou divida a zona com outra caixa","Manter"))))</f>
        <v/>
      </c>
      <c r="M33" s="22" t="str">
        <f aca="false">IF(F33&gt;0,ROUND(F33/$K$8*1000+$K$9,0),"")</f>
        <v/>
      </c>
      <c r="N33" s="5"/>
    </row>
    <row r="34" customFormat="false" ht="30" hidden="false" customHeight="true" outlineLevel="0" collapsed="false">
      <c r="B34" s="20" t="n">
        <v>10</v>
      </c>
      <c r="C34" s="5"/>
      <c r="D34" s="9"/>
      <c r="E34" s="9"/>
      <c r="F34" s="9"/>
      <c r="G34" s="31" t="str">
        <f aca="false">IF(OR(D34="",E34&lt;=0),"",ROUND(20*LOG10(E34),1))</f>
        <v/>
      </c>
      <c r="H34" s="30" t="str">
        <f aca="false">IF(G34="","",IF(INDEX($H$14:$H$19,D34*1)="","",ROUND(INDEX($H$14:$H$19,D34*1)-20*LOG10(E34),1)))</f>
        <v/>
      </c>
      <c r="I34" s="26" t="str">
        <f aca="false">IF(H34="","",ROUND(H34-($K$4+$K$5),1))</f>
        <v/>
      </c>
      <c r="J34" s="26" t="str">
        <f aca="false">IF(G34="","",IF(INDEX($G$14:$G$19,D34*1)&lt;=0,"",ROUND(-20*LOG10(E34/INDEX($G$14:$G$19,D34*1)),1)))</f>
        <v/>
      </c>
      <c r="K34" s="24" t="str">
        <f aca="false">IF(G34="","",IF(H34="","Incompleto",IF(I34&lt;0,"Falta nível",IF(J34="","OK",IF(J34&lt;-$K$7,"Desigual","OK")))))</f>
        <v/>
      </c>
      <c r="L34" s="25" t="str">
        <f aca="false">IF(K34="","",IF(K34="Incompleto","Preencha os dados da caixa na lista acima",IF(K34="Falta nível","Faltam "&amp;ROUND(ABS(I34),0)&amp;" dB: aproxime a caixa, use caixa de delay ou um sistema maior",IF(K34="Desigual","Frente bem mais forte: suba e incline a caixa, ou divida a zona com outra caixa","Manter"))))</f>
        <v/>
      </c>
      <c r="M34" s="22" t="str">
        <f aca="false">IF(F34&gt;0,ROUND(F34/$K$8*1000+$K$9,0),"")</f>
        <v/>
      </c>
      <c r="N34" s="5"/>
    </row>
    <row r="35" customFormat="false" ht="30" hidden="false" customHeight="true" outlineLevel="0" collapsed="false">
      <c r="B35" s="20" t="n">
        <v>11</v>
      </c>
      <c r="C35" s="5"/>
      <c r="D35" s="9"/>
      <c r="E35" s="9"/>
      <c r="F35" s="9"/>
      <c r="G35" s="31" t="str">
        <f aca="false">IF(OR(D35="",E35&lt;=0),"",ROUND(20*LOG10(E35),1))</f>
        <v/>
      </c>
      <c r="H35" s="30" t="str">
        <f aca="false">IF(G35="","",IF(INDEX($H$14:$H$19,D35*1)="","",ROUND(INDEX($H$14:$H$19,D35*1)-20*LOG10(E35),1)))</f>
        <v/>
      </c>
      <c r="I35" s="26" t="str">
        <f aca="false">IF(H35="","",ROUND(H35-($K$4+$K$5),1))</f>
        <v/>
      </c>
      <c r="J35" s="26" t="str">
        <f aca="false">IF(G35="","",IF(INDEX($G$14:$G$19,D35*1)&lt;=0,"",ROUND(-20*LOG10(E35/INDEX($G$14:$G$19,D35*1)),1)))</f>
        <v/>
      </c>
      <c r="K35" s="24" t="str">
        <f aca="false">IF(G35="","",IF(H35="","Incompleto",IF(I35&lt;0,"Falta nível",IF(J35="","OK",IF(J35&lt;-$K$7,"Desigual","OK")))))</f>
        <v/>
      </c>
      <c r="L35" s="25" t="str">
        <f aca="false">IF(K35="","",IF(K35="Incompleto","Preencha os dados da caixa na lista acima",IF(K35="Falta nível","Faltam "&amp;ROUND(ABS(I35),0)&amp;" dB: aproxime a caixa, use caixa de delay ou um sistema maior",IF(K35="Desigual","Frente bem mais forte: suba e incline a caixa, ou divida a zona com outra caixa","Manter"))))</f>
        <v/>
      </c>
      <c r="M35" s="22" t="str">
        <f aca="false">IF(F35&gt;0,ROUND(F35/$K$8*1000+$K$9,0),"")</f>
        <v/>
      </c>
      <c r="N35" s="5"/>
    </row>
    <row r="36" customFormat="false" ht="30" hidden="false" customHeight="true" outlineLevel="0" collapsed="false">
      <c r="B36" s="20" t="n">
        <v>12</v>
      </c>
      <c r="C36" s="5"/>
      <c r="D36" s="9"/>
      <c r="E36" s="9"/>
      <c r="F36" s="9"/>
      <c r="G36" s="31" t="str">
        <f aca="false">IF(OR(D36="",E36&lt;=0),"",ROUND(20*LOG10(E36),1))</f>
        <v/>
      </c>
      <c r="H36" s="30" t="str">
        <f aca="false">IF(G36="","",IF(INDEX($H$14:$H$19,D36*1)="","",ROUND(INDEX($H$14:$H$19,D36*1)-20*LOG10(E36),1)))</f>
        <v/>
      </c>
      <c r="I36" s="26" t="str">
        <f aca="false">IF(H36="","",ROUND(H36-($K$4+$K$5),1))</f>
        <v/>
      </c>
      <c r="J36" s="26" t="str">
        <f aca="false">IF(G36="","",IF(INDEX($G$14:$G$19,D36*1)&lt;=0,"",ROUND(-20*LOG10(E36/INDEX($G$14:$G$19,D36*1)),1)))</f>
        <v/>
      </c>
      <c r="K36" s="24" t="str">
        <f aca="false">IF(G36="","",IF(H36="","Incompleto",IF(I36&lt;0,"Falta nível",IF(J36="","OK",IF(J36&lt;-$K$7,"Desigual","OK")))))</f>
        <v/>
      </c>
      <c r="L36" s="25" t="str">
        <f aca="false">IF(K36="","",IF(K36="Incompleto","Preencha os dados da caixa na lista acima",IF(K36="Falta nível","Faltam "&amp;ROUND(ABS(I36),0)&amp;" dB: aproxime a caixa, use caixa de delay ou um sistema maior",IF(K36="Desigual","Frente bem mais forte: suba e incline a caixa, ou divida a zona com outra caixa","Manter"))))</f>
        <v/>
      </c>
      <c r="M36" s="22" t="str">
        <f aca="false">IF(F36&gt;0,ROUND(F36/$K$8*1000+$K$9,0),"")</f>
        <v/>
      </c>
      <c r="N36" s="5"/>
    </row>
    <row r="38" customFormat="false" ht="21.75" hidden="false" customHeight="true" outlineLevel="0" collapsed="false">
      <c r="B38" s="12" t="s">
        <v>104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customFormat="false" ht="19.5" hidden="false" customHeight="true" outlineLevel="0" collapsed="false">
      <c r="B39" s="27" t="s">
        <v>175</v>
      </c>
      <c r="C39" s="27"/>
      <c r="D39" s="27"/>
      <c r="E39" s="8" t="n">
        <f aca="false">COUNT(E25:E36)</f>
        <v>0</v>
      </c>
    </row>
    <row r="40" customFormat="false" ht="19.5" hidden="false" customHeight="true" outlineLevel="0" collapsed="false">
      <c r="B40" s="27" t="s">
        <v>176</v>
      </c>
      <c r="C40" s="27"/>
      <c r="D40" s="27"/>
      <c r="E40" s="8" t="n">
        <f aca="false">COUNTIF(K25:K36,"OK")</f>
        <v>0</v>
      </c>
    </row>
    <row r="41" customFormat="false" ht="19.5" hidden="false" customHeight="true" outlineLevel="0" collapsed="false">
      <c r="B41" s="27" t="s">
        <v>177</v>
      </c>
      <c r="C41" s="27"/>
      <c r="D41" s="27"/>
      <c r="E41" s="8" t="n">
        <f aca="false">COUNTIF(K25:K36,"Falta nível")</f>
        <v>0</v>
      </c>
    </row>
    <row r="42" customFormat="false" ht="19.5" hidden="false" customHeight="true" outlineLevel="0" collapsed="false">
      <c r="B42" s="27" t="s">
        <v>178</v>
      </c>
      <c r="C42" s="27"/>
      <c r="D42" s="27"/>
      <c r="E42" s="8" t="n">
        <f aca="false">COUNTIF(K25:K36,"Desigual")</f>
        <v>0</v>
      </c>
    </row>
    <row r="43" customFormat="false" ht="19.5" hidden="false" customHeight="true" outlineLevel="0" collapsed="false">
      <c r="B43" s="27" t="s">
        <v>179</v>
      </c>
      <c r="C43" s="27"/>
      <c r="D43" s="27"/>
      <c r="E43" s="30" t="str">
        <f aca="false">IF(COUNT(H25:H36)=0,"",MIN(H25:H36))</f>
        <v/>
      </c>
    </row>
    <row r="44" customFormat="false" ht="19.5" hidden="false" customHeight="true" outlineLevel="0" collapsed="false">
      <c r="B44" s="27" t="s">
        <v>180</v>
      </c>
      <c r="C44" s="27"/>
      <c r="D44" s="27"/>
      <c r="E44" s="30" t="n">
        <f aca="false">IF(COUNT($K$4,$K$5)&lt;2,"",$K$4+$K$5)</f>
        <v>100</v>
      </c>
    </row>
    <row r="45" customFormat="false" ht="21.75" hidden="false" customHeight="true" outlineLevel="0" collapsed="false">
      <c r="B45" s="27" t="s">
        <v>110</v>
      </c>
      <c r="C45" s="27"/>
      <c r="D45" s="27"/>
      <c r="E45" s="28" t="str">
        <f aca="false">IF(COUNT($K$4:$K$9)&lt;6,"Informe os seis valores de referência",IF(E39=0,"Registre as zonas da plateia",IF(COUNTIF(K25:K36,"Incompleto")&gt;0,"Há zona sem os dados da caixa",IF(E41&gt;0,"Há zona com falta de nível: o sistema não alcança o alvo",IF(E42&gt;0,"Há zona com nível desigual: reveja a posição das caixas","OK")))))</f>
        <v>Registre as zonas da plateia</v>
      </c>
      <c r="F45" s="28"/>
      <c r="G45" s="28"/>
      <c r="H45" s="28"/>
      <c r="I45" s="28"/>
      <c r="J45" s="28"/>
      <c r="K45" s="28"/>
      <c r="L45" s="28"/>
    </row>
    <row r="46" customFormat="false" ht="15" hidden="false" customHeight="true" outlineLevel="0" collapsed="false">
      <c r="B46" s="10" t="s">
        <v>181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</sheetData>
  <mergeCells count="51">
    <mergeCell ref="B1:N1"/>
    <mergeCell ref="B2:N2"/>
    <mergeCell ref="B4:C4"/>
    <mergeCell ref="D4:F4"/>
    <mergeCell ref="H4:J4"/>
    <mergeCell ref="L4:N4"/>
    <mergeCell ref="B5:C5"/>
    <mergeCell ref="D5:F5"/>
    <mergeCell ref="H5:J5"/>
    <mergeCell ref="L5:N5"/>
    <mergeCell ref="B6:C6"/>
    <mergeCell ref="D6:F6"/>
    <mergeCell ref="H6:J6"/>
    <mergeCell ref="L6:N6"/>
    <mergeCell ref="B7:C7"/>
    <mergeCell ref="D7:F7"/>
    <mergeCell ref="H7:J7"/>
    <mergeCell ref="L7:N7"/>
    <mergeCell ref="H8:J8"/>
    <mergeCell ref="L8:N8"/>
    <mergeCell ref="B9:F9"/>
    <mergeCell ref="H9:J9"/>
    <mergeCell ref="L9:N9"/>
    <mergeCell ref="B11:N11"/>
    <mergeCell ref="J12:K12"/>
    <mergeCell ref="L12:N12"/>
    <mergeCell ref="J13:K13"/>
    <mergeCell ref="L13:N13"/>
    <mergeCell ref="J14:K14"/>
    <mergeCell ref="L14:N14"/>
    <mergeCell ref="J15:K15"/>
    <mergeCell ref="L15:N15"/>
    <mergeCell ref="J16:K16"/>
    <mergeCell ref="L16:N16"/>
    <mergeCell ref="J17:K17"/>
    <mergeCell ref="L17:N17"/>
    <mergeCell ref="J18:K18"/>
    <mergeCell ref="L18:N18"/>
    <mergeCell ref="J19:K19"/>
    <mergeCell ref="L19:N19"/>
    <mergeCell ref="B21:N21"/>
    <mergeCell ref="B38:N38"/>
    <mergeCell ref="B39:D39"/>
    <mergeCell ref="B40:D40"/>
    <mergeCell ref="B41:D41"/>
    <mergeCell ref="B42:D42"/>
    <mergeCell ref="B43:D43"/>
    <mergeCell ref="B44:D44"/>
    <mergeCell ref="B45:D45"/>
    <mergeCell ref="E45:L45"/>
    <mergeCell ref="B46:N46"/>
  </mergeCells>
  <conditionalFormatting sqref="K25:K3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"Falta nível"</formula>
    </cfRule>
    <cfRule type="cellIs" priority="4" operator="equal" aboveAverage="0" equalAverage="0" bottom="0" percent="0" rank="0" text="" dxfId="2">
      <formula>"Desigual"</formula>
    </cfRule>
    <cfRule type="cellIs" priority="5" operator="equal" aboveAverage="0" equalAverage="0" bottom="0" percent="0" rank="0" text="" dxfId="2">
      <formula>"Incompleto"</formula>
    </cfRule>
  </conditionalFormatting>
  <conditionalFormatting sqref="E45:L45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2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G19" type="decimal">
      <formula1>-1000000000</formula1>
      <formula2>1000000000</formula2>
    </dataValidation>
    <dataValidation allowBlank="true" error="Escolha uma das opções da lista." errorStyle="stop" errorTitle="Valor inválido" operator="between" prompt="Número da caixa na lista Caixas do sistema." promptTitle="Opções" showDropDown="false" showErrorMessage="true" showInputMessage="true" sqref="D25:D36" type="list">
      <formula1>"1,2,3,4,5,6"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5:F3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8"/>
    <col collapsed="false" customWidth="true" hidden="false" outlineLevel="0" max="5" min="5" style="0" width="6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182</v>
      </c>
      <c r="C1" s="1"/>
      <c r="D1" s="1"/>
      <c r="E1" s="1"/>
    </row>
    <row r="2" customFormat="false" ht="19.5" hidden="false" customHeight="true" outlineLevel="0" collapsed="false">
      <c r="B2" s="2" t="s">
        <v>183</v>
      </c>
      <c r="C2" s="2"/>
      <c r="D2" s="2"/>
      <c r="E2" s="2"/>
    </row>
    <row r="4" customFormat="false" ht="21.75" hidden="false" customHeight="true" outlineLevel="0" collapsed="false">
      <c r="B4" s="12" t="s">
        <v>184</v>
      </c>
      <c r="C4" s="12"/>
      <c r="D4" s="12"/>
      <c r="E4" s="12"/>
    </row>
    <row r="5" customFormat="false" ht="21.75" hidden="false" customHeight="true" outlineLevel="0" collapsed="false">
      <c r="B5" s="8" t="s">
        <v>185</v>
      </c>
      <c r="C5" s="8" t="s">
        <v>186</v>
      </c>
      <c r="D5" s="8" t="s">
        <v>187</v>
      </c>
      <c r="E5" s="8" t="s">
        <v>188</v>
      </c>
    </row>
    <row r="6" customFormat="false" ht="31.5" hidden="false" customHeight="true" outlineLevel="0" collapsed="false">
      <c r="B6" s="34" t="s">
        <v>189</v>
      </c>
      <c r="C6" s="35" t="s">
        <v>190</v>
      </c>
      <c r="D6" s="35" t="s">
        <v>191</v>
      </c>
      <c r="E6" s="7" t="s">
        <v>192</v>
      </c>
    </row>
    <row r="7" customFormat="false" ht="31.5" hidden="false" customHeight="true" outlineLevel="0" collapsed="false">
      <c r="B7" s="34" t="s">
        <v>193</v>
      </c>
      <c r="C7" s="35" t="s">
        <v>194</v>
      </c>
      <c r="D7" s="35" t="s">
        <v>195</v>
      </c>
      <c r="E7" s="7" t="s">
        <v>196</v>
      </c>
    </row>
    <row r="8" customFormat="false" ht="31.5" hidden="false" customHeight="true" outlineLevel="0" collapsed="false">
      <c r="B8" s="34" t="s">
        <v>197</v>
      </c>
      <c r="C8" s="35" t="s">
        <v>198</v>
      </c>
      <c r="D8" s="35" t="s">
        <v>199</v>
      </c>
      <c r="E8" s="7" t="s">
        <v>200</v>
      </c>
    </row>
    <row r="9" customFormat="false" ht="31.5" hidden="false" customHeight="true" outlineLevel="0" collapsed="false">
      <c r="B9" s="34" t="s">
        <v>201</v>
      </c>
      <c r="C9" s="35" t="s">
        <v>202</v>
      </c>
      <c r="D9" s="35" t="s">
        <v>203</v>
      </c>
      <c r="E9" s="7" t="s">
        <v>204</v>
      </c>
    </row>
    <row r="11" customFormat="false" ht="21.75" hidden="false" customHeight="true" outlineLevel="0" collapsed="false">
      <c r="B11" s="12" t="s">
        <v>205</v>
      </c>
      <c r="C11" s="12"/>
      <c r="D11" s="12"/>
      <c r="E11" s="12"/>
    </row>
    <row r="12" customFormat="false" ht="21.75" hidden="false" customHeight="true" outlineLevel="0" collapsed="false">
      <c r="B12" s="8" t="s">
        <v>206</v>
      </c>
      <c r="C12" s="8" t="s">
        <v>83</v>
      </c>
      <c r="D12" s="8" t="s">
        <v>207</v>
      </c>
      <c r="E12" s="8" t="s">
        <v>87</v>
      </c>
    </row>
    <row r="13" customFormat="false" ht="31.5" hidden="false" customHeight="true" outlineLevel="0" collapsed="false">
      <c r="B13" s="34" t="s">
        <v>208</v>
      </c>
      <c r="C13" s="35" t="s">
        <v>209</v>
      </c>
      <c r="D13" s="35" t="s">
        <v>210</v>
      </c>
      <c r="E13" s="7" t="s">
        <v>211</v>
      </c>
    </row>
    <row r="14" customFormat="false" ht="31.5" hidden="false" customHeight="true" outlineLevel="0" collapsed="false">
      <c r="B14" s="34" t="s">
        <v>212</v>
      </c>
      <c r="C14" s="35" t="s">
        <v>213</v>
      </c>
      <c r="D14" s="35" t="s">
        <v>214</v>
      </c>
      <c r="E14" s="7" t="s">
        <v>215</v>
      </c>
    </row>
    <row r="15" customFormat="false" ht="31.5" hidden="false" customHeight="true" outlineLevel="0" collapsed="false">
      <c r="B15" s="34" t="s">
        <v>216</v>
      </c>
      <c r="C15" s="35" t="s">
        <v>217</v>
      </c>
      <c r="D15" s="35" t="s">
        <v>218</v>
      </c>
      <c r="E15" s="7" t="s">
        <v>219</v>
      </c>
    </row>
    <row r="16" customFormat="false" ht="31.5" hidden="false" customHeight="true" outlineLevel="0" collapsed="false">
      <c r="B16" s="34" t="s">
        <v>220</v>
      </c>
      <c r="C16" s="35" t="s">
        <v>221</v>
      </c>
      <c r="D16" s="35" t="s">
        <v>218</v>
      </c>
      <c r="E16" s="7" t="s">
        <v>222</v>
      </c>
    </row>
    <row r="17" customFormat="false" ht="31.5" hidden="false" customHeight="true" outlineLevel="0" collapsed="false">
      <c r="B17" s="34" t="s">
        <v>223</v>
      </c>
      <c r="C17" s="35" t="s">
        <v>213</v>
      </c>
      <c r="D17" s="35" t="s">
        <v>214</v>
      </c>
      <c r="E17" s="7" t="s">
        <v>224</v>
      </c>
    </row>
    <row r="18" customFormat="false" ht="31.5" hidden="false" customHeight="true" outlineLevel="0" collapsed="false">
      <c r="B18" s="34" t="s">
        <v>225</v>
      </c>
      <c r="C18" s="35" t="s">
        <v>221</v>
      </c>
      <c r="D18" s="35" t="s">
        <v>218</v>
      </c>
      <c r="E18" s="7" t="s">
        <v>222</v>
      </c>
    </row>
    <row r="19" customFormat="false" ht="31.5" hidden="false" customHeight="true" outlineLevel="0" collapsed="false">
      <c r="B19" s="34" t="s">
        <v>226</v>
      </c>
      <c r="C19" s="35" t="s">
        <v>217</v>
      </c>
      <c r="D19" s="35" t="s">
        <v>218</v>
      </c>
      <c r="E19" s="7" t="s">
        <v>227</v>
      </c>
    </row>
    <row r="20" customFormat="false" ht="31.5" hidden="false" customHeight="true" outlineLevel="0" collapsed="false">
      <c r="B20" s="34" t="s">
        <v>228</v>
      </c>
      <c r="C20" s="35" t="s">
        <v>203</v>
      </c>
      <c r="D20" s="35" t="s">
        <v>229</v>
      </c>
      <c r="E20" s="7" t="s">
        <v>230</v>
      </c>
    </row>
    <row r="22" customFormat="false" ht="21.75" hidden="false" customHeight="true" outlineLevel="0" collapsed="false">
      <c r="B22" s="12" t="s">
        <v>231</v>
      </c>
      <c r="C22" s="12"/>
      <c r="D22" s="12"/>
      <c r="E22" s="12"/>
    </row>
    <row r="23" customFormat="false" ht="21.75" hidden="false" customHeight="true" outlineLevel="0" collapsed="false">
      <c r="B23" s="8" t="s">
        <v>232</v>
      </c>
      <c r="C23" s="8" t="s">
        <v>233</v>
      </c>
      <c r="D23" s="8" t="s">
        <v>187</v>
      </c>
      <c r="E23" s="8" t="s">
        <v>234</v>
      </c>
    </row>
    <row r="24" customFormat="false" ht="31.5" hidden="false" customHeight="true" outlineLevel="0" collapsed="false">
      <c r="B24" s="34" t="s">
        <v>235</v>
      </c>
      <c r="C24" s="35" t="s">
        <v>236</v>
      </c>
      <c r="D24" s="35" t="s">
        <v>237</v>
      </c>
      <c r="E24" s="7" t="s">
        <v>238</v>
      </c>
    </row>
    <row r="25" customFormat="false" ht="31.5" hidden="false" customHeight="true" outlineLevel="0" collapsed="false">
      <c r="B25" s="34" t="s">
        <v>239</v>
      </c>
      <c r="C25" s="35" t="s">
        <v>240</v>
      </c>
      <c r="D25" s="35" t="s">
        <v>241</v>
      </c>
      <c r="E25" s="7" t="s">
        <v>242</v>
      </c>
    </row>
    <row r="26" customFormat="false" ht="31.5" hidden="false" customHeight="true" outlineLevel="0" collapsed="false">
      <c r="B26" s="34" t="s">
        <v>243</v>
      </c>
      <c r="C26" s="35" t="s">
        <v>244</v>
      </c>
      <c r="D26" s="35" t="s">
        <v>245</v>
      </c>
      <c r="E26" s="7" t="s">
        <v>246</v>
      </c>
    </row>
    <row r="27" customFormat="false" ht="31.5" hidden="false" customHeight="true" outlineLevel="0" collapsed="false">
      <c r="B27" s="34" t="s">
        <v>247</v>
      </c>
      <c r="C27" s="35" t="s">
        <v>248</v>
      </c>
      <c r="D27" s="35" t="s">
        <v>249</v>
      </c>
      <c r="E27" s="7" t="s">
        <v>250</v>
      </c>
    </row>
    <row r="28" customFormat="false" ht="31.5" hidden="false" customHeight="true" outlineLevel="0" collapsed="false">
      <c r="B28" s="34" t="s">
        <v>251</v>
      </c>
      <c r="C28" s="35" t="s">
        <v>252</v>
      </c>
      <c r="D28" s="35" t="s">
        <v>253</v>
      </c>
      <c r="E28" s="7" t="s">
        <v>254</v>
      </c>
    </row>
    <row r="29" customFormat="false" ht="31.5" hidden="false" customHeight="true" outlineLevel="0" collapsed="false">
      <c r="B29" s="34" t="s">
        <v>255</v>
      </c>
      <c r="C29" s="35" t="s">
        <v>256</v>
      </c>
      <c r="D29" s="35" t="s">
        <v>257</v>
      </c>
      <c r="E29" s="7" t="s">
        <v>258</v>
      </c>
    </row>
    <row r="31" customFormat="false" ht="21.75" hidden="false" customHeight="true" outlineLevel="0" collapsed="false">
      <c r="B31" s="12" t="s">
        <v>259</v>
      </c>
      <c r="C31" s="12"/>
      <c r="D31" s="12"/>
      <c r="E31" s="12"/>
    </row>
    <row r="32" customFormat="false" ht="21.75" hidden="false" customHeight="true" outlineLevel="0" collapsed="false">
      <c r="B32" s="8" t="s">
        <v>260</v>
      </c>
      <c r="C32" s="8" t="s">
        <v>261</v>
      </c>
      <c r="D32" s="8" t="s">
        <v>262</v>
      </c>
      <c r="E32" s="8" t="s">
        <v>87</v>
      </c>
    </row>
    <row r="33" customFormat="false" ht="31.5" hidden="false" customHeight="true" outlineLevel="0" collapsed="false">
      <c r="B33" s="34" t="s">
        <v>263</v>
      </c>
      <c r="C33" s="35" t="s">
        <v>264</v>
      </c>
      <c r="D33" s="35" t="s">
        <v>265</v>
      </c>
      <c r="E33" s="7" t="s">
        <v>266</v>
      </c>
    </row>
    <row r="34" customFormat="false" ht="31.5" hidden="false" customHeight="true" outlineLevel="0" collapsed="false">
      <c r="B34" s="34" t="s">
        <v>267</v>
      </c>
      <c r="C34" s="35" t="s">
        <v>265</v>
      </c>
      <c r="D34" s="35" t="s">
        <v>268</v>
      </c>
      <c r="E34" s="7" t="s">
        <v>269</v>
      </c>
    </row>
    <row r="35" customFormat="false" ht="31.5" hidden="false" customHeight="true" outlineLevel="0" collapsed="false">
      <c r="B35" s="34" t="s">
        <v>270</v>
      </c>
      <c r="C35" s="35" t="s">
        <v>268</v>
      </c>
      <c r="D35" s="35" t="s">
        <v>271</v>
      </c>
      <c r="E35" s="7" t="s">
        <v>272</v>
      </c>
    </row>
    <row r="37" customFormat="false" ht="21.75" hidden="false" customHeight="true" outlineLevel="0" collapsed="false">
      <c r="B37" s="12" t="s">
        <v>273</v>
      </c>
      <c r="C37" s="12"/>
      <c r="D37" s="12"/>
      <c r="E37" s="12"/>
    </row>
    <row r="38" customFormat="false" ht="21.75" hidden="false" customHeight="true" outlineLevel="0" collapsed="false">
      <c r="B38" s="8" t="s">
        <v>274</v>
      </c>
      <c r="C38" s="8" t="s">
        <v>275</v>
      </c>
      <c r="D38" s="8" t="s">
        <v>276</v>
      </c>
      <c r="E38" s="8" t="s">
        <v>277</v>
      </c>
    </row>
    <row r="39" customFormat="false" ht="31.5" hidden="false" customHeight="true" outlineLevel="0" collapsed="false">
      <c r="B39" s="34" t="s">
        <v>278</v>
      </c>
      <c r="C39" s="35" t="s">
        <v>279</v>
      </c>
      <c r="D39" s="35" t="s">
        <v>280</v>
      </c>
      <c r="E39" s="7" t="s">
        <v>281</v>
      </c>
    </row>
    <row r="40" customFormat="false" ht="31.5" hidden="false" customHeight="true" outlineLevel="0" collapsed="false">
      <c r="B40" s="34" t="s">
        <v>282</v>
      </c>
      <c r="C40" s="35" t="s">
        <v>283</v>
      </c>
      <c r="D40" s="35" t="s">
        <v>284</v>
      </c>
      <c r="E40" s="7" t="s">
        <v>285</v>
      </c>
    </row>
    <row r="41" customFormat="false" ht="31.5" hidden="false" customHeight="true" outlineLevel="0" collapsed="false">
      <c r="B41" s="34" t="s">
        <v>286</v>
      </c>
      <c r="C41" s="35" t="s">
        <v>284</v>
      </c>
      <c r="D41" s="35" t="s">
        <v>283</v>
      </c>
      <c r="E41" s="7" t="s">
        <v>287</v>
      </c>
    </row>
    <row r="42" customFormat="false" ht="31.5" hidden="false" customHeight="true" outlineLevel="0" collapsed="false">
      <c r="B42" s="34" t="s">
        <v>288</v>
      </c>
      <c r="C42" s="35" t="s">
        <v>289</v>
      </c>
      <c r="D42" s="35" t="s">
        <v>290</v>
      </c>
      <c r="E42" s="7" t="s">
        <v>291</v>
      </c>
    </row>
    <row r="44" customFormat="false" ht="21.75" hidden="false" customHeight="true" outlineLevel="0" collapsed="false">
      <c r="B44" s="12" t="s">
        <v>292</v>
      </c>
      <c r="C44" s="12"/>
      <c r="D44" s="12"/>
      <c r="E44" s="12"/>
    </row>
    <row r="45" customFormat="false" ht="21.75" hidden="false" customHeight="true" outlineLevel="0" collapsed="false">
      <c r="B45" s="8" t="s">
        <v>293</v>
      </c>
      <c r="C45" s="8" t="s">
        <v>294</v>
      </c>
      <c r="D45" s="8" t="s">
        <v>295</v>
      </c>
      <c r="E45" s="8" t="s">
        <v>296</v>
      </c>
    </row>
    <row r="46" customFormat="false" ht="24" hidden="false" customHeight="true" outlineLevel="0" collapsed="false">
      <c r="B46" s="34" t="s">
        <v>297</v>
      </c>
      <c r="C46" s="35" t="s">
        <v>298</v>
      </c>
      <c r="D46" s="35" t="s">
        <v>299</v>
      </c>
      <c r="E46" s="7" t="s">
        <v>300</v>
      </c>
    </row>
    <row r="47" customFormat="false" ht="24" hidden="false" customHeight="true" outlineLevel="0" collapsed="false">
      <c r="B47" s="34" t="s">
        <v>301</v>
      </c>
      <c r="C47" s="35" t="s">
        <v>302</v>
      </c>
      <c r="D47" s="35" t="s">
        <v>303</v>
      </c>
      <c r="E47" s="7" t="s">
        <v>304</v>
      </c>
    </row>
    <row r="48" customFormat="false" ht="24" hidden="false" customHeight="true" outlineLevel="0" collapsed="false">
      <c r="B48" s="34" t="s">
        <v>305</v>
      </c>
      <c r="C48" s="35" t="s">
        <v>306</v>
      </c>
      <c r="D48" s="35" t="s">
        <v>203</v>
      </c>
      <c r="E48" s="7" t="s">
        <v>307</v>
      </c>
    </row>
    <row r="49" customFormat="false" ht="24" hidden="false" customHeight="true" outlineLevel="0" collapsed="false">
      <c r="B49" s="34" t="s">
        <v>308</v>
      </c>
      <c r="C49" s="35" t="s">
        <v>309</v>
      </c>
      <c r="D49" s="35" t="s">
        <v>203</v>
      </c>
      <c r="E49" s="7" t="s">
        <v>310</v>
      </c>
    </row>
    <row r="50" customFormat="false" ht="24" hidden="false" customHeight="true" outlineLevel="0" collapsed="false">
      <c r="B50" s="34" t="s">
        <v>311</v>
      </c>
      <c r="C50" s="35" t="s">
        <v>312</v>
      </c>
      <c r="D50" s="35" t="s">
        <v>313</v>
      </c>
      <c r="E50" s="7" t="s">
        <v>314</v>
      </c>
    </row>
    <row r="51" customFormat="false" ht="24" hidden="false" customHeight="true" outlineLevel="0" collapsed="false">
      <c r="B51" s="34" t="s">
        <v>315</v>
      </c>
      <c r="C51" s="35" t="s">
        <v>316</v>
      </c>
      <c r="D51" s="35" t="s">
        <v>317</v>
      </c>
      <c r="E51" s="7" t="s">
        <v>318</v>
      </c>
    </row>
    <row r="52" customFormat="false" ht="15" hidden="false" customHeight="true" outlineLevel="0" collapsed="false">
      <c r="B52" s="10" t="s">
        <v>319</v>
      </c>
      <c r="C52" s="10"/>
      <c r="D52" s="10"/>
      <c r="E52" s="10"/>
    </row>
  </sheetData>
  <mergeCells count="9">
    <mergeCell ref="B1:E1"/>
    <mergeCell ref="B2:E2"/>
    <mergeCell ref="B4:E4"/>
    <mergeCell ref="B11:E11"/>
    <mergeCell ref="B22:E22"/>
    <mergeCell ref="B31:E31"/>
    <mergeCell ref="B37:E37"/>
    <mergeCell ref="B44:E44"/>
    <mergeCell ref="B52:E5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320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321</v>
      </c>
      <c r="C2" s="2"/>
      <c r="D2" s="2"/>
      <c r="E2" s="2"/>
      <c r="F2" s="2"/>
    </row>
    <row r="4" customFormat="false" ht="21.75" hidden="false" customHeight="true" outlineLevel="0" collapsed="false">
      <c r="B4" s="13" t="s">
        <v>73</v>
      </c>
      <c r="C4" s="13" t="s">
        <v>322</v>
      </c>
      <c r="D4" s="13" t="s">
        <v>293</v>
      </c>
      <c r="E4" s="13" t="s">
        <v>85</v>
      </c>
      <c r="F4" s="13" t="s">
        <v>87</v>
      </c>
    </row>
    <row r="5" customFormat="false" ht="31.5" hidden="false" customHeight="true" outlineLevel="0" collapsed="false">
      <c r="B5" s="20" t="n">
        <v>1</v>
      </c>
      <c r="C5" s="6" t="s">
        <v>206</v>
      </c>
      <c r="D5" s="7" t="s">
        <v>323</v>
      </c>
      <c r="E5" s="9"/>
      <c r="F5" s="5"/>
    </row>
    <row r="6" customFormat="false" ht="31.5" hidden="false" customHeight="true" outlineLevel="0" collapsed="false">
      <c r="B6" s="20" t="n">
        <v>2</v>
      </c>
      <c r="C6" s="6" t="s">
        <v>206</v>
      </c>
      <c r="D6" s="7" t="s">
        <v>324</v>
      </c>
      <c r="E6" s="9"/>
      <c r="F6" s="5"/>
    </row>
    <row r="7" customFormat="false" ht="31.5" hidden="false" customHeight="true" outlineLevel="0" collapsed="false">
      <c r="B7" s="20" t="n">
        <v>3</v>
      </c>
      <c r="C7" s="6" t="s">
        <v>206</v>
      </c>
      <c r="D7" s="7" t="s">
        <v>325</v>
      </c>
      <c r="E7" s="9"/>
      <c r="F7" s="5"/>
    </row>
    <row r="8" customFormat="false" ht="31.5" hidden="false" customHeight="true" outlineLevel="0" collapsed="false">
      <c r="B8" s="20" t="n">
        <v>4</v>
      </c>
      <c r="C8" s="6" t="s">
        <v>206</v>
      </c>
      <c r="D8" s="7" t="s">
        <v>326</v>
      </c>
      <c r="E8" s="9"/>
      <c r="F8" s="5"/>
    </row>
    <row r="9" customFormat="false" ht="31.5" hidden="false" customHeight="true" outlineLevel="0" collapsed="false">
      <c r="B9" s="20" t="n">
        <v>5</v>
      </c>
      <c r="C9" s="6" t="s">
        <v>327</v>
      </c>
      <c r="D9" s="7" t="s">
        <v>328</v>
      </c>
      <c r="E9" s="9"/>
      <c r="F9" s="5"/>
    </row>
    <row r="10" customFormat="false" ht="31.5" hidden="false" customHeight="true" outlineLevel="0" collapsed="false">
      <c r="B10" s="20" t="n">
        <v>6</v>
      </c>
      <c r="C10" s="6" t="s">
        <v>327</v>
      </c>
      <c r="D10" s="7" t="s">
        <v>329</v>
      </c>
      <c r="E10" s="9"/>
      <c r="F10" s="5"/>
    </row>
    <row r="11" customFormat="false" ht="31.5" hidden="false" customHeight="true" outlineLevel="0" collapsed="false">
      <c r="B11" s="20" t="n">
        <v>7</v>
      </c>
      <c r="C11" s="6" t="s">
        <v>327</v>
      </c>
      <c r="D11" s="7" t="s">
        <v>330</v>
      </c>
      <c r="E11" s="9"/>
      <c r="F11" s="5"/>
    </row>
    <row r="12" customFormat="false" ht="31.5" hidden="false" customHeight="true" outlineLevel="0" collapsed="false">
      <c r="B12" s="20" t="n">
        <v>8</v>
      </c>
      <c r="C12" s="6" t="s">
        <v>327</v>
      </c>
      <c r="D12" s="7" t="s">
        <v>331</v>
      </c>
      <c r="E12" s="9"/>
      <c r="F12" s="5"/>
    </row>
    <row r="13" customFormat="false" ht="31.5" hidden="false" customHeight="true" outlineLevel="0" collapsed="false">
      <c r="B13" s="20" t="n">
        <v>9</v>
      </c>
      <c r="C13" s="6" t="s">
        <v>332</v>
      </c>
      <c r="D13" s="7" t="s">
        <v>333</v>
      </c>
      <c r="E13" s="9"/>
      <c r="F13" s="5"/>
    </row>
    <row r="14" customFormat="false" ht="31.5" hidden="false" customHeight="true" outlineLevel="0" collapsed="false">
      <c r="B14" s="20" t="n">
        <v>10</v>
      </c>
      <c r="C14" s="6" t="s">
        <v>332</v>
      </c>
      <c r="D14" s="7" t="s">
        <v>334</v>
      </c>
      <c r="E14" s="9"/>
      <c r="F14" s="5"/>
    </row>
    <row r="15" customFormat="false" ht="31.5" hidden="false" customHeight="true" outlineLevel="0" collapsed="false">
      <c r="B15" s="20" t="n">
        <v>11</v>
      </c>
      <c r="C15" s="6" t="s">
        <v>335</v>
      </c>
      <c r="D15" s="7" t="s">
        <v>336</v>
      </c>
      <c r="E15" s="9"/>
      <c r="F15" s="5"/>
    </row>
    <row r="16" customFormat="false" ht="31.5" hidden="false" customHeight="true" outlineLevel="0" collapsed="false">
      <c r="B16" s="20" t="n">
        <v>12</v>
      </c>
      <c r="C16" s="6" t="s">
        <v>335</v>
      </c>
      <c r="D16" s="7" t="s">
        <v>337</v>
      </c>
      <c r="E16" s="9"/>
      <c r="F16" s="5"/>
    </row>
    <row r="18" customFormat="false" ht="19.5" hidden="false" customHeight="true" outlineLevel="0" collapsed="false">
      <c r="B18" s="27" t="s">
        <v>338</v>
      </c>
      <c r="C18" s="27"/>
      <c r="D18" s="27"/>
      <c r="E18" s="8" t="n">
        <f aca="false">COUNTA(E5:E16)</f>
        <v>0</v>
      </c>
    </row>
    <row r="19" customFormat="false" ht="19.5" hidden="false" customHeight="true" outlineLevel="0" collapsed="false">
      <c r="B19" s="27" t="s">
        <v>339</v>
      </c>
      <c r="C19" s="27"/>
      <c r="D19" s="27"/>
      <c r="E19" s="36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7" t="s">
        <v>85</v>
      </c>
      <c r="C20" s="27"/>
      <c r="D20" s="27"/>
      <c r="E20" s="24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1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2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10" min="6" style="0" width="12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19"/>
    <col collapsed="false" customWidth="true" hidden="false" outlineLevel="0" max="16" min="16" style="0" width="52"/>
    <col collapsed="false" customWidth="true" hidden="false" outlineLevel="0" max="17" min="17" style="0" width="12"/>
    <col collapsed="false" customWidth="true" hidden="false" outlineLevel="0" max="18" min="18" style="0" width="28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340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B4" s="4" t="s">
        <v>62</v>
      </c>
      <c r="C4" s="4"/>
      <c r="D4" s="37" t="s">
        <v>341</v>
      </c>
      <c r="E4" s="37"/>
      <c r="F4" s="37"/>
      <c r="G4" s="37"/>
      <c r="I4" s="4" t="s">
        <v>63</v>
      </c>
      <c r="J4" s="4"/>
      <c r="K4" s="4"/>
      <c r="L4" s="4"/>
      <c r="M4" s="38" t="n">
        <v>1</v>
      </c>
      <c r="N4" s="10" t="s">
        <v>64</v>
      </c>
      <c r="O4" s="10"/>
      <c r="P4" s="10"/>
      <c r="Q4" s="10"/>
      <c r="R4" s="10"/>
    </row>
    <row r="5" customFormat="false" ht="21.75" hidden="false" customHeight="true" outlineLevel="0" collapsed="false">
      <c r="B5" s="4" t="s">
        <v>65</v>
      </c>
      <c r="C5" s="4"/>
      <c r="D5" s="37" t="s">
        <v>342</v>
      </c>
      <c r="E5" s="37"/>
      <c r="F5" s="37"/>
      <c r="G5" s="37"/>
      <c r="I5" s="4" t="s">
        <v>66</v>
      </c>
      <c r="J5" s="4"/>
      <c r="K5" s="4"/>
      <c r="L5" s="4"/>
      <c r="M5" s="38" t="n">
        <v>2</v>
      </c>
      <c r="N5" s="10" t="s">
        <v>67</v>
      </c>
      <c r="O5" s="10"/>
      <c r="P5" s="10"/>
      <c r="Q5" s="10"/>
      <c r="R5" s="10"/>
    </row>
    <row r="6" customFormat="false" ht="21.75" hidden="false" customHeight="true" outlineLevel="0" collapsed="false">
      <c r="B6" s="4" t="s">
        <v>68</v>
      </c>
      <c r="C6" s="4"/>
      <c r="D6" s="39" t="n">
        <v>46368</v>
      </c>
      <c r="E6" s="39"/>
      <c r="F6" s="39"/>
      <c r="G6" s="39"/>
      <c r="I6" s="10" t="s">
        <v>69</v>
      </c>
      <c r="J6" s="10"/>
      <c r="K6" s="10"/>
      <c r="L6" s="10"/>
      <c r="M6" s="10"/>
      <c r="N6" s="10"/>
      <c r="O6" s="10"/>
      <c r="P6" s="10"/>
      <c r="Q6" s="10"/>
      <c r="R6" s="10"/>
    </row>
    <row r="7" customFormat="false" ht="21.75" hidden="false" customHeight="true" outlineLevel="0" collapsed="false">
      <c r="B7" s="4" t="s">
        <v>70</v>
      </c>
      <c r="C7" s="4"/>
      <c r="D7" s="37" t="s">
        <v>343</v>
      </c>
      <c r="E7" s="37"/>
      <c r="F7" s="37"/>
      <c r="G7" s="37"/>
      <c r="I7" s="10" t="s">
        <v>71</v>
      </c>
      <c r="J7" s="10"/>
      <c r="K7" s="10"/>
      <c r="L7" s="10"/>
      <c r="M7" s="10"/>
      <c r="N7" s="10"/>
      <c r="O7" s="10"/>
      <c r="P7" s="10"/>
      <c r="Q7" s="10"/>
      <c r="R7" s="10"/>
    </row>
    <row r="9" customFormat="false" ht="21.75" hidden="false" customHeight="true" outlineLevel="0" collapsed="false">
      <c r="B9" s="12" t="s">
        <v>72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customFormat="false" ht="43.5" hidden="false" customHeight="true" outlineLevel="0" collapsed="false">
      <c r="B10" s="13" t="s">
        <v>73</v>
      </c>
      <c r="C10" s="13" t="s">
        <v>74</v>
      </c>
      <c r="D10" s="13" t="s">
        <v>75</v>
      </c>
      <c r="E10" s="14" t="s">
        <v>76</v>
      </c>
      <c r="F10" s="14" t="s">
        <v>77</v>
      </c>
      <c r="G10" s="14" t="s">
        <v>78</v>
      </c>
      <c r="H10" s="15" t="s">
        <v>79</v>
      </c>
      <c r="I10" s="15" t="s">
        <v>80</v>
      </c>
      <c r="J10" s="15" t="s">
        <v>81</v>
      </c>
      <c r="K10" s="15" t="s">
        <v>82</v>
      </c>
      <c r="L10" s="16" t="s">
        <v>83</v>
      </c>
      <c r="M10" s="16" t="s">
        <v>46</v>
      </c>
      <c r="N10" s="16" t="s">
        <v>84</v>
      </c>
      <c r="O10" s="16" t="s">
        <v>85</v>
      </c>
      <c r="P10" s="16" t="s">
        <v>86</v>
      </c>
      <c r="Q10" s="16" t="s">
        <v>50</v>
      </c>
      <c r="R10" s="13" t="s">
        <v>87</v>
      </c>
    </row>
    <row r="11" customFormat="false" ht="27" hidden="false" customHeight="true" outlineLevel="0" collapsed="false">
      <c r="B11" s="17"/>
      <c r="C11" s="17" t="s">
        <v>88</v>
      </c>
      <c r="D11" s="17" t="s">
        <v>89</v>
      </c>
      <c r="E11" s="17" t="s">
        <v>90</v>
      </c>
      <c r="F11" s="17" t="s">
        <v>91</v>
      </c>
      <c r="G11" s="17" t="s">
        <v>92</v>
      </c>
      <c r="H11" s="17" t="s">
        <v>93</v>
      </c>
      <c r="I11" s="17" t="s">
        <v>94</v>
      </c>
      <c r="J11" s="17" t="s">
        <v>91</v>
      </c>
      <c r="K11" s="17" t="s">
        <v>95</v>
      </c>
      <c r="L11" s="17" t="s">
        <v>91</v>
      </c>
      <c r="M11" s="17" t="s">
        <v>96</v>
      </c>
      <c r="N11" s="17" t="s">
        <v>97</v>
      </c>
      <c r="O11" s="17"/>
      <c r="P11" s="17"/>
      <c r="Q11" s="17" t="s">
        <v>98</v>
      </c>
      <c r="R11" s="17"/>
    </row>
    <row r="12" customFormat="false" ht="31.5" hidden="false" customHeight="true" outlineLevel="0" collapsed="false">
      <c r="B12" s="10" t="s">
        <v>344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customFormat="false" ht="30" hidden="false" customHeight="true" outlineLevel="0" collapsed="false">
      <c r="B13" s="20" t="n">
        <v>1</v>
      </c>
      <c r="C13" s="37" t="s">
        <v>345</v>
      </c>
      <c r="D13" s="37" t="s">
        <v>346</v>
      </c>
      <c r="E13" s="38" t="n">
        <v>3</v>
      </c>
      <c r="F13" s="38" t="n">
        <v>8</v>
      </c>
      <c r="G13" s="38" t="n">
        <v>350</v>
      </c>
      <c r="H13" s="38" t="n">
        <v>4</v>
      </c>
      <c r="I13" s="38" t="n">
        <v>700</v>
      </c>
      <c r="J13" s="38" t="n">
        <v>4</v>
      </c>
      <c r="K13" s="38" t="n">
        <v>32</v>
      </c>
      <c r="L13" s="21" t="n">
        <f aca="false">IF(OR(E13="",F13="",E13&lt;=0),"",F13/E13)</f>
        <v>2.66666666666667</v>
      </c>
      <c r="M13" s="22" t="str">
        <f aca="false">IF(OR(F13="",I13="",J13="",F13&lt;=0),"",IF(AND(H13&lt;&gt;"",L13&lt;&gt;"",L13&lt;H13-0.01),"",ROUND(I13*J13/F13,0)))</f>
        <v/>
      </c>
      <c r="N13" s="23" t="str">
        <f aca="false">IF(OR(M13="",G13="",G13&lt;=0),"",M13/G13)</f>
        <v/>
      </c>
      <c r="O13" s="24" t="str">
        <f aca="false">IF(L13="","",IF(H13="","Incompleto",IF(L13&lt;H13-0.01,"Abaixo do mínimo",IF(N13="","Incompleto",IF(N13&gt;$M$5,"Amplificador forte",IF(N13&lt;$M$4,"Amplificador fraco","OK"))))))</f>
        <v>Abaixo do mínimo</v>
      </c>
      <c r="P13" s="25" t="str">
        <f aca="false">IF(O13="","",IF(O13="Abaixo do mínimo","Tire caixas desta saída ou divida entre os canais: o amplificador pede "&amp;H13&amp;" Ω ou mais",IF(O13="Incompleto","Preencha o mínimo e a potência do amplificador e a potência da caixa",IF(O13="Amplificador forte","A caixa pode receber mais do que suporta: use limiter e não deixe o clip acender",IF(O13="Amplificador fraco","Pouca folga: se a luz de clip acender, baixe o nível na mesa","Manter")))))</f>
        <v>Tire caixas desta saída ou divida entre os canais: o amplificador pede 4 Ω ou mais</v>
      </c>
      <c r="Q13" s="26" t="n">
        <f aca="false">IF(OR(F13="",G13="",K13="",F13&lt;=0,G13&lt;=0),"",ROUND(20*LOG10((G13*F13)^0.5/0.775)-K13,1))</f>
        <v>4.7</v>
      </c>
      <c r="R13" s="37"/>
    </row>
    <row r="14" customFormat="false" ht="30" hidden="false" customHeight="true" outlineLevel="0" collapsed="false">
      <c r="B14" s="20" t="n">
        <v>2</v>
      </c>
      <c r="C14" s="37" t="s">
        <v>347</v>
      </c>
      <c r="D14" s="37" t="s">
        <v>348</v>
      </c>
      <c r="E14" s="38" t="n">
        <v>2</v>
      </c>
      <c r="F14" s="38" t="n">
        <v>8</v>
      </c>
      <c r="G14" s="38" t="n">
        <v>350</v>
      </c>
      <c r="H14" s="38" t="n">
        <v>4</v>
      </c>
      <c r="I14" s="38" t="n">
        <v>700</v>
      </c>
      <c r="J14" s="38" t="n">
        <v>4</v>
      </c>
      <c r="K14" s="38" t="n">
        <v>32</v>
      </c>
      <c r="L14" s="21" t="n">
        <f aca="false">IF(OR(E14="",F14="",E14&lt;=0),"",F14/E14)</f>
        <v>4</v>
      </c>
      <c r="M14" s="22" t="n">
        <f aca="false">IF(OR(F14="",I14="",J14="",F14&lt;=0),"",IF(AND(H14&lt;&gt;"",L14&lt;&gt;"",L14&lt;H14-0.01),"",ROUND(I14*J14/F14,0)))</f>
        <v>350</v>
      </c>
      <c r="N14" s="23" t="n">
        <f aca="false">IF(OR(M14="",G14="",G14&lt;=0),"",M14/G14)</f>
        <v>1</v>
      </c>
      <c r="O14" s="24" t="str">
        <f aca="false">IF(L14="","",IF(H14="","Incompleto",IF(L14&lt;H14-0.01,"Abaixo do mínimo",IF(N14="","Incompleto",IF(N14&gt;$M$5,"Amplificador forte",IF(N14&lt;$M$4,"Amplificador fraco","OK"))))))</f>
        <v>OK</v>
      </c>
      <c r="P14" s="25" t="str">
        <f aca="false">IF(O14="","",IF(O14="Abaixo do mínimo","Tire caixas desta saída ou divida entre os canais: o amplificador pede "&amp;H14&amp;" Ω ou mais",IF(O14="Incompleto","Preencha o mínimo e a potência do amplificador e a potência da caixa",IF(O14="Amplificador forte","A caixa pode receber mais do que suporta: use limiter e não deixe o clip acender",IF(O14="Amplificador fraco","Pouca folga: se a luz de clip acender, baixe o nível na mesa","Manter")))))</f>
        <v>Manter</v>
      </c>
      <c r="Q14" s="26" t="n">
        <f aca="false">IF(OR(F14="",G14="",K14="",F14&lt;=0,G14&lt;=0),"",ROUND(20*LOG10((G14*F14)^0.5/0.775)-K14,1))</f>
        <v>4.7</v>
      </c>
      <c r="R14" s="37"/>
    </row>
    <row r="15" customFormat="false" ht="30" hidden="false" customHeight="true" outlineLevel="0" collapsed="false">
      <c r="B15" s="20" t="n">
        <v>3</v>
      </c>
      <c r="C15" s="37" t="s">
        <v>349</v>
      </c>
      <c r="D15" s="37" t="s">
        <v>350</v>
      </c>
      <c r="E15" s="38" t="n">
        <v>1</v>
      </c>
      <c r="F15" s="38" t="n">
        <v>8</v>
      </c>
      <c r="G15" s="38" t="n">
        <v>350</v>
      </c>
      <c r="H15" s="38" t="n">
        <v>4</v>
      </c>
      <c r="I15" s="38" t="n">
        <v>450</v>
      </c>
      <c r="J15" s="38" t="n">
        <v>8</v>
      </c>
      <c r="K15" s="38" t="n">
        <v>32</v>
      </c>
      <c r="L15" s="21" t="n">
        <f aca="false">IF(OR(E15="",F15="",E15&lt;=0),"",F15/E15)</f>
        <v>8</v>
      </c>
      <c r="M15" s="22" t="n">
        <f aca="false">IF(OR(F15="",I15="",J15="",F15&lt;=0),"",IF(AND(H15&lt;&gt;"",L15&lt;&gt;"",L15&lt;H15-0.01),"",ROUND(I15*J15/F15,0)))</f>
        <v>450</v>
      </c>
      <c r="N15" s="23" t="n">
        <f aca="false">IF(OR(M15="",G15="",G15&lt;=0),"",M15/G15)</f>
        <v>1.28571428571429</v>
      </c>
      <c r="O15" s="24" t="str">
        <f aca="false">IF(L15="","",IF(H15="","Incompleto",IF(L15&lt;H15-0.01,"Abaixo do mínimo",IF(N15="","Incompleto",IF(N15&gt;$M$5,"Amplificador forte",IF(N15&lt;$M$4,"Amplificador fraco","OK"))))))</f>
        <v>OK</v>
      </c>
      <c r="P15" s="25" t="str">
        <f aca="false">IF(O15="","",IF(O15="Abaixo do mínimo","Tire caixas desta saída ou divida entre os canais: o amplificador pede "&amp;H15&amp;" Ω ou mais",IF(O15="Incompleto","Preencha o mínimo e a potência do amplificador e a potência da caixa",IF(O15="Amplificador forte","A caixa pode receber mais do que suporta: use limiter e não deixe o clip acender",IF(O15="Amplificador fraco","Pouca folga: se a luz de clip acender, baixe o nível na mesa","Manter")))))</f>
        <v>Manter</v>
      </c>
      <c r="Q15" s="26" t="n">
        <f aca="false">IF(OR(F15="",G15="",K15="",F15&lt;=0,G15&lt;=0),"",ROUND(20*LOG10((G15*F15)^0.5/0.775)-K15,1))</f>
        <v>4.7</v>
      </c>
      <c r="R15" s="37"/>
    </row>
    <row r="16" customFormat="false" ht="30" hidden="false" customHeight="true" outlineLevel="0" collapsed="false">
      <c r="B16" s="20" t="n">
        <v>4</v>
      </c>
      <c r="C16" s="37"/>
      <c r="D16" s="37"/>
      <c r="E16" s="38"/>
      <c r="F16" s="38"/>
      <c r="G16" s="38"/>
      <c r="H16" s="38"/>
      <c r="I16" s="38"/>
      <c r="J16" s="38"/>
      <c r="K16" s="38"/>
      <c r="L16" s="21" t="str">
        <f aca="false">IF(OR(E16="",F16="",E16&lt;=0),"",F16/E16)</f>
        <v/>
      </c>
      <c r="M16" s="22" t="str">
        <f aca="false">IF(OR(F16="",I16="",J16="",F16&lt;=0),"",IF(AND(H16&lt;&gt;"",L16&lt;&gt;"",L16&lt;H16-0.01),"",ROUND(I16*J16/F16,0)))</f>
        <v/>
      </c>
      <c r="N16" s="23" t="str">
        <f aca="false">IF(OR(M16="",G16="",G16&lt;=0),"",M16/G16)</f>
        <v/>
      </c>
      <c r="O16" s="24" t="str">
        <f aca="false">IF(L16="","",IF(H16="","Incompleto",IF(L16&lt;H16-0.01,"Abaixo do mínimo",IF(N16="","Incompleto",IF(N16&gt;$M$5,"Amplificador forte",IF(N16&lt;$M$4,"Amplificador fraco","OK"))))))</f>
        <v/>
      </c>
      <c r="P16" s="25" t="str">
        <f aca="false">IF(O16="","",IF(O16="Abaixo do mínimo","Tire caixas desta saída ou divida entre os canais: o amplificador pede "&amp;H16&amp;" Ω ou mais",IF(O16="Incompleto","Preencha o mínimo e a potência do amplificador e a potência da caixa",IF(O16="Amplificador forte","A caixa pode receber mais do que suporta: use limiter e não deixe o clip acender",IF(O16="Amplificador fraco","Pouca folga: se a luz de clip acender, baixe o nível na mesa","Manter")))))</f>
        <v/>
      </c>
      <c r="Q16" s="26" t="str">
        <f aca="false">IF(OR(F16="",G16="",K16="",F16&lt;=0,G16&lt;=0),"",ROUND(20*LOG10((G16*F16)^0.5/0.775)-K16,1))</f>
        <v/>
      </c>
      <c r="R16" s="37"/>
    </row>
    <row r="17" customFormat="false" ht="30" hidden="false" customHeight="true" outlineLevel="0" collapsed="false">
      <c r="B17" s="20" t="n">
        <v>5</v>
      </c>
      <c r="C17" s="37"/>
      <c r="D17" s="37"/>
      <c r="E17" s="38"/>
      <c r="F17" s="38"/>
      <c r="G17" s="38"/>
      <c r="H17" s="38"/>
      <c r="I17" s="38"/>
      <c r="J17" s="38"/>
      <c r="K17" s="38"/>
      <c r="L17" s="21" t="str">
        <f aca="false">IF(OR(E17="",F17="",E17&lt;=0),"",F17/E17)</f>
        <v/>
      </c>
      <c r="M17" s="22" t="str">
        <f aca="false">IF(OR(F17="",I17="",J17="",F17&lt;=0),"",IF(AND(H17&lt;&gt;"",L17&lt;&gt;"",L17&lt;H17-0.01),"",ROUND(I17*J17/F17,0)))</f>
        <v/>
      </c>
      <c r="N17" s="23" t="str">
        <f aca="false">IF(OR(M17="",G17="",G17&lt;=0),"",M17/G17)</f>
        <v/>
      </c>
      <c r="O17" s="24" t="str">
        <f aca="false">IF(L17="","",IF(H17="","Incompleto",IF(L17&lt;H17-0.01,"Abaixo do mínimo",IF(N17="","Incompleto",IF(N17&gt;$M$5,"Amplificador forte",IF(N17&lt;$M$4,"Amplificador fraco","OK"))))))</f>
        <v/>
      </c>
      <c r="P17" s="25" t="str">
        <f aca="false">IF(O17="","",IF(O17="Abaixo do mínimo","Tire caixas desta saída ou divida entre os canais: o amplificador pede "&amp;H17&amp;" Ω ou mais",IF(O17="Incompleto","Preencha o mínimo e a potência do amplificador e a potência da caixa",IF(O17="Amplificador forte","A caixa pode receber mais do que suporta: use limiter e não deixe o clip acender",IF(O17="Amplificador fraco","Pouca folga: se a luz de clip acender, baixe o nível na mesa","Manter")))))</f>
        <v/>
      </c>
      <c r="Q17" s="26" t="str">
        <f aca="false">IF(OR(F17="",G17="",K17="",F17&lt;=0,G17&lt;=0),"",ROUND(20*LOG10((G17*F17)^0.5/0.775)-K17,1))</f>
        <v/>
      </c>
      <c r="R17" s="37"/>
    </row>
    <row r="18" customFormat="false" ht="30" hidden="false" customHeight="true" outlineLevel="0" collapsed="false">
      <c r="B18" s="20" t="n">
        <v>6</v>
      </c>
      <c r="C18" s="37"/>
      <c r="D18" s="37"/>
      <c r="E18" s="38"/>
      <c r="F18" s="38"/>
      <c r="G18" s="38"/>
      <c r="H18" s="38"/>
      <c r="I18" s="38"/>
      <c r="J18" s="38"/>
      <c r="K18" s="38"/>
      <c r="L18" s="21" t="str">
        <f aca="false">IF(OR(E18="",F18="",E18&lt;=0),"",F18/E18)</f>
        <v/>
      </c>
      <c r="M18" s="22" t="str">
        <f aca="false">IF(OR(F18="",I18="",J18="",F18&lt;=0),"",IF(AND(H18&lt;&gt;"",L18&lt;&gt;"",L18&lt;H18-0.01),"",ROUND(I18*J18/F18,0)))</f>
        <v/>
      </c>
      <c r="N18" s="23" t="str">
        <f aca="false">IF(OR(M18="",G18="",G18&lt;=0),"",M18/G18)</f>
        <v/>
      </c>
      <c r="O18" s="24" t="str">
        <f aca="false">IF(L18="","",IF(H18="","Incompleto",IF(L18&lt;H18-0.01,"Abaixo do mínimo",IF(N18="","Incompleto",IF(N18&gt;$M$5,"Amplificador forte",IF(N18&lt;$M$4,"Amplificador fraco","OK"))))))</f>
        <v/>
      </c>
      <c r="P18" s="25" t="str">
        <f aca="false">IF(O18="","",IF(O18="Abaixo do mínimo","Tire caixas desta saída ou divida entre os canais: o amplificador pede "&amp;H18&amp;" Ω ou mais",IF(O18="Incompleto","Preencha o mínimo e a potência do amplificador e a potência da caixa",IF(O18="Amplificador forte","A caixa pode receber mais do que suporta: use limiter e não deixe o clip acender",IF(O18="Amplificador fraco","Pouca folga: se a luz de clip acender, baixe o nível na mesa","Manter")))))</f>
        <v/>
      </c>
      <c r="Q18" s="26" t="str">
        <f aca="false">IF(OR(F18="",G18="",K18="",F18&lt;=0,G18&lt;=0),"",ROUND(20*LOG10((G18*F18)^0.5/0.775)-K18,1))</f>
        <v/>
      </c>
      <c r="R18" s="37"/>
    </row>
    <row r="19" customFormat="false" ht="30" hidden="false" customHeight="true" outlineLevel="0" collapsed="false">
      <c r="B19" s="20" t="n">
        <v>7</v>
      </c>
      <c r="C19" s="37"/>
      <c r="D19" s="37"/>
      <c r="E19" s="38"/>
      <c r="F19" s="38"/>
      <c r="G19" s="38"/>
      <c r="H19" s="38"/>
      <c r="I19" s="38"/>
      <c r="J19" s="38"/>
      <c r="K19" s="38"/>
      <c r="L19" s="21" t="str">
        <f aca="false">IF(OR(E19="",F19="",E19&lt;=0),"",F19/E19)</f>
        <v/>
      </c>
      <c r="M19" s="22" t="str">
        <f aca="false">IF(OR(F19="",I19="",J19="",F19&lt;=0),"",IF(AND(H19&lt;&gt;"",L19&lt;&gt;"",L19&lt;H19-0.01),"",ROUND(I19*J19/F19,0)))</f>
        <v/>
      </c>
      <c r="N19" s="23" t="str">
        <f aca="false">IF(OR(M19="",G19="",G19&lt;=0),"",M19/G19)</f>
        <v/>
      </c>
      <c r="O19" s="24" t="str">
        <f aca="false">IF(L19="","",IF(H19="","Incompleto",IF(L19&lt;H19-0.01,"Abaixo do mínimo",IF(N19="","Incompleto",IF(N19&gt;$M$5,"Amplificador forte",IF(N19&lt;$M$4,"Amplificador fraco","OK"))))))</f>
        <v/>
      </c>
      <c r="P19" s="25" t="str">
        <f aca="false">IF(O19="","",IF(O19="Abaixo do mínimo","Tire caixas desta saída ou divida entre os canais: o amplificador pede "&amp;H19&amp;" Ω ou mais",IF(O19="Incompleto","Preencha o mínimo e a potência do amplificador e a potência da caixa",IF(O19="Amplificador forte","A caixa pode receber mais do que suporta: use limiter e não deixe o clip acender",IF(O19="Amplificador fraco","Pouca folga: se a luz de clip acender, baixe o nível na mesa","Manter")))))</f>
        <v/>
      </c>
      <c r="Q19" s="26" t="str">
        <f aca="false">IF(OR(F19="",G19="",K19="",F19&lt;=0,G19&lt;=0),"",ROUND(20*LOG10((G19*F19)^0.5/0.775)-K19,1))</f>
        <v/>
      </c>
      <c r="R19" s="37"/>
    </row>
    <row r="20" customFormat="false" ht="30" hidden="false" customHeight="true" outlineLevel="0" collapsed="false">
      <c r="B20" s="20" t="n">
        <v>8</v>
      </c>
      <c r="C20" s="37"/>
      <c r="D20" s="37"/>
      <c r="E20" s="38"/>
      <c r="F20" s="38"/>
      <c r="G20" s="38"/>
      <c r="H20" s="38"/>
      <c r="I20" s="38"/>
      <c r="J20" s="38"/>
      <c r="K20" s="38"/>
      <c r="L20" s="21" t="str">
        <f aca="false">IF(OR(E20="",F20="",E20&lt;=0),"",F20/E20)</f>
        <v/>
      </c>
      <c r="M20" s="22" t="str">
        <f aca="false">IF(OR(F20="",I20="",J20="",F20&lt;=0),"",IF(AND(H20&lt;&gt;"",L20&lt;&gt;"",L20&lt;H20-0.01),"",ROUND(I20*J20/F20,0)))</f>
        <v/>
      </c>
      <c r="N20" s="23" t="str">
        <f aca="false">IF(OR(M20="",G20="",G20&lt;=0),"",M20/G20)</f>
        <v/>
      </c>
      <c r="O20" s="24" t="str">
        <f aca="false">IF(L20="","",IF(H20="","Incompleto",IF(L20&lt;H20-0.01,"Abaixo do mínimo",IF(N20="","Incompleto",IF(N20&gt;$M$5,"Amplificador forte",IF(N20&lt;$M$4,"Amplificador fraco","OK"))))))</f>
        <v/>
      </c>
      <c r="P20" s="25" t="str">
        <f aca="false">IF(O20="","",IF(O20="Abaixo do mínimo","Tire caixas desta saída ou divida entre os canais: o amplificador pede "&amp;H20&amp;" Ω ou mais",IF(O20="Incompleto","Preencha o mínimo e a potência do amplificador e a potência da caixa",IF(O20="Amplificador forte","A caixa pode receber mais do que suporta: use limiter e não deixe o clip acender",IF(O20="Amplificador fraco","Pouca folga: se a luz de clip acender, baixe o nível na mesa","Manter")))))</f>
        <v/>
      </c>
      <c r="Q20" s="26" t="str">
        <f aca="false">IF(OR(F20="",G20="",K20="",F20&lt;=0,G20&lt;=0),"",ROUND(20*LOG10((G20*F20)^0.5/0.775)-K20,1))</f>
        <v/>
      </c>
      <c r="R20" s="37"/>
    </row>
    <row r="22" customFormat="false" ht="21.75" hidden="false" customHeight="true" outlineLevel="0" collapsed="false">
      <c r="B22" s="12" t="s">
        <v>104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customFormat="false" ht="19.5" hidden="false" customHeight="true" outlineLevel="0" collapsed="false">
      <c r="B23" s="27" t="s">
        <v>105</v>
      </c>
      <c r="C23" s="27"/>
      <c r="D23" s="27"/>
      <c r="E23" s="24" t="n">
        <f aca="false">COUNT(E13:E20)</f>
        <v>3</v>
      </c>
      <c r="F23" s="24"/>
    </row>
    <row r="24" customFormat="false" ht="19.5" hidden="false" customHeight="true" outlineLevel="0" collapsed="false">
      <c r="B24" s="27" t="s">
        <v>106</v>
      </c>
      <c r="C24" s="27"/>
      <c r="D24" s="27"/>
      <c r="E24" s="24" t="n">
        <f aca="false">COUNTIF(O13:O20,"OK")</f>
        <v>2</v>
      </c>
      <c r="F24" s="24"/>
    </row>
    <row r="25" customFormat="false" ht="19.5" hidden="false" customHeight="true" outlineLevel="0" collapsed="false">
      <c r="B25" s="27" t="s">
        <v>107</v>
      </c>
      <c r="C25" s="27"/>
      <c r="D25" s="27"/>
      <c r="E25" s="24" t="n">
        <f aca="false">COUNTIF(O13:O20,"Abaixo do mínimo")</f>
        <v>1</v>
      </c>
      <c r="F25" s="24"/>
    </row>
    <row r="26" customFormat="false" ht="19.5" hidden="false" customHeight="true" outlineLevel="0" collapsed="false">
      <c r="B26" s="27" t="s">
        <v>108</v>
      </c>
      <c r="C26" s="27"/>
      <c r="D26" s="27"/>
      <c r="E26" s="24" t="n">
        <f aca="false">COUNTIF(O13:O20,"Amplificador forte")+COUNTIF(O13:O20,"Amplificador fraco")</f>
        <v>0</v>
      </c>
      <c r="F26" s="24"/>
    </row>
    <row r="27" customFormat="false" ht="19.5" hidden="false" customHeight="true" outlineLevel="0" collapsed="false">
      <c r="B27" s="27" t="s">
        <v>109</v>
      </c>
      <c r="C27" s="27"/>
      <c r="D27" s="27"/>
      <c r="E27" s="24" t="n">
        <f aca="false">COUNTIF(O13:O20,"Incompleto")</f>
        <v>0</v>
      </c>
      <c r="F27" s="24"/>
    </row>
    <row r="28" customFormat="false" ht="21.75" hidden="false" customHeight="true" outlineLevel="0" collapsed="false">
      <c r="B28" s="27" t="s">
        <v>110</v>
      </c>
      <c r="C28" s="27"/>
      <c r="D28" s="27"/>
      <c r="E28" s="28" t="str">
        <f aca="false">IF(E23=0,"Registre as saídas do amplificador",IF(E25&gt;0,"Há saída abaixo da impedância mínima: corrija antes de ligar",IF(E27&gt;0,"Há saída com dados incompletos",IF(E26&gt;0,"Há saída com aviso de potência: veja o que fazer","OK"))))</f>
        <v>Há saída abaixo da impedância mínima: corrija antes de ligar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30" customFormat="false" ht="21.75" hidden="false" customHeight="true" outlineLevel="0" collapsed="false">
      <c r="B30" s="12" t="s">
        <v>111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customFormat="false" ht="30" hidden="false" customHeight="true" outlineLevel="0" collapsed="false">
      <c r="B31" s="8" t="s">
        <v>73</v>
      </c>
      <c r="C31" s="24" t="s">
        <v>112</v>
      </c>
      <c r="D31" s="24"/>
      <c r="E31" s="8" t="s">
        <v>113</v>
      </c>
      <c r="F31" s="8" t="s">
        <v>114</v>
      </c>
      <c r="G31" s="8" t="s">
        <v>115</v>
      </c>
      <c r="H31" s="8" t="s">
        <v>116</v>
      </c>
      <c r="I31" s="8" t="s">
        <v>117</v>
      </c>
      <c r="J31" s="8" t="s">
        <v>118</v>
      </c>
      <c r="K31" s="8" t="s">
        <v>119</v>
      </c>
      <c r="L31" s="8" t="s">
        <v>120</v>
      </c>
      <c r="M31" s="8" t="s">
        <v>121</v>
      </c>
      <c r="N31" s="8" t="s">
        <v>122</v>
      </c>
      <c r="O31" s="8"/>
      <c r="P31" s="8"/>
      <c r="Q31" s="8"/>
      <c r="R31" s="8"/>
    </row>
    <row r="32" customFormat="false" ht="21.75" hidden="false" customHeight="true" outlineLevel="0" collapsed="false">
      <c r="B32" s="20" t="n">
        <v>1</v>
      </c>
      <c r="C32" s="37" t="s">
        <v>351</v>
      </c>
      <c r="D32" s="37"/>
      <c r="E32" s="38" t="n">
        <v>8</v>
      </c>
      <c r="F32" s="38" t="n">
        <v>8</v>
      </c>
      <c r="G32" s="38"/>
      <c r="H32" s="38"/>
      <c r="I32" s="21" t="n">
        <f aca="false">IF(COUNTIF(E32:H32,"&gt;0")=0,"",1/(IF(OR(E32="",E32&lt;=0),0,1/E32)+IF(OR(F32="",F32&lt;=0),0,1/F32)+IF(OR(G32="",G32&lt;=0),0,1/G32)+IF(OR(H32="",H32&lt;=0),0,1/H32)))</f>
        <v>4</v>
      </c>
      <c r="J32" s="29" t="n">
        <f aca="false">IF(OR(I32="",E32="",E32&lt;=0),"",I32/E32)</f>
        <v>0.5</v>
      </c>
      <c r="K32" s="29" t="n">
        <f aca="false">IF(OR(I32="",F32="",F32&lt;=0),"",I32/F32)</f>
        <v>0.5</v>
      </c>
      <c r="L32" s="29" t="str">
        <f aca="false">IF(OR(I32="",G32="",G32&lt;=0),"",I32/G32)</f>
        <v/>
      </c>
      <c r="M32" s="29" t="str">
        <f aca="false">IF(OR(I32="",H32="",H32&lt;=0),"",I32/H32)</f>
        <v/>
      </c>
      <c r="N32" s="10" t="s">
        <v>123</v>
      </c>
      <c r="O32" s="10"/>
      <c r="P32" s="10"/>
      <c r="Q32" s="10"/>
      <c r="R32" s="10"/>
    </row>
    <row r="33" customFormat="false" ht="21.75" hidden="false" customHeight="true" outlineLevel="0" collapsed="false">
      <c r="B33" s="20" t="n">
        <v>2</v>
      </c>
      <c r="C33" s="37" t="s">
        <v>352</v>
      </c>
      <c r="D33" s="37"/>
      <c r="E33" s="38" t="n">
        <v>8</v>
      </c>
      <c r="F33" s="38" t="n">
        <v>8</v>
      </c>
      <c r="G33" s="38" t="n">
        <v>8</v>
      </c>
      <c r="H33" s="38"/>
      <c r="I33" s="21" t="n">
        <f aca="false">IF(COUNTIF(E33:H33,"&gt;0")=0,"",1/(IF(OR(E33="",E33&lt;=0),0,1/E33)+IF(OR(F33="",F33&lt;=0),0,1/F33)+IF(OR(G33="",G33&lt;=0),0,1/G33)+IF(OR(H33="",H33&lt;=0),0,1/H33)))</f>
        <v>2.66666666666667</v>
      </c>
      <c r="J33" s="29" t="n">
        <f aca="false">IF(OR(I33="",E33="",E33&lt;=0),"",I33/E33)</f>
        <v>0.333333333333333</v>
      </c>
      <c r="K33" s="29" t="n">
        <f aca="false">IF(OR(I33="",F33="",F33&lt;=0),"",I33/F33)</f>
        <v>0.333333333333333</v>
      </c>
      <c r="L33" s="29" t="n">
        <f aca="false">IF(OR(I33="",G33="",G33&lt;=0),"",I33/G33)</f>
        <v>0.333333333333333</v>
      </c>
      <c r="M33" s="29" t="str">
        <f aca="false">IF(OR(I33="",H33="",H33&lt;=0),"",I33/H33)</f>
        <v/>
      </c>
      <c r="N33" s="10" t="s">
        <v>124</v>
      </c>
      <c r="O33" s="10"/>
      <c r="P33" s="10"/>
      <c r="Q33" s="10"/>
      <c r="R33" s="10"/>
    </row>
    <row r="34" customFormat="false" ht="21.75" hidden="false" customHeight="true" outlineLevel="0" collapsed="false">
      <c r="B34" s="20" t="n">
        <v>3</v>
      </c>
      <c r="C34" s="37" t="s">
        <v>353</v>
      </c>
      <c r="D34" s="37"/>
      <c r="E34" s="38" t="n">
        <v>8</v>
      </c>
      <c r="F34" s="38" t="n">
        <v>4</v>
      </c>
      <c r="G34" s="38"/>
      <c r="H34" s="38"/>
      <c r="I34" s="21" t="n">
        <f aca="false">IF(COUNTIF(E34:H34,"&gt;0")=0,"",1/(IF(OR(E34="",E34&lt;=0),0,1/E34)+IF(OR(F34="",F34&lt;=0),0,1/F34)+IF(OR(G34="",G34&lt;=0),0,1/G34)+IF(OR(H34="",H34&lt;=0),0,1/H34)))</f>
        <v>2.66666666666667</v>
      </c>
      <c r="J34" s="29" t="n">
        <f aca="false">IF(OR(I34="",E34="",E34&lt;=0),"",I34/E34)</f>
        <v>0.333333333333333</v>
      </c>
      <c r="K34" s="29" t="n">
        <f aca="false">IF(OR(I34="",F34="",F34&lt;=0),"",I34/F34)</f>
        <v>0.666666666666667</v>
      </c>
      <c r="L34" s="29" t="str">
        <f aca="false">IF(OR(I34="",G34="",G34&lt;=0),"",I34/G34)</f>
        <v/>
      </c>
      <c r="M34" s="29" t="str">
        <f aca="false">IF(OR(I34="",H34="",H34&lt;=0),"",I34/H34)</f>
        <v/>
      </c>
      <c r="N34" s="10" t="s">
        <v>125</v>
      </c>
      <c r="O34" s="10"/>
      <c r="P34" s="10"/>
      <c r="Q34" s="10"/>
      <c r="R34" s="10"/>
    </row>
    <row r="36" customFormat="false" ht="21.75" hidden="false" customHeight="true" outlineLevel="0" collapsed="false">
      <c r="B36" s="12" t="s">
        <v>354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customFormat="false" ht="31.5" hidden="false" customHeight="true" outlineLevel="0" collapsed="false">
      <c r="B37" s="4" t="s">
        <v>355</v>
      </c>
      <c r="C37" s="4"/>
      <c r="D37" s="7" t="s">
        <v>356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customFormat="false" ht="31.5" hidden="false" customHeight="true" outlineLevel="0" collapsed="false">
      <c r="B38" s="4" t="s">
        <v>357</v>
      </c>
      <c r="C38" s="4"/>
      <c r="D38" s="7" t="s">
        <v>358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customFormat="false" ht="31.5" hidden="false" customHeight="true" outlineLevel="0" collapsed="false">
      <c r="B39" s="4" t="s">
        <v>359</v>
      </c>
      <c r="C39" s="4"/>
      <c r="D39" s="7" t="s">
        <v>360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customFormat="false" ht="31.5" hidden="false" customHeight="true" outlineLevel="0" collapsed="false">
      <c r="B40" s="4" t="s">
        <v>361</v>
      </c>
      <c r="C40" s="4"/>
      <c r="D40" s="7" t="s">
        <v>362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</sheetData>
  <mergeCells count="49">
    <mergeCell ref="B1:R1"/>
    <mergeCell ref="B2:R2"/>
    <mergeCell ref="B4:C4"/>
    <mergeCell ref="D4:G4"/>
    <mergeCell ref="I4:L4"/>
    <mergeCell ref="N4:R4"/>
    <mergeCell ref="B5:C5"/>
    <mergeCell ref="D5:G5"/>
    <mergeCell ref="I5:L5"/>
    <mergeCell ref="N5:R5"/>
    <mergeCell ref="B6:C6"/>
    <mergeCell ref="D6:G6"/>
    <mergeCell ref="I6:R6"/>
    <mergeCell ref="B7:C7"/>
    <mergeCell ref="D7:G7"/>
    <mergeCell ref="I7:R7"/>
    <mergeCell ref="B9:R9"/>
    <mergeCell ref="B12:R12"/>
    <mergeCell ref="B22:R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P28"/>
    <mergeCell ref="B30:R30"/>
    <mergeCell ref="C31:D31"/>
    <mergeCell ref="N31:R31"/>
    <mergeCell ref="C32:D32"/>
    <mergeCell ref="N32:R32"/>
    <mergeCell ref="C33:D33"/>
    <mergeCell ref="N33:R33"/>
    <mergeCell ref="C34:D34"/>
    <mergeCell ref="N34:R34"/>
    <mergeCell ref="B36:R36"/>
    <mergeCell ref="B37:C37"/>
    <mergeCell ref="D37:R37"/>
    <mergeCell ref="B38:C38"/>
    <mergeCell ref="D38:R38"/>
    <mergeCell ref="B39:C39"/>
    <mergeCell ref="D39:R39"/>
    <mergeCell ref="B40:C40"/>
    <mergeCell ref="D40:R40"/>
  </mergeCells>
  <conditionalFormatting sqref="O13:O2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"Abaixo do mínimo"</formula>
    </cfRule>
    <cfRule type="cellIs" priority="4" operator="equal" aboveAverage="0" equalAverage="0" bottom="0" percent="0" rank="0" text="" dxfId="2">
      <formula>"Amplificador forte"</formula>
    </cfRule>
    <cfRule type="cellIs" priority="5" operator="equal" aboveAverage="0" equalAverage="0" bottom="0" percent="0" rank="0" text="" dxfId="2">
      <formula>"Amplificador fraco"</formula>
    </cfRule>
    <cfRule type="cellIs" priority="6" operator="equal" aboveAverage="0" equalAverage="0" bottom="0" percent="0" rank="0" text="" dxfId="2">
      <formula>"Incompleto"</formula>
    </cfRule>
  </conditionalFormatting>
  <conditionalFormatting sqref="E28:P28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2">
      <formula>"OK"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4:M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13:K20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32:H3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10" min="7" style="0" width="13"/>
    <col collapsed="false" customWidth="true" hidden="false" outlineLevel="0" max="11" min="11" style="0" width="17"/>
    <col collapsed="false" customWidth="true" hidden="false" outlineLevel="0" max="12" min="12" style="0" width="52"/>
    <col collapsed="false" customWidth="true" hidden="false" outlineLevel="0" max="13" min="13" style="0" width="12"/>
    <col collapsed="false" customWidth="true" hidden="false" outlineLevel="0" max="14" min="14" style="0" width="2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363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128</v>
      </c>
      <c r="C4" s="4"/>
      <c r="D4" s="37" t="s">
        <v>364</v>
      </c>
      <c r="E4" s="37"/>
      <c r="F4" s="37"/>
      <c r="H4" s="4" t="s">
        <v>129</v>
      </c>
      <c r="I4" s="4"/>
      <c r="J4" s="4"/>
      <c r="K4" s="38" t="n">
        <v>90</v>
      </c>
      <c r="L4" s="10" t="s">
        <v>130</v>
      </c>
      <c r="M4" s="10"/>
      <c r="N4" s="10"/>
    </row>
    <row r="5" customFormat="false" ht="21.75" hidden="false" customHeight="true" outlineLevel="0" collapsed="false">
      <c r="B5" s="4" t="s">
        <v>65</v>
      </c>
      <c r="C5" s="4"/>
      <c r="D5" s="37" t="s">
        <v>365</v>
      </c>
      <c r="E5" s="37"/>
      <c r="F5" s="37"/>
      <c r="H5" s="4" t="s">
        <v>131</v>
      </c>
      <c r="I5" s="4"/>
      <c r="J5" s="4"/>
      <c r="K5" s="38" t="n">
        <v>10</v>
      </c>
      <c r="L5" s="10" t="s">
        <v>132</v>
      </c>
      <c r="M5" s="10"/>
      <c r="N5" s="10"/>
    </row>
    <row r="6" customFormat="false" ht="21.75" hidden="false" customHeight="true" outlineLevel="0" collapsed="false">
      <c r="B6" s="4" t="s">
        <v>68</v>
      </c>
      <c r="C6" s="4"/>
      <c r="D6" s="39" t="n">
        <v>46341</v>
      </c>
      <c r="E6" s="39"/>
      <c r="F6" s="39"/>
      <c r="H6" s="4" t="s">
        <v>133</v>
      </c>
      <c r="I6" s="4"/>
      <c r="J6" s="4"/>
      <c r="K6" s="38" t="n">
        <v>6</v>
      </c>
      <c r="L6" s="10" t="s">
        <v>134</v>
      </c>
      <c r="M6" s="10"/>
      <c r="N6" s="10"/>
    </row>
    <row r="7" customFormat="false" ht="21.75" hidden="false" customHeight="true" outlineLevel="0" collapsed="false">
      <c r="B7" s="4" t="s">
        <v>70</v>
      </c>
      <c r="C7" s="4"/>
      <c r="D7" s="37" t="s">
        <v>366</v>
      </c>
      <c r="E7" s="37"/>
      <c r="F7" s="37"/>
      <c r="H7" s="4" t="s">
        <v>135</v>
      </c>
      <c r="I7" s="4"/>
      <c r="J7" s="4"/>
      <c r="K7" s="38" t="n">
        <v>10</v>
      </c>
      <c r="L7" s="10" t="s">
        <v>136</v>
      </c>
      <c r="M7" s="10"/>
      <c r="N7" s="10"/>
    </row>
    <row r="8" customFormat="false" ht="21.75" hidden="false" customHeight="true" outlineLevel="0" collapsed="false">
      <c r="H8" s="4" t="s">
        <v>137</v>
      </c>
      <c r="I8" s="4"/>
      <c r="J8" s="4"/>
      <c r="K8" s="38" t="n">
        <v>343</v>
      </c>
      <c r="L8" s="10" t="s">
        <v>138</v>
      </c>
      <c r="M8" s="10"/>
      <c r="N8" s="10"/>
    </row>
    <row r="9" customFormat="false" ht="27" hidden="false" customHeight="true" outlineLevel="0" collapsed="false">
      <c r="B9" s="10" t="s">
        <v>139</v>
      </c>
      <c r="C9" s="10"/>
      <c r="D9" s="10"/>
      <c r="E9" s="10"/>
      <c r="F9" s="10"/>
      <c r="H9" s="4" t="s">
        <v>140</v>
      </c>
      <c r="I9" s="4"/>
      <c r="J9" s="4"/>
      <c r="K9" s="38" t="n">
        <v>10</v>
      </c>
      <c r="L9" s="10" t="s">
        <v>141</v>
      </c>
      <c r="M9" s="10"/>
      <c r="N9" s="10"/>
    </row>
    <row r="11" customFormat="false" ht="21.75" hidden="false" customHeight="true" outlineLevel="0" collapsed="false">
      <c r="B11" s="12" t="s">
        <v>142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43.5" hidden="false" customHeight="true" outlineLevel="0" collapsed="false">
      <c r="B12" s="13" t="s">
        <v>73</v>
      </c>
      <c r="C12" s="13" t="s">
        <v>143</v>
      </c>
      <c r="D12" s="14" t="s">
        <v>144</v>
      </c>
      <c r="E12" s="14" t="s">
        <v>145</v>
      </c>
      <c r="F12" s="14" t="s">
        <v>146</v>
      </c>
      <c r="G12" s="14" t="s">
        <v>147</v>
      </c>
      <c r="H12" s="16" t="s">
        <v>148</v>
      </c>
      <c r="I12" s="16" t="s">
        <v>149</v>
      </c>
      <c r="J12" s="16" t="s">
        <v>150</v>
      </c>
      <c r="K12" s="16"/>
      <c r="L12" s="13" t="s">
        <v>87</v>
      </c>
      <c r="M12" s="13"/>
      <c r="N12" s="13"/>
    </row>
    <row r="13" customFormat="false" ht="27" hidden="false" customHeight="true" outlineLevel="0" collapsed="false">
      <c r="B13" s="17"/>
      <c r="C13" s="17" t="s">
        <v>151</v>
      </c>
      <c r="D13" s="17" t="s">
        <v>152</v>
      </c>
      <c r="E13" s="17" t="s">
        <v>153</v>
      </c>
      <c r="F13" s="17" t="s">
        <v>154</v>
      </c>
      <c r="G13" s="17" t="s">
        <v>155</v>
      </c>
      <c r="H13" s="17" t="s">
        <v>156</v>
      </c>
      <c r="I13" s="17" t="s">
        <v>156</v>
      </c>
      <c r="J13" s="17"/>
      <c r="K13" s="17"/>
      <c r="L13" s="10" t="s">
        <v>157</v>
      </c>
      <c r="M13" s="10"/>
      <c r="N13" s="10"/>
    </row>
    <row r="14" customFormat="false" ht="21.75" hidden="false" customHeight="true" outlineLevel="0" collapsed="false">
      <c r="B14" s="20" t="n">
        <v>1</v>
      </c>
      <c r="C14" s="37" t="s">
        <v>367</v>
      </c>
      <c r="D14" s="38"/>
      <c r="E14" s="38"/>
      <c r="F14" s="38" t="n">
        <v>129</v>
      </c>
      <c r="G14" s="38" t="n">
        <v>3</v>
      </c>
      <c r="H14" s="30" t="n">
        <f aca="false">IF(AND(D14&lt;&gt;"",E14&gt;0),ROUND(D14+10*LOG10(E14),1),IF(F14&lt;&gt;"",F14-$K$6,""))</f>
        <v>123</v>
      </c>
      <c r="I14" s="31" t="n">
        <f aca="false">IF(OR(H14="",G14&lt;=0),"",ROUND(H14-20*LOG10(G14),1))</f>
        <v>113.5</v>
      </c>
      <c r="J14" s="32" t="str">
        <f aca="false">IF(H14="","",IF(AND(D14&lt;&gt;"",E14&gt;0),"Sensibilidade e potência","Folheto, com desconto"))</f>
        <v>Folheto, com desconto</v>
      </c>
      <c r="K14" s="32"/>
      <c r="L14" s="37"/>
      <c r="M14" s="37"/>
      <c r="N14" s="37"/>
    </row>
    <row r="15" customFormat="false" ht="21.75" hidden="false" customHeight="true" outlineLevel="0" collapsed="false">
      <c r="B15" s="20" t="n">
        <v>2</v>
      </c>
      <c r="C15" s="37" t="s">
        <v>368</v>
      </c>
      <c r="D15" s="38"/>
      <c r="E15" s="38"/>
      <c r="F15" s="38" t="n">
        <v>129</v>
      </c>
      <c r="G15" s="38" t="n">
        <v>4</v>
      </c>
      <c r="H15" s="30" t="n">
        <f aca="false">IF(AND(D15&lt;&gt;"",E15&gt;0),ROUND(D15+10*LOG10(E15),1),IF(F15&lt;&gt;"",F15-$K$6,""))</f>
        <v>123</v>
      </c>
      <c r="I15" s="31" t="n">
        <f aca="false">IF(OR(H15="",G15&lt;=0),"",ROUND(H15-20*LOG10(G15),1))</f>
        <v>111</v>
      </c>
      <c r="J15" s="32" t="str">
        <f aca="false">IF(H15="","",IF(AND(D15&lt;&gt;"",E15&gt;0),"Sensibilidade e potência","Folheto, com desconto"))</f>
        <v>Folheto, com desconto</v>
      </c>
      <c r="K15" s="32"/>
      <c r="L15" s="37"/>
      <c r="M15" s="37"/>
      <c r="N15" s="37"/>
    </row>
    <row r="16" customFormat="false" ht="21.75" hidden="false" customHeight="true" outlineLevel="0" collapsed="false">
      <c r="B16" s="20" t="n">
        <v>3</v>
      </c>
      <c r="C16" s="37"/>
      <c r="D16" s="38"/>
      <c r="E16" s="38"/>
      <c r="F16" s="38"/>
      <c r="G16" s="38"/>
      <c r="H16" s="30" t="str">
        <f aca="false">IF(AND(D16&lt;&gt;"",E16&gt;0),ROUND(D16+10*LOG10(E16),1),IF(F16&lt;&gt;"",F16-$K$6,""))</f>
        <v/>
      </c>
      <c r="I16" s="31" t="str">
        <f aca="false">IF(OR(H16="",G16&lt;=0),"",ROUND(H16-20*LOG10(G16),1))</f>
        <v/>
      </c>
      <c r="J16" s="32" t="str">
        <f aca="false">IF(H16="","",IF(AND(D16&lt;&gt;"",E16&gt;0),"Sensibilidade e potência","Folheto, com desconto"))</f>
        <v/>
      </c>
      <c r="K16" s="32"/>
      <c r="L16" s="37"/>
      <c r="M16" s="37"/>
      <c r="N16" s="37"/>
    </row>
    <row r="17" customFormat="false" ht="21.75" hidden="false" customHeight="true" outlineLevel="0" collapsed="false">
      <c r="B17" s="20" t="n">
        <v>4</v>
      </c>
      <c r="C17" s="37"/>
      <c r="D17" s="38"/>
      <c r="E17" s="38"/>
      <c r="F17" s="38"/>
      <c r="G17" s="38"/>
      <c r="H17" s="30" t="str">
        <f aca="false">IF(AND(D17&lt;&gt;"",E17&gt;0),ROUND(D17+10*LOG10(E17),1),IF(F17&lt;&gt;"",F17-$K$6,""))</f>
        <v/>
      </c>
      <c r="I17" s="31" t="str">
        <f aca="false">IF(OR(H17="",G17&lt;=0),"",ROUND(H17-20*LOG10(G17),1))</f>
        <v/>
      </c>
      <c r="J17" s="32" t="str">
        <f aca="false">IF(H17="","",IF(AND(D17&lt;&gt;"",E17&gt;0),"Sensibilidade e potência","Folheto, com desconto"))</f>
        <v/>
      </c>
      <c r="K17" s="32"/>
      <c r="L17" s="37"/>
      <c r="M17" s="37"/>
      <c r="N17" s="37"/>
    </row>
    <row r="18" customFormat="false" ht="21.75" hidden="false" customHeight="true" outlineLevel="0" collapsed="false">
      <c r="B18" s="20" t="n">
        <v>5</v>
      </c>
      <c r="C18" s="37"/>
      <c r="D18" s="38"/>
      <c r="E18" s="38"/>
      <c r="F18" s="38"/>
      <c r="G18" s="38"/>
      <c r="H18" s="30" t="str">
        <f aca="false">IF(AND(D18&lt;&gt;"",E18&gt;0),ROUND(D18+10*LOG10(E18),1),IF(F18&lt;&gt;"",F18-$K$6,""))</f>
        <v/>
      </c>
      <c r="I18" s="31" t="str">
        <f aca="false">IF(OR(H18="",G18&lt;=0),"",ROUND(H18-20*LOG10(G18),1))</f>
        <v/>
      </c>
      <c r="J18" s="32" t="str">
        <f aca="false">IF(H18="","",IF(AND(D18&lt;&gt;"",E18&gt;0),"Sensibilidade e potência","Folheto, com desconto"))</f>
        <v/>
      </c>
      <c r="K18" s="32"/>
      <c r="L18" s="37"/>
      <c r="M18" s="37"/>
      <c r="N18" s="37"/>
    </row>
    <row r="19" customFormat="false" ht="21.75" hidden="false" customHeight="true" outlineLevel="0" collapsed="false">
      <c r="B19" s="20" t="n">
        <v>6</v>
      </c>
      <c r="C19" s="37"/>
      <c r="D19" s="38"/>
      <c r="E19" s="38"/>
      <c r="F19" s="38"/>
      <c r="G19" s="38"/>
      <c r="H19" s="30" t="str">
        <f aca="false">IF(AND(D19&lt;&gt;"",E19&gt;0),ROUND(D19+10*LOG10(E19),1),IF(F19&lt;&gt;"",F19-$K$6,""))</f>
        <v/>
      </c>
      <c r="I19" s="31" t="str">
        <f aca="false">IF(OR(H19="",G19&lt;=0),"",ROUND(H19-20*LOG10(G19),1))</f>
        <v/>
      </c>
      <c r="J19" s="32" t="str">
        <f aca="false">IF(H19="","",IF(AND(D19&lt;&gt;"",E19&gt;0),"Sensibilidade e potência","Folheto, com desconto"))</f>
        <v/>
      </c>
      <c r="K19" s="32"/>
      <c r="L19" s="37"/>
      <c r="M19" s="37"/>
      <c r="N19" s="37"/>
    </row>
    <row r="21" customFormat="false" ht="21.75" hidden="false" customHeight="true" outlineLevel="0" collapsed="false">
      <c r="B21" s="12" t="s">
        <v>158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43.5" hidden="false" customHeight="true" outlineLevel="0" collapsed="false">
      <c r="B22" s="13" t="s">
        <v>73</v>
      </c>
      <c r="C22" s="13" t="s">
        <v>159</v>
      </c>
      <c r="D22" s="15" t="s">
        <v>160</v>
      </c>
      <c r="E22" s="15" t="s">
        <v>161</v>
      </c>
      <c r="F22" s="15" t="s">
        <v>162</v>
      </c>
      <c r="G22" s="16" t="s">
        <v>163</v>
      </c>
      <c r="H22" s="16" t="s">
        <v>164</v>
      </c>
      <c r="I22" s="16" t="s">
        <v>165</v>
      </c>
      <c r="J22" s="16" t="s">
        <v>166</v>
      </c>
      <c r="K22" s="16" t="s">
        <v>85</v>
      </c>
      <c r="L22" s="16" t="s">
        <v>86</v>
      </c>
      <c r="M22" s="16" t="s">
        <v>167</v>
      </c>
      <c r="N22" s="13" t="s">
        <v>87</v>
      </c>
    </row>
    <row r="23" customFormat="false" ht="27" hidden="false" customHeight="true" outlineLevel="0" collapsed="false">
      <c r="B23" s="17"/>
      <c r="C23" s="17" t="s">
        <v>168</v>
      </c>
      <c r="D23" s="17" t="s">
        <v>169</v>
      </c>
      <c r="E23" s="17" t="s">
        <v>155</v>
      </c>
      <c r="F23" s="17" t="s">
        <v>170</v>
      </c>
      <c r="G23" s="17" t="s">
        <v>171</v>
      </c>
      <c r="H23" s="17" t="s">
        <v>172</v>
      </c>
      <c r="I23" s="17" t="s">
        <v>171</v>
      </c>
      <c r="J23" s="17" t="s">
        <v>171</v>
      </c>
      <c r="K23" s="17"/>
      <c r="L23" s="17"/>
      <c r="M23" s="17" t="s">
        <v>173</v>
      </c>
      <c r="N23" s="17"/>
    </row>
    <row r="24" customFormat="false" ht="24" hidden="false" customHeight="true" outlineLevel="0" collapsed="false">
      <c r="B24" s="10" t="s">
        <v>369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customFormat="false" ht="30" hidden="false" customHeight="true" outlineLevel="0" collapsed="false">
      <c r="B25" s="20" t="n">
        <v>1</v>
      </c>
      <c r="C25" s="37" t="s">
        <v>370</v>
      </c>
      <c r="D25" s="38" t="n">
        <v>1</v>
      </c>
      <c r="E25" s="38" t="n">
        <v>3</v>
      </c>
      <c r="F25" s="38"/>
      <c r="G25" s="31" t="n">
        <f aca="false">IF(OR(D25="",E25&lt;=0),"",ROUND(20*LOG10(E25),1))</f>
        <v>9.5</v>
      </c>
      <c r="H25" s="30" t="n">
        <f aca="false">IF(G25="","",IF(INDEX($H$14:$H$19,D25*1)="","",ROUND(INDEX($H$14:$H$19,D25*1)-20*LOG10(E25),1)))</f>
        <v>113.5</v>
      </c>
      <c r="I25" s="26" t="n">
        <f aca="false">IF(H25="","",ROUND(H25-($K$4+$K$5),1))</f>
        <v>13.5</v>
      </c>
      <c r="J25" s="26" t="n">
        <f aca="false">IF(G25="","",IF(INDEX($G$14:$G$19,D25*1)&lt;=0,"",ROUND(-20*LOG10(E25/INDEX($G$14:$G$19,D25*1)),1)))</f>
        <v>-0</v>
      </c>
      <c r="K25" s="24" t="str">
        <f aca="false">IF(G25="","",IF(H25="","Incompleto",IF(I25&lt;0,"Falta nível",IF(J25="","OK",IF(J25&lt;-$K$7,"Desigual","OK")))))</f>
        <v>OK</v>
      </c>
      <c r="L25" s="25" t="str">
        <f aca="false">IF(K25="","",IF(K25="Incompleto","Preencha os dados da caixa na lista acima",IF(K25="Falta nível","Faltam "&amp;ROUND(ABS(I25),0)&amp;" dB: aproxime a caixa, use caixa de delay ou um sistema maior",IF(K25="Desigual","Frente bem mais forte: suba e incline a caixa, ou divida a zona com outra caixa","Manter"))))</f>
        <v>Manter</v>
      </c>
      <c r="M25" s="22" t="str">
        <f aca="false">IF(F25&gt;0,ROUND(F25/$K$8*1000+$K$9,0),"")</f>
        <v/>
      </c>
      <c r="N25" s="37"/>
    </row>
    <row r="26" customFormat="false" ht="30" hidden="false" customHeight="true" outlineLevel="0" collapsed="false">
      <c r="B26" s="20" t="n">
        <v>2</v>
      </c>
      <c r="C26" s="37" t="s">
        <v>371</v>
      </c>
      <c r="D26" s="38" t="n">
        <v>1</v>
      </c>
      <c r="E26" s="38" t="n">
        <v>9</v>
      </c>
      <c r="F26" s="38"/>
      <c r="G26" s="31" t="n">
        <f aca="false">IF(OR(D26="",E26&lt;=0),"",ROUND(20*LOG10(E26),1))</f>
        <v>19.1</v>
      </c>
      <c r="H26" s="30" t="n">
        <f aca="false">IF(G26="","",IF(INDEX($H$14:$H$19,D26*1)="","",ROUND(INDEX($H$14:$H$19,D26*1)-20*LOG10(E26),1)))</f>
        <v>103.9</v>
      </c>
      <c r="I26" s="26" t="n">
        <f aca="false">IF(H26="","",ROUND(H26-($K$4+$K$5),1))</f>
        <v>3.9</v>
      </c>
      <c r="J26" s="26" t="n">
        <f aca="false">IF(G26="","",IF(INDEX($G$14:$G$19,D26*1)&lt;=0,"",ROUND(-20*LOG10(E26/INDEX($G$14:$G$19,D26*1)),1)))</f>
        <v>-9.5</v>
      </c>
      <c r="K26" s="24" t="str">
        <f aca="false">IF(G26="","",IF(H26="","Incompleto",IF(I26&lt;0,"Falta nível",IF(J26="","OK",IF(J26&lt;-$K$7,"Desigual","OK")))))</f>
        <v>OK</v>
      </c>
      <c r="L26" s="25" t="str">
        <f aca="false">IF(K26="","",IF(K26="Incompleto","Preencha os dados da caixa na lista acima",IF(K26="Falta nível","Faltam "&amp;ROUND(ABS(I26),0)&amp;" dB: aproxime a caixa, use caixa de delay ou um sistema maior",IF(K26="Desigual","Frente bem mais forte: suba e incline a caixa, ou divida a zona com outra caixa","Manter"))))</f>
        <v>Manter</v>
      </c>
      <c r="M26" s="22" t="str">
        <f aca="false">IF(F26&gt;0,ROUND(F26/$K$8*1000+$K$9,0),"")</f>
        <v/>
      </c>
      <c r="N26" s="37"/>
    </row>
    <row r="27" customFormat="false" ht="30" hidden="false" customHeight="true" outlineLevel="0" collapsed="false">
      <c r="B27" s="20" t="n">
        <v>3</v>
      </c>
      <c r="C27" s="37" t="s">
        <v>372</v>
      </c>
      <c r="D27" s="38" t="n">
        <v>1</v>
      </c>
      <c r="E27" s="38" t="n">
        <v>25</v>
      </c>
      <c r="F27" s="38"/>
      <c r="G27" s="31" t="n">
        <f aca="false">IF(OR(D27="",E27&lt;=0),"",ROUND(20*LOG10(E27),1))</f>
        <v>28</v>
      </c>
      <c r="H27" s="30" t="n">
        <f aca="false">IF(G27="","",IF(INDEX($H$14:$H$19,D27*1)="","",ROUND(INDEX($H$14:$H$19,D27*1)-20*LOG10(E27),1)))</f>
        <v>95</v>
      </c>
      <c r="I27" s="26" t="n">
        <f aca="false">IF(H27="","",ROUND(H27-($K$4+$K$5),1))</f>
        <v>-5</v>
      </c>
      <c r="J27" s="26" t="n">
        <f aca="false">IF(G27="","",IF(INDEX($G$14:$G$19,D27*1)&lt;=0,"",ROUND(-20*LOG10(E27/INDEX($G$14:$G$19,D27*1)),1)))</f>
        <v>-18.4</v>
      </c>
      <c r="K27" s="24" t="str">
        <f aca="false">IF(G27="","",IF(H27="","Incompleto",IF(I27&lt;0,"Falta nível",IF(J27="","OK",IF(J27&lt;-$K$7,"Desigual","OK")))))</f>
        <v>Falta nível</v>
      </c>
      <c r="L27" s="25" t="str">
        <f aca="false">IF(K27="","",IF(K27="Incompleto","Preencha os dados da caixa na lista acima",IF(K27="Falta nível","Faltam "&amp;ROUND(ABS(I27),0)&amp;" dB: aproxime a caixa, use caixa de delay ou um sistema maior",IF(K27="Desigual","Frente bem mais forte: suba e incline a caixa, ou divida a zona com outra caixa","Manter"))))</f>
        <v>Faltam 5 dB: aproxime a caixa, use caixa de delay ou um sistema maior</v>
      </c>
      <c r="M27" s="22" t="str">
        <f aca="false">IF(F27&gt;0,ROUND(F27/$K$8*1000+$K$9,0),"")</f>
        <v/>
      </c>
      <c r="N27" s="37"/>
    </row>
    <row r="28" customFormat="false" ht="30" hidden="false" customHeight="true" outlineLevel="0" collapsed="false">
      <c r="B28" s="20" t="n">
        <v>4</v>
      </c>
      <c r="C28" s="37" t="s">
        <v>373</v>
      </c>
      <c r="D28" s="38" t="n">
        <v>2</v>
      </c>
      <c r="E28" s="38" t="n">
        <v>4</v>
      </c>
      <c r="F28" s="38" t="n">
        <v>14</v>
      </c>
      <c r="G28" s="31" t="n">
        <f aca="false">IF(OR(D28="",E28&lt;=0),"",ROUND(20*LOG10(E28),1))</f>
        <v>12</v>
      </c>
      <c r="H28" s="30" t="n">
        <f aca="false">IF(G28="","",IF(INDEX($H$14:$H$19,D28*1)="","",ROUND(INDEX($H$14:$H$19,D28*1)-20*LOG10(E28),1)))</f>
        <v>111</v>
      </c>
      <c r="I28" s="26" t="n">
        <f aca="false">IF(H28="","",ROUND(H28-($K$4+$K$5),1))</f>
        <v>11</v>
      </c>
      <c r="J28" s="26" t="n">
        <f aca="false">IF(G28="","",IF(INDEX($G$14:$G$19,D28*1)&lt;=0,"",ROUND(-20*LOG10(E28/INDEX($G$14:$G$19,D28*1)),1)))</f>
        <v>-0</v>
      </c>
      <c r="K28" s="24" t="str">
        <f aca="false">IF(G28="","",IF(H28="","Incompleto",IF(I28&lt;0,"Falta nível",IF(J28="","OK",IF(J28&lt;-$K$7,"Desigual","OK")))))</f>
        <v>OK</v>
      </c>
      <c r="L28" s="25" t="str">
        <f aca="false">IF(K28="","",IF(K28="Incompleto","Preencha os dados da caixa na lista acima",IF(K28="Falta nível","Faltam "&amp;ROUND(ABS(I28),0)&amp;" dB: aproxime a caixa, use caixa de delay ou um sistema maior",IF(K28="Desigual","Frente bem mais forte: suba e incline a caixa, ou divida a zona com outra caixa","Manter"))))</f>
        <v>Manter</v>
      </c>
      <c r="M28" s="22" t="n">
        <f aca="false">IF(F28&gt;0,ROUND(F28/$K$8*1000+$K$9,0),"")</f>
        <v>51</v>
      </c>
      <c r="N28" s="37"/>
    </row>
    <row r="29" customFormat="false" ht="30" hidden="false" customHeight="true" outlineLevel="0" collapsed="false">
      <c r="B29" s="20" t="n">
        <v>5</v>
      </c>
      <c r="C29" s="37" t="s">
        <v>374</v>
      </c>
      <c r="D29" s="38" t="n">
        <v>2</v>
      </c>
      <c r="E29" s="38" t="n">
        <v>11</v>
      </c>
      <c r="F29" s="38" t="n">
        <v>14</v>
      </c>
      <c r="G29" s="31" t="n">
        <f aca="false">IF(OR(D29="",E29&lt;=0),"",ROUND(20*LOG10(E29),1))</f>
        <v>20.8</v>
      </c>
      <c r="H29" s="30" t="n">
        <f aca="false">IF(G29="","",IF(INDEX($H$14:$H$19,D29*1)="","",ROUND(INDEX($H$14:$H$19,D29*1)-20*LOG10(E29),1)))</f>
        <v>102.2</v>
      </c>
      <c r="I29" s="26" t="n">
        <f aca="false">IF(H29="","",ROUND(H29-($K$4+$K$5),1))</f>
        <v>2.2</v>
      </c>
      <c r="J29" s="26" t="n">
        <f aca="false">IF(G29="","",IF(INDEX($G$14:$G$19,D29*1)&lt;=0,"",ROUND(-20*LOG10(E29/INDEX($G$14:$G$19,D29*1)),1)))</f>
        <v>-8.8</v>
      </c>
      <c r="K29" s="24" t="str">
        <f aca="false">IF(G29="","",IF(H29="","Incompleto",IF(I29&lt;0,"Falta nível",IF(J29="","OK",IF(J29&lt;-$K$7,"Desigual","OK")))))</f>
        <v>OK</v>
      </c>
      <c r="L29" s="25" t="str">
        <f aca="false">IF(K29="","",IF(K29="Incompleto","Preencha os dados da caixa na lista acima",IF(K29="Falta nível","Faltam "&amp;ROUND(ABS(I29),0)&amp;" dB: aproxime a caixa, use caixa de delay ou um sistema maior",IF(K29="Desigual","Frente bem mais forte: suba e incline a caixa, ou divida a zona com outra caixa","Manter"))))</f>
        <v>Manter</v>
      </c>
      <c r="M29" s="22" t="n">
        <f aca="false">IF(F29&gt;0,ROUND(F29/$K$8*1000+$K$9,0),"")</f>
        <v>51</v>
      </c>
      <c r="N29" s="37"/>
    </row>
    <row r="30" customFormat="false" ht="30" hidden="false" customHeight="true" outlineLevel="0" collapsed="false">
      <c r="B30" s="20" t="n">
        <v>6</v>
      </c>
      <c r="C30" s="37"/>
      <c r="D30" s="38"/>
      <c r="E30" s="38"/>
      <c r="F30" s="38"/>
      <c r="G30" s="31" t="str">
        <f aca="false">IF(OR(D30="",E30&lt;=0),"",ROUND(20*LOG10(E30),1))</f>
        <v/>
      </c>
      <c r="H30" s="30" t="str">
        <f aca="false">IF(G30="","",IF(INDEX($H$14:$H$19,D30*1)="","",ROUND(INDEX($H$14:$H$19,D30*1)-20*LOG10(E30),1)))</f>
        <v/>
      </c>
      <c r="I30" s="26" t="str">
        <f aca="false">IF(H30="","",ROUND(H30-($K$4+$K$5),1))</f>
        <v/>
      </c>
      <c r="J30" s="26" t="str">
        <f aca="false">IF(G30="","",IF(INDEX($G$14:$G$19,D30*1)&lt;=0,"",ROUND(-20*LOG10(E30/INDEX($G$14:$G$19,D30*1)),1)))</f>
        <v/>
      </c>
      <c r="K30" s="24" t="str">
        <f aca="false">IF(G30="","",IF(H30="","Incompleto",IF(I30&lt;0,"Falta nível",IF(J30="","OK",IF(J30&lt;-$K$7,"Desigual","OK")))))</f>
        <v/>
      </c>
      <c r="L30" s="25" t="str">
        <f aca="false">IF(K30="","",IF(K30="Incompleto","Preencha os dados da caixa na lista acima",IF(K30="Falta nível","Faltam "&amp;ROUND(ABS(I30),0)&amp;" dB: aproxime a caixa, use caixa de delay ou um sistema maior",IF(K30="Desigual","Frente bem mais forte: suba e incline a caixa, ou divida a zona com outra caixa","Manter"))))</f>
        <v/>
      </c>
      <c r="M30" s="22" t="str">
        <f aca="false">IF(F30&gt;0,ROUND(F30/$K$8*1000+$K$9,0),"")</f>
        <v/>
      </c>
      <c r="N30" s="37"/>
    </row>
    <row r="31" customFormat="false" ht="30" hidden="false" customHeight="true" outlineLevel="0" collapsed="false">
      <c r="B31" s="20" t="n">
        <v>7</v>
      </c>
      <c r="C31" s="37"/>
      <c r="D31" s="38"/>
      <c r="E31" s="38"/>
      <c r="F31" s="38"/>
      <c r="G31" s="31" t="str">
        <f aca="false">IF(OR(D31="",E31&lt;=0),"",ROUND(20*LOG10(E31),1))</f>
        <v/>
      </c>
      <c r="H31" s="30" t="str">
        <f aca="false">IF(G31="","",IF(INDEX($H$14:$H$19,D31*1)="","",ROUND(INDEX($H$14:$H$19,D31*1)-20*LOG10(E31),1)))</f>
        <v/>
      </c>
      <c r="I31" s="26" t="str">
        <f aca="false">IF(H31="","",ROUND(H31-($K$4+$K$5),1))</f>
        <v/>
      </c>
      <c r="J31" s="26" t="str">
        <f aca="false">IF(G31="","",IF(INDEX($G$14:$G$19,D31*1)&lt;=0,"",ROUND(-20*LOG10(E31/INDEX($G$14:$G$19,D31*1)),1)))</f>
        <v/>
      </c>
      <c r="K31" s="24" t="str">
        <f aca="false">IF(G31="","",IF(H31="","Incompleto",IF(I31&lt;0,"Falta nível",IF(J31="","OK",IF(J31&lt;-$K$7,"Desigual","OK")))))</f>
        <v/>
      </c>
      <c r="L31" s="25" t="str">
        <f aca="false">IF(K31="","",IF(K31="Incompleto","Preencha os dados da caixa na lista acima",IF(K31="Falta nível","Faltam "&amp;ROUND(ABS(I31),0)&amp;" dB: aproxime a caixa, use caixa de delay ou um sistema maior",IF(K31="Desigual","Frente bem mais forte: suba e incline a caixa, ou divida a zona com outra caixa","Manter"))))</f>
        <v/>
      </c>
      <c r="M31" s="22" t="str">
        <f aca="false">IF(F31&gt;0,ROUND(F31/$K$8*1000+$K$9,0),"")</f>
        <v/>
      </c>
      <c r="N31" s="37"/>
    </row>
    <row r="32" customFormat="false" ht="30" hidden="false" customHeight="true" outlineLevel="0" collapsed="false">
      <c r="B32" s="20" t="n">
        <v>8</v>
      </c>
      <c r="C32" s="37"/>
      <c r="D32" s="38"/>
      <c r="E32" s="38"/>
      <c r="F32" s="38"/>
      <c r="G32" s="31" t="str">
        <f aca="false">IF(OR(D32="",E32&lt;=0),"",ROUND(20*LOG10(E32),1))</f>
        <v/>
      </c>
      <c r="H32" s="30" t="str">
        <f aca="false">IF(G32="","",IF(INDEX($H$14:$H$19,D32*1)="","",ROUND(INDEX($H$14:$H$19,D32*1)-20*LOG10(E32),1)))</f>
        <v/>
      </c>
      <c r="I32" s="26" t="str">
        <f aca="false">IF(H32="","",ROUND(H32-($K$4+$K$5),1))</f>
        <v/>
      </c>
      <c r="J32" s="26" t="str">
        <f aca="false">IF(G32="","",IF(INDEX($G$14:$G$19,D32*1)&lt;=0,"",ROUND(-20*LOG10(E32/INDEX($G$14:$G$19,D32*1)),1)))</f>
        <v/>
      </c>
      <c r="K32" s="24" t="str">
        <f aca="false">IF(G32="","",IF(H32="","Incompleto",IF(I32&lt;0,"Falta nível",IF(J32="","OK",IF(J32&lt;-$K$7,"Desigual","OK")))))</f>
        <v/>
      </c>
      <c r="L32" s="25" t="str">
        <f aca="false">IF(K32="","",IF(K32="Incompleto","Preencha os dados da caixa na lista acima",IF(K32="Falta nível","Faltam "&amp;ROUND(ABS(I32),0)&amp;" dB: aproxime a caixa, use caixa de delay ou um sistema maior",IF(K32="Desigual","Frente bem mais forte: suba e incline a caixa, ou divida a zona com outra caixa","Manter"))))</f>
        <v/>
      </c>
      <c r="M32" s="22" t="str">
        <f aca="false">IF(F32&gt;0,ROUND(F32/$K$8*1000+$K$9,0),"")</f>
        <v/>
      </c>
      <c r="N32" s="37"/>
    </row>
    <row r="33" customFormat="false" ht="30" hidden="false" customHeight="true" outlineLevel="0" collapsed="false">
      <c r="B33" s="20" t="n">
        <v>9</v>
      </c>
      <c r="C33" s="37"/>
      <c r="D33" s="38"/>
      <c r="E33" s="38"/>
      <c r="F33" s="38"/>
      <c r="G33" s="31" t="str">
        <f aca="false">IF(OR(D33="",E33&lt;=0),"",ROUND(20*LOG10(E33),1))</f>
        <v/>
      </c>
      <c r="H33" s="30" t="str">
        <f aca="false">IF(G33="","",IF(INDEX($H$14:$H$19,D33*1)="","",ROUND(INDEX($H$14:$H$19,D33*1)-20*LOG10(E33),1)))</f>
        <v/>
      </c>
      <c r="I33" s="26" t="str">
        <f aca="false">IF(H33="","",ROUND(H33-($K$4+$K$5),1))</f>
        <v/>
      </c>
      <c r="J33" s="26" t="str">
        <f aca="false">IF(G33="","",IF(INDEX($G$14:$G$19,D33*1)&lt;=0,"",ROUND(-20*LOG10(E33/INDEX($G$14:$G$19,D33*1)),1)))</f>
        <v/>
      </c>
      <c r="K33" s="24" t="str">
        <f aca="false">IF(G33="","",IF(H33="","Incompleto",IF(I33&lt;0,"Falta nível",IF(J33="","OK",IF(J33&lt;-$K$7,"Desigual","OK")))))</f>
        <v/>
      </c>
      <c r="L33" s="25" t="str">
        <f aca="false">IF(K33="","",IF(K33="Incompleto","Preencha os dados da caixa na lista acima",IF(K33="Falta nível","Faltam "&amp;ROUND(ABS(I33),0)&amp;" dB: aproxime a caixa, use caixa de delay ou um sistema maior",IF(K33="Desigual","Frente bem mais forte: suba e incline a caixa, ou divida a zona com outra caixa","Manter"))))</f>
        <v/>
      </c>
      <c r="M33" s="22" t="str">
        <f aca="false">IF(F33&gt;0,ROUND(F33/$K$8*1000+$K$9,0),"")</f>
        <v/>
      </c>
      <c r="N33" s="37"/>
    </row>
    <row r="34" customFormat="false" ht="30" hidden="false" customHeight="true" outlineLevel="0" collapsed="false">
      <c r="B34" s="20" t="n">
        <v>10</v>
      </c>
      <c r="C34" s="37"/>
      <c r="D34" s="38"/>
      <c r="E34" s="38"/>
      <c r="F34" s="38"/>
      <c r="G34" s="31" t="str">
        <f aca="false">IF(OR(D34="",E34&lt;=0),"",ROUND(20*LOG10(E34),1))</f>
        <v/>
      </c>
      <c r="H34" s="30" t="str">
        <f aca="false">IF(G34="","",IF(INDEX($H$14:$H$19,D34*1)="","",ROUND(INDEX($H$14:$H$19,D34*1)-20*LOG10(E34),1)))</f>
        <v/>
      </c>
      <c r="I34" s="26" t="str">
        <f aca="false">IF(H34="","",ROUND(H34-($K$4+$K$5),1))</f>
        <v/>
      </c>
      <c r="J34" s="26" t="str">
        <f aca="false">IF(G34="","",IF(INDEX($G$14:$G$19,D34*1)&lt;=0,"",ROUND(-20*LOG10(E34/INDEX($G$14:$G$19,D34*1)),1)))</f>
        <v/>
      </c>
      <c r="K34" s="24" t="str">
        <f aca="false">IF(G34="","",IF(H34="","Incompleto",IF(I34&lt;0,"Falta nível",IF(J34="","OK",IF(J34&lt;-$K$7,"Desigual","OK")))))</f>
        <v/>
      </c>
      <c r="L34" s="25" t="str">
        <f aca="false">IF(K34="","",IF(K34="Incompleto","Preencha os dados da caixa na lista acima",IF(K34="Falta nível","Faltam "&amp;ROUND(ABS(I34),0)&amp;" dB: aproxime a caixa, use caixa de delay ou um sistema maior",IF(K34="Desigual","Frente bem mais forte: suba e incline a caixa, ou divida a zona com outra caixa","Manter"))))</f>
        <v/>
      </c>
      <c r="M34" s="22" t="str">
        <f aca="false">IF(F34&gt;0,ROUND(F34/$K$8*1000+$K$9,0),"")</f>
        <v/>
      </c>
      <c r="N34" s="37"/>
    </row>
    <row r="35" customFormat="false" ht="30" hidden="false" customHeight="true" outlineLevel="0" collapsed="false">
      <c r="B35" s="20" t="n">
        <v>11</v>
      </c>
      <c r="C35" s="37"/>
      <c r="D35" s="38"/>
      <c r="E35" s="38"/>
      <c r="F35" s="38"/>
      <c r="G35" s="31" t="str">
        <f aca="false">IF(OR(D35="",E35&lt;=0),"",ROUND(20*LOG10(E35),1))</f>
        <v/>
      </c>
      <c r="H35" s="30" t="str">
        <f aca="false">IF(G35="","",IF(INDEX($H$14:$H$19,D35*1)="","",ROUND(INDEX($H$14:$H$19,D35*1)-20*LOG10(E35),1)))</f>
        <v/>
      </c>
      <c r="I35" s="26" t="str">
        <f aca="false">IF(H35="","",ROUND(H35-($K$4+$K$5),1))</f>
        <v/>
      </c>
      <c r="J35" s="26" t="str">
        <f aca="false">IF(G35="","",IF(INDEX($G$14:$G$19,D35*1)&lt;=0,"",ROUND(-20*LOG10(E35/INDEX($G$14:$G$19,D35*1)),1)))</f>
        <v/>
      </c>
      <c r="K35" s="24" t="str">
        <f aca="false">IF(G35="","",IF(H35="","Incompleto",IF(I35&lt;0,"Falta nível",IF(J35="","OK",IF(J35&lt;-$K$7,"Desigual","OK")))))</f>
        <v/>
      </c>
      <c r="L35" s="25" t="str">
        <f aca="false">IF(K35="","",IF(K35="Incompleto","Preencha os dados da caixa na lista acima",IF(K35="Falta nível","Faltam "&amp;ROUND(ABS(I35),0)&amp;" dB: aproxime a caixa, use caixa de delay ou um sistema maior",IF(K35="Desigual","Frente bem mais forte: suba e incline a caixa, ou divida a zona com outra caixa","Manter"))))</f>
        <v/>
      </c>
      <c r="M35" s="22" t="str">
        <f aca="false">IF(F35&gt;0,ROUND(F35/$K$8*1000+$K$9,0),"")</f>
        <v/>
      </c>
      <c r="N35" s="37"/>
    </row>
    <row r="36" customFormat="false" ht="30" hidden="false" customHeight="true" outlineLevel="0" collapsed="false">
      <c r="B36" s="20" t="n">
        <v>12</v>
      </c>
      <c r="C36" s="37"/>
      <c r="D36" s="38"/>
      <c r="E36" s="38"/>
      <c r="F36" s="38"/>
      <c r="G36" s="31" t="str">
        <f aca="false">IF(OR(D36="",E36&lt;=0),"",ROUND(20*LOG10(E36),1))</f>
        <v/>
      </c>
      <c r="H36" s="30" t="str">
        <f aca="false">IF(G36="","",IF(INDEX($H$14:$H$19,D36*1)="","",ROUND(INDEX($H$14:$H$19,D36*1)-20*LOG10(E36),1)))</f>
        <v/>
      </c>
      <c r="I36" s="26" t="str">
        <f aca="false">IF(H36="","",ROUND(H36-($K$4+$K$5),1))</f>
        <v/>
      </c>
      <c r="J36" s="26" t="str">
        <f aca="false">IF(G36="","",IF(INDEX($G$14:$G$19,D36*1)&lt;=0,"",ROUND(-20*LOG10(E36/INDEX($G$14:$G$19,D36*1)),1)))</f>
        <v/>
      </c>
      <c r="K36" s="24" t="str">
        <f aca="false">IF(G36="","",IF(H36="","Incompleto",IF(I36&lt;0,"Falta nível",IF(J36="","OK",IF(J36&lt;-$K$7,"Desigual","OK")))))</f>
        <v/>
      </c>
      <c r="L36" s="25" t="str">
        <f aca="false">IF(K36="","",IF(K36="Incompleto","Preencha os dados da caixa na lista acima",IF(K36="Falta nível","Faltam "&amp;ROUND(ABS(I36),0)&amp;" dB: aproxime a caixa, use caixa de delay ou um sistema maior",IF(K36="Desigual","Frente bem mais forte: suba e incline a caixa, ou divida a zona com outra caixa","Manter"))))</f>
        <v/>
      </c>
      <c r="M36" s="22" t="str">
        <f aca="false">IF(F36&gt;0,ROUND(F36/$K$8*1000+$K$9,0),"")</f>
        <v/>
      </c>
      <c r="N36" s="37"/>
    </row>
    <row r="38" customFormat="false" ht="21.75" hidden="false" customHeight="true" outlineLevel="0" collapsed="false">
      <c r="B38" s="12" t="s">
        <v>104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customFormat="false" ht="19.5" hidden="false" customHeight="true" outlineLevel="0" collapsed="false">
      <c r="B39" s="27" t="s">
        <v>175</v>
      </c>
      <c r="C39" s="27"/>
      <c r="D39" s="27"/>
      <c r="E39" s="8" t="n">
        <f aca="false">COUNT(E25:E36)</f>
        <v>5</v>
      </c>
    </row>
    <row r="40" customFormat="false" ht="19.5" hidden="false" customHeight="true" outlineLevel="0" collapsed="false">
      <c r="B40" s="27" t="s">
        <v>176</v>
      </c>
      <c r="C40" s="27"/>
      <c r="D40" s="27"/>
      <c r="E40" s="8" t="n">
        <f aca="false">COUNTIF(K25:K36,"OK")</f>
        <v>4</v>
      </c>
    </row>
    <row r="41" customFormat="false" ht="19.5" hidden="false" customHeight="true" outlineLevel="0" collapsed="false">
      <c r="B41" s="27" t="s">
        <v>177</v>
      </c>
      <c r="C41" s="27"/>
      <c r="D41" s="27"/>
      <c r="E41" s="8" t="n">
        <f aca="false">COUNTIF(K25:K36,"Falta nível")</f>
        <v>1</v>
      </c>
    </row>
    <row r="42" customFormat="false" ht="19.5" hidden="false" customHeight="true" outlineLevel="0" collapsed="false">
      <c r="B42" s="27" t="s">
        <v>178</v>
      </c>
      <c r="C42" s="27"/>
      <c r="D42" s="27"/>
      <c r="E42" s="8" t="n">
        <f aca="false">COUNTIF(K25:K36,"Desigual")</f>
        <v>0</v>
      </c>
    </row>
    <row r="43" customFormat="false" ht="19.5" hidden="false" customHeight="true" outlineLevel="0" collapsed="false">
      <c r="B43" s="27" t="s">
        <v>179</v>
      </c>
      <c r="C43" s="27"/>
      <c r="D43" s="27"/>
      <c r="E43" s="30" t="n">
        <f aca="false">IF(COUNT(H25:H36)=0,"",MIN(H25:H36))</f>
        <v>95</v>
      </c>
    </row>
    <row r="44" customFormat="false" ht="19.5" hidden="false" customHeight="true" outlineLevel="0" collapsed="false">
      <c r="B44" s="27" t="s">
        <v>180</v>
      </c>
      <c r="C44" s="27"/>
      <c r="D44" s="27"/>
      <c r="E44" s="30" t="n">
        <f aca="false">IF(COUNT($K$4,$K$5)&lt;2,"",$K$4+$K$5)</f>
        <v>100</v>
      </c>
    </row>
    <row r="45" customFormat="false" ht="21.75" hidden="false" customHeight="true" outlineLevel="0" collapsed="false">
      <c r="B45" s="27" t="s">
        <v>110</v>
      </c>
      <c r="C45" s="27"/>
      <c r="D45" s="27"/>
      <c r="E45" s="28" t="str">
        <f aca="false">IF(COUNT($K$4:$K$9)&lt;6,"Informe os seis valores de referência",IF(E39=0,"Registre as zonas da plateia",IF(COUNTIF(K25:K36,"Incompleto")&gt;0,"Há zona sem os dados da caixa",IF(E41&gt;0,"Há zona com falta de nível: o sistema não alcança o alvo",IF(E42&gt;0,"Há zona com nível desigual: reveja a posição das caixas","OK")))))</f>
        <v>Há zona com falta de nível: o sistema não alcança o alvo</v>
      </c>
      <c r="F45" s="28"/>
      <c r="G45" s="28"/>
      <c r="H45" s="28"/>
      <c r="I45" s="28"/>
      <c r="J45" s="28"/>
      <c r="K45" s="28"/>
      <c r="L45" s="28"/>
    </row>
    <row r="46" customFormat="false" ht="15" hidden="false" customHeight="true" outlineLevel="0" collapsed="false">
      <c r="B46" s="10" t="s">
        <v>181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8" customFormat="false" ht="21.75" hidden="false" customHeight="true" outlineLevel="0" collapsed="false">
      <c r="B48" s="12" t="s">
        <v>354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customFormat="false" ht="31.5" hidden="false" customHeight="true" outlineLevel="0" collapsed="false">
      <c r="B49" s="4" t="s">
        <v>355</v>
      </c>
      <c r="C49" s="4"/>
      <c r="D49" s="7" t="s">
        <v>375</v>
      </c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31.5" hidden="false" customHeight="true" outlineLevel="0" collapsed="false">
      <c r="B50" s="4" t="s">
        <v>357</v>
      </c>
      <c r="C50" s="4"/>
      <c r="D50" s="7" t="s">
        <v>376</v>
      </c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31.5" hidden="false" customHeight="true" outlineLevel="0" collapsed="false">
      <c r="B51" s="4" t="s">
        <v>359</v>
      </c>
      <c r="C51" s="4"/>
      <c r="D51" s="7" t="s">
        <v>377</v>
      </c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31.5" hidden="false" customHeight="true" outlineLevel="0" collapsed="false">
      <c r="B52" s="4" t="s">
        <v>361</v>
      </c>
      <c r="C52" s="4"/>
      <c r="D52" s="7" t="s">
        <v>378</v>
      </c>
      <c r="E52" s="7"/>
      <c r="F52" s="7"/>
      <c r="G52" s="7"/>
      <c r="H52" s="7"/>
      <c r="I52" s="7"/>
      <c r="J52" s="7"/>
      <c r="K52" s="7"/>
      <c r="L52" s="7"/>
      <c r="M52" s="7"/>
      <c r="N52" s="7"/>
    </row>
  </sheetData>
  <mergeCells count="61">
    <mergeCell ref="B1:N1"/>
    <mergeCell ref="B2:N2"/>
    <mergeCell ref="B4:C4"/>
    <mergeCell ref="D4:F4"/>
    <mergeCell ref="H4:J4"/>
    <mergeCell ref="L4:N4"/>
    <mergeCell ref="B5:C5"/>
    <mergeCell ref="D5:F5"/>
    <mergeCell ref="H5:J5"/>
    <mergeCell ref="L5:N5"/>
    <mergeCell ref="B6:C6"/>
    <mergeCell ref="D6:F6"/>
    <mergeCell ref="H6:J6"/>
    <mergeCell ref="L6:N6"/>
    <mergeCell ref="B7:C7"/>
    <mergeCell ref="D7:F7"/>
    <mergeCell ref="H7:J7"/>
    <mergeCell ref="L7:N7"/>
    <mergeCell ref="H8:J8"/>
    <mergeCell ref="L8:N8"/>
    <mergeCell ref="B9:F9"/>
    <mergeCell ref="H9:J9"/>
    <mergeCell ref="L9:N9"/>
    <mergeCell ref="B11:N11"/>
    <mergeCell ref="J12:K12"/>
    <mergeCell ref="L12:N12"/>
    <mergeCell ref="J13:K13"/>
    <mergeCell ref="L13:N13"/>
    <mergeCell ref="J14:K14"/>
    <mergeCell ref="L14:N14"/>
    <mergeCell ref="J15:K15"/>
    <mergeCell ref="L15:N15"/>
    <mergeCell ref="J16:K16"/>
    <mergeCell ref="L16:N16"/>
    <mergeCell ref="J17:K17"/>
    <mergeCell ref="L17:N17"/>
    <mergeCell ref="J18:K18"/>
    <mergeCell ref="L18:N18"/>
    <mergeCell ref="J19:K19"/>
    <mergeCell ref="L19:N19"/>
    <mergeCell ref="B21:N21"/>
    <mergeCell ref="B24:N24"/>
    <mergeCell ref="B38:N38"/>
    <mergeCell ref="B39:D39"/>
    <mergeCell ref="B40:D40"/>
    <mergeCell ref="B41:D41"/>
    <mergeCell ref="B42:D42"/>
    <mergeCell ref="B43:D43"/>
    <mergeCell ref="B44:D44"/>
    <mergeCell ref="B45:D45"/>
    <mergeCell ref="E45:L45"/>
    <mergeCell ref="B46:N46"/>
    <mergeCell ref="B48:N48"/>
    <mergeCell ref="B49:C49"/>
    <mergeCell ref="D49:N49"/>
    <mergeCell ref="B50:C50"/>
    <mergeCell ref="D50:N50"/>
    <mergeCell ref="B51:C51"/>
    <mergeCell ref="D51:N51"/>
    <mergeCell ref="B52:C52"/>
    <mergeCell ref="D52:N52"/>
  </mergeCells>
  <conditionalFormatting sqref="K25:K3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"Falta nível"</formula>
    </cfRule>
    <cfRule type="cellIs" priority="4" operator="equal" aboveAverage="0" equalAverage="0" bottom="0" percent="0" rank="0" text="" dxfId="2">
      <formula>"Desigual"</formula>
    </cfRule>
    <cfRule type="cellIs" priority="5" operator="equal" aboveAverage="0" equalAverage="0" bottom="0" percent="0" rank="0" text="" dxfId="2">
      <formula>"Incompleto"</formula>
    </cfRule>
  </conditionalFormatting>
  <conditionalFormatting sqref="E45:L45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2">
      <formula>"OK"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G19" type="decimal">
      <formula1>-1000000000</formula1>
      <formula2>1000000000</formula2>
    </dataValidation>
    <dataValidation allowBlank="true" error="Escolha uma das opções da lista." errorStyle="stop" errorTitle="Valor inválido" operator="between" prompt="Número da caixa na lista Caixas do sistema." promptTitle="Opções" showDropDown="false" showErrorMessage="true" showInputMessage="true" sqref="D25:D36" type="list">
      <formula1>"1,2,3,4,5,6"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25:F3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2026-10-01T12:58:59Z</dcterms:created>
  <dc:creator>Estudos: Técnico em áudio e vídeo</dc:creator>
  <dc:description/>
  <dc:language>pt-BR</dc:language>
  <cp:lastModifiedBy/>
  <dcterms:modified xsi:type="dcterms:W3CDTF">2026-10-01T12:58:59Z</dcterms:modified>
  <cp:revision>0</cp:revision>
  <dc:subject/>
  <dc:title>Caixas, amplificação e PA — modelo de impedância, potência e cobertura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