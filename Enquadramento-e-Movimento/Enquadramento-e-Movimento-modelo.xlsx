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osições de câmera" sheetId="2" state="visible" r:id="rId4"/>
    <sheet name="Lista de planos" sheetId="3" state="visible" r:id="rId5"/>
    <sheet name="Autoavaliação" sheetId="4" state="visible" r:id="rId6"/>
    <sheet name="Referência" sheetId="5" state="visible" r:id="rId7"/>
    <sheet name="Checklist" sheetId="6" state="visible" r:id="rId8"/>
    <sheet name="Exemplo - Planos" sheetId="7" state="visible" r:id="rId9"/>
  </sheets>
  <definedNames>
    <definedName function="false" hidden="false" localSheetId="3" name="_xlnm.Print_Area" vbProcedure="false">Autoavaliação!$B$1:$N$32</definedName>
    <definedName function="false" hidden="false" localSheetId="5" name="_xlnm.Print_Area" vbProcedure="false">Checklist!$B$1:$F$20</definedName>
    <definedName function="false" hidden="false" localSheetId="6" name="_xlnm.Print_Area" vbProcedure="false">'Exemplo - Planos'!$B$1:$L$82</definedName>
    <definedName function="false" hidden="false" localSheetId="0" name="_xlnm.Print_Area" vbProcedure="false">Instruções!$B$1:$C$38</definedName>
    <definedName function="false" hidden="false" localSheetId="2" name="_xlnm.Print_Area" vbProcedure="false">'Lista de planos'!$B$1:$L$74</definedName>
    <definedName function="false" hidden="false" localSheetId="1" name="_xlnm.Print_Area" vbProcedure="false">'Posições de câmera'!$B$1:$N$29</definedName>
    <definedName function="false" hidden="false" localSheetId="4" name="_xlnm.Print_Area" vbProcedure="false">Referência!$B$1:$E$65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D11" authorId="0">
      <text>
        <r>
          <rPr>
            <sz val="10"/>
            <rFont val="Arial"/>
            <family val="2"/>
          </rPr>
          <t xml:space="preserve">Fundo do palco fica do outro lado do eixo para quem está no palco: serve só para mostrar o público.</t>
        </r>
      </text>
    </comment>
    <comment ref="G11" authorId="0">
      <text>
        <r>
          <rPr>
            <sz val="10"/>
            <rFont val="Arial"/>
            <family val="2"/>
          </rPr>
          <t xml:space="preserve">Distância horizontal da lente até quem aparece, em metros.
Meça com trena ou conte os passos (um passo ≈ 0,75 m).</t>
        </r>
      </text>
    </comment>
    <comment ref="H11" authorId="0">
      <text>
        <r>
          <rPr>
            <sz val="10"/>
            <rFont val="Arial"/>
            <family val="2"/>
          </rPr>
          <t xml:space="preserve">Altura da lente, em metros, medida do piso da plateia.</t>
        </r>
      </text>
    </comment>
    <comment ref="K11" authorId="0">
      <text>
        <r>
          <rPr>
            <sz val="10"/>
            <rFont val="Arial"/>
            <family val="2"/>
          </rPr>
          <t xml:space="preserve">Positivo: câmera acima dos olhos (plongée).
Negativo: câmera abaixo dos olhos (contra-plongée).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27" authorId="0">
      <text>
        <r>
          <rPr>
            <sz val="10"/>
            <rFont val="Arial"/>
            <family val="2"/>
          </rPr>
          <t xml:space="preserve">Escolha um dos momentos listados no bloco Momentos do evento, acima.</t>
        </r>
      </text>
    </comment>
    <comment ref="F27" authorId="0">
      <text>
        <r>
          <rPr>
            <sz val="10"/>
            <rFont val="Arial"/>
            <family val="2"/>
          </rPr>
          <t xml:space="preserve">PG geral, PC conjunto, PA americano, PM médio, PP primeiro plano, Close, Detalhe.</t>
        </r>
      </text>
    </comment>
    <comment ref="J27" authorId="0">
      <text>
        <r>
          <rPr>
            <sz val="10"/>
            <rFont val="Arial"/>
            <family val="2"/>
          </rPr>
          <t xml:space="preserve">Plano repetido: outra câmera tem o mesmo assunto e plano no mesmo momento.
Fechado na mão: PP, close ou detalhe em mão, monopé ou estabilizador.
Sem plano aberto: nenhuma câmera em PG ou PC neste momento.</t>
        </r>
      </text>
    </comment>
  </commentList>
</comments>
</file>

<file path=xl/sharedStrings.xml><?xml version="1.0" encoding="utf-8"?>
<sst xmlns="http://schemas.openxmlformats.org/spreadsheetml/2006/main" count="570" uniqueCount="405">
  <si>
    <t xml:space="preserve">Enquadramento e movimento — como usar esta planilha</t>
  </si>
  <si>
    <t xml:space="preserve">Plano de posições de câmera, lista de planos por momento e autoavaliação do quadro.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</si>
  <si>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</si>
  <si>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</si>
  <si>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</si>
  <si>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</si>
  <si>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contas, avisos). Não altere.</t>
  </si>
  <si>
    <t xml:space="preserve">Cinza em itálico</t>
  </si>
  <si>
    <t xml:space="preserve">Linha de exemplo (marcada com “Ex.”) e dicas de preenchimento. Não entram nas contas.</t>
  </si>
  <si>
    <t xml:space="preserve">Listas suspensas</t>
  </si>
  <si>
    <t xml:space="preserve">Lado da sala, suporte, momento, câmera, plano, movimento e critérios aceitam só as opções da lista.</t>
  </si>
  <si>
    <t xml:space="preserve">Números</t>
  </si>
  <si>
    <t xml:space="preserve">Digite distâncias e alturas em metros, só com o número: 12 ou 1,5.</t>
  </si>
  <si>
    <t xml:space="preserve">Comentários</t>
  </si>
  <si>
    <t xml:space="preserve">Células com triângulo vermelho no canto trazem uma dica. Passe o mouse sobre elas.</t>
  </si>
  <si>
    <t xml:space="preserve">Ordem de preenchimento</t>
  </si>
  <si>
    <t xml:space="preserve">1</t>
  </si>
  <si>
    <t xml:space="preserve">Aba Posições de câmera: informe a altura do palco e a dos olhos de quem fala, e liste as câmeras.</t>
  </si>
  <si>
    <t xml:space="preserve">2</t>
  </si>
  <si>
    <t xml:space="preserve">Meça a distância e a altura da lente de cada câmera. Veja o ângulo, a leitura e o que fazer.</t>
  </si>
  <si>
    <t xml:space="preserve">3</t>
  </si>
  <si>
    <t xml:space="preserve">Aba Lista de planos: preencha as câmeras (com o suporte) e os momentos do evento, na ordem.</t>
  </si>
  <si>
    <t xml:space="preserve">4</t>
  </si>
  <si>
    <t xml:space="preserve">Liste os planos de cada câmera em cada momento: assunto, plano e movimento.</t>
  </si>
  <si>
    <t xml:space="preserve">5</t>
  </si>
  <si>
    <t xml:space="preserve">Corrija os avisos: plano repetido, plano fechado na mão e momento sem plano aberto.</t>
  </si>
  <si>
    <t xml:space="preserve">6</t>
  </si>
  <si>
    <t xml:space="preserve">Aba Checklist: confira os doze itens em cada câmera antes do evento.</t>
  </si>
  <si>
    <t xml:space="preserve">7</t>
  </si>
  <si>
    <t xml:space="preserve">Depois do evento, aba Autoavaliação: avalie quadros da gravação e veja o critério a treinar.</t>
  </si>
  <si>
    <t xml:space="preserve">Abas da planilha</t>
  </si>
  <si>
    <t xml:space="preserve">Posições de câmera</t>
  </si>
  <si>
    <t xml:space="preserve">Até seis câmeras, com desnível, ângulo vertical aproximado, leitura e situação.</t>
  </si>
  <si>
    <t xml:space="preserve">Lista de planos</t>
  </si>
  <si>
    <t xml:space="preserve">Até 4 câmeras, 8 momentos e 36 planos, com a conferência das regras de cobertura.</t>
  </si>
  <si>
    <t xml:space="preserve">Autoavaliação</t>
  </si>
  <si>
    <t xml:space="preserve">Até doze quadros de uma gravação, em sete critérios, com nota e critério a treinar.</t>
  </si>
  <si>
    <t xml:space="preserve">Referência</t>
  </si>
  <si>
    <t xml:space="preserve">Planos, composição, ângulo por distância, movimentos, suportes, cobertura e comandos.</t>
  </si>
  <si>
    <t xml:space="preserve">Checklist</t>
  </si>
  <si>
    <t xml:space="preserve">Os doze itens do treinamento, com percentual atendido.</t>
  </si>
  <si>
    <t xml:space="preserve">Exemplo - Planos</t>
  </si>
  <si>
    <t xml:space="preserve">A primeira lista de planos de um culto com três câmeras (exemplo 1 do treinamento).</t>
  </si>
  <si>
    <t xml:space="preserve">Regras e premissas do modelo</t>
  </si>
  <si>
    <t xml:space="preserve">Ângulo vertical</t>
  </si>
  <si>
    <t xml:space="preserve">Calculado pelo desnível entre a lente e os olhos de quem fala e pela distância horizontal, com uma aproximação de erro menor que um grau.</t>
  </si>
  <si>
    <t xml:space="preserve">Limites do ângulo</t>
  </si>
  <si>
    <t xml:space="preserve">Até 10° conta como normal; acima de 25°, o efeito de plongée ou de contra-plongée é evidente. São regra prática deste material, e podem ser trocados no alto da aba.</t>
  </si>
  <si>
    <t xml:space="preserve">Plano aberto</t>
  </si>
  <si>
    <t xml:space="preserve">PG e PC contam como plano aberto. Todo momento precisa de pelo menos um, como plano de segurança.</t>
  </si>
  <si>
    <t xml:space="preserve">Plano repetido</t>
  </si>
  <si>
    <t xml:space="preserve">Mesmo momento, mesmo assunto e mesmo plano em duas câmeras. Escreva o assunto sempre do mesmo jeito, para a conferência funcionar.</t>
  </si>
  <si>
    <t xml:space="preserve">Fechado na mão</t>
  </si>
  <si>
    <t xml:space="preserve">PP, close ou detalhe em câmera na mão, em monopé ou em estabilizador. Teste antes: o limite depende da câmera, da lente e de quem opera.</t>
  </si>
  <si>
    <t xml:space="preserve">Nota é a fração de Sim entre os critérios que se aplicam. 85% ou mais: OK; de 60% a 85%: treinar; abaixo: refazer.</t>
  </si>
  <si>
    <t xml:space="preserve">Exemplos</t>
  </si>
  <si>
    <t xml:space="preserve">Os dados da aba de exemplo são ilustrativos, criados para este material.</t>
  </si>
  <si>
    <t xml:space="preserve">Posições de câmera — plano de posições e ângulo vertical</t>
  </si>
  <si>
    <t xml:space="preserve">Preencha as células em amarelo-claro. As células cinza são calculadas.</t>
  </si>
  <si>
    <t xml:space="preserve">Evento</t>
  </si>
  <si>
    <t xml:space="preserve">Altura do palco (m)</t>
  </si>
  <si>
    <t xml:space="preserve">Do piso da plateia ao piso do palco. Sem palco: 0.</t>
  </si>
  <si>
    <t xml:space="preserve">Local</t>
  </si>
  <si>
    <t xml:space="preserve">Olhos de quem fala, em pé (m)</t>
  </si>
  <si>
    <t xml:space="preserve">Acima do piso em que a pessoa está. Sentada: cerca de 1,2.</t>
  </si>
  <si>
    <t xml:space="preserve">Data</t>
  </si>
  <si>
    <t xml:space="preserve">Altura dos olhos, do piso da plateia (m)</t>
  </si>
  <si>
    <t xml:space="preserve">Calculada: palco mais olhos.</t>
  </si>
  <si>
    <t xml:space="preserve">Diretor de imagem</t>
  </si>
  <si>
    <t xml:space="preserve">Ângulo normal até (°)</t>
  </si>
  <si>
    <t xml:space="preserve">Regra prática deste material.</t>
  </si>
  <si>
    <t xml:space="preserve">Ângulo evidente acima de (°)</t>
  </si>
  <si>
    <t xml:space="preserve">Câmeras e posições</t>
  </si>
  <si>
    <t xml:space="preserve">Câm.</t>
  </si>
  <si>
    <t xml:space="preserve">Posição</t>
  </si>
  <si>
    <t xml:space="preserve">Lado da sala</t>
  </si>
  <si>
    <t xml:space="preserve">Suporte</t>
  </si>
  <si>
    <t xml:space="preserve">Operador</t>
  </si>
  <si>
    <t xml:space="preserve">Distância</t>
  </si>
  <si>
    <t xml:space="preserve">Altura da lente</t>
  </si>
  <si>
    <t xml:space="preserve">Planos que faz</t>
  </si>
  <si>
    <t xml:space="preserve">Desnível</t>
  </si>
  <si>
    <t xml:space="preserve">Ângulo</t>
  </si>
  <si>
    <t xml:space="preserve">Leitura</t>
  </si>
  <si>
    <t xml:space="preserve">Situação</t>
  </si>
  <si>
    <t xml:space="preserve">O que fazer</t>
  </si>
  <si>
    <t xml:space="preserve">nº</t>
  </si>
  <si>
    <t xml:space="preserve">onde fica</t>
  </si>
  <si>
    <t xml:space="preserve">lista</t>
  </si>
  <si>
    <t xml:space="preserve">nome</t>
  </si>
  <si>
    <t xml:space="preserve">m, até quem fala</t>
  </si>
  <si>
    <t xml:space="preserve">m, do piso</t>
  </si>
  <si>
    <t xml:space="preserve">ex.: PG, PM</t>
  </si>
  <si>
    <t xml:space="preserve">lente − olhos (m)</t>
  </si>
  <si>
    <t xml:space="preserve">+ alta, − baixa</t>
  </si>
  <si>
    <t xml:space="preserve">Ex.</t>
  </si>
  <si>
    <t xml:space="preserve">Central, ao fundo, no chão</t>
  </si>
  <si>
    <t xml:space="preserve">Fundo da sala</t>
  </si>
  <si>
    <t xml:space="preserve">Tripé fluido</t>
  </si>
  <si>
    <t xml:space="preserve">Operador 1</t>
  </si>
  <si>
    <t xml:space="preserve">PG e PM</t>
  </si>
  <si>
    <t xml:space="preserve">Normal</t>
  </si>
  <si>
    <t xml:space="preserve">OK</t>
  </si>
  <si>
    <t xml:space="preserve">Manter</t>
  </si>
  <si>
    <t xml:space="preserve">Resumo automático</t>
  </si>
  <si>
    <t xml:space="preserve">Câmeras listadas</t>
  </si>
  <si>
    <t xml:space="preserve">Ângulo normal (OK)</t>
  </si>
  <si>
    <t xml:space="preserve">Ângulo a conferir (Atenção)</t>
  </si>
  <si>
    <t xml:space="preserve">Ângulo a revisar</t>
  </si>
  <si>
    <t xml:space="preserve">Do outro lado do eixo</t>
  </si>
  <si>
    <t xml:space="preserve">Aviso</t>
  </si>
  <si>
    <t xml:space="preserve">O ângulo usa uma aproximação com erro menor que um grau. Os limites de 10° e 25° são regra prática deste material, e não norma.</t>
  </si>
  <si>
    <t xml:space="preserve">Lista de planos — o que cada câmera mostra em cada momento</t>
  </si>
  <si>
    <t xml:space="preserve">Preencha as células em amarelo-claro: câmeras, momentos e planos. As células cinza são calculadas.</t>
  </si>
  <si>
    <t xml:space="preserve">Regras conferidas: sempre um plano aberto (PG ou PC) por momento; duas câmeras não repetem assunto e plano; plano fechado só em tripé.</t>
  </si>
  <si>
    <t xml:space="preserve">Câmeras</t>
  </si>
  <si>
    <t xml:space="preserve">Planos na lista</t>
  </si>
  <si>
    <t xml:space="preserve">Planos fechados (PP, close, detalhe)</t>
  </si>
  <si>
    <t xml:space="preserve">Momentos do evento, na ordem</t>
  </si>
  <si>
    <t xml:space="preserve">Momento</t>
  </si>
  <si>
    <t xml:space="preserve">Planos</t>
  </si>
  <si>
    <t xml:space="preserve">Abertos</t>
  </si>
  <si>
    <t xml:space="preserve">Repetidos</t>
  </si>
  <si>
    <t xml:space="preserve">Lista de planos (shot list)</t>
  </si>
  <si>
    <t xml:space="preserve">#</t>
  </si>
  <si>
    <t xml:space="preserve">Câmera</t>
  </si>
  <si>
    <t xml:space="preserve">Assunto</t>
  </si>
  <si>
    <t xml:space="preserve">Plano</t>
  </si>
  <si>
    <t xml:space="preserve">Movimento</t>
  </si>
  <si>
    <t xml:space="preserve">Aberto</t>
  </si>
  <si>
    <t xml:space="preserve">Observação</t>
  </si>
  <si>
    <t xml:space="preserve">1 a 4</t>
  </si>
  <si>
    <t xml:space="preserve">quem ou o quê</t>
  </si>
  <si>
    <t xml:space="preserve">da câmera</t>
  </si>
  <si>
    <t xml:space="preserve">PG ou PC</t>
  </si>
  <si>
    <t xml:space="preserve">Pregação</t>
  </si>
  <si>
    <t xml:space="preserve">Pastor</t>
  </si>
  <si>
    <t xml:space="preserve">PM</t>
  </si>
  <si>
    <t xml:space="preserve">Acompanha</t>
  </si>
  <si>
    <t xml:space="preserve">Não</t>
  </si>
  <si>
    <t xml:space="preserve">Planos em OK</t>
  </si>
  <si>
    <t xml:space="preserve">Planos repetidos</t>
  </si>
  <si>
    <t xml:space="preserve">Planos fechados na mão</t>
  </si>
  <si>
    <t xml:space="preserve">Planos a rever (todos os avisos)</t>
  </si>
  <si>
    <t xml:space="preserve">Momentos sem plano aberto</t>
  </si>
  <si>
    <t xml:space="preserve">Autoavaliação do quadro — revisão da gravação</t>
  </si>
  <si>
    <t xml:space="preserve">Pause a gravação em até doze pontos e marque cada critério. As células cinza são calculadas.</t>
  </si>
  <si>
    <t xml:space="preserve">Gravação</t>
  </si>
  <si>
    <t xml:space="preserve">Nota para OK</t>
  </si>
  <si>
    <t xml:space="preserve">Igual ou acima: o quadro está pronto.</t>
  </si>
  <si>
    <t xml:space="preserve">Nota mínima para treinar</t>
  </si>
  <si>
    <t xml:space="preserve">Entre esta e a de OK: treinar. Abaixo: refazer.</t>
  </si>
  <si>
    <t xml:space="preserve">Marque Não se aplica quando o critério não vale para o quadro (espaço do olhar em quem olha para a câmera, por exemplo).</t>
  </si>
  <si>
    <t xml:space="preserve">Câmera e posição</t>
  </si>
  <si>
    <t xml:space="preserve">Quadros avaliados</t>
  </si>
  <si>
    <t xml:space="preserve">Tempo</t>
  </si>
  <si>
    <t xml:space="preserve">Plano pedido</t>
  </si>
  <si>
    <t xml:space="preserve">Olhos no terço superior</t>
  </si>
  <si>
    <t xml:space="preserve">Corte fora das articulações</t>
  </si>
  <si>
    <t xml:space="preserve">Espaço do olhar</t>
  </si>
  <si>
    <t xml:space="preserve">Horizonte nivelado</t>
  </si>
  <si>
    <t xml:space="preserve">Bordas e fundo limpos</t>
  </si>
  <si>
    <t xml:space="preserve">Quadro firme</t>
  </si>
  <si>
    <t xml:space="preserve">Nota</t>
  </si>
  <si>
    <t xml:space="preserve">mm:ss</t>
  </si>
  <si>
    <t xml:space="preserve">Sim / Não</t>
  </si>
  <si>
    <t xml:space="preserve">% de Sim</t>
  </si>
  <si>
    <t xml:space="preserve">Atendimento por critério</t>
  </si>
  <si>
    <t xml:space="preserve">Nota geral</t>
  </si>
  <si>
    <t xml:space="preserve">Quadros a refazer</t>
  </si>
  <si>
    <t xml:space="preserve">Critério a treinar primeiro</t>
  </si>
  <si>
    <t xml:space="preserve">Os cortes de 85% e 60% são regra prática deste material. Avalie a gravação, e não a lembrança do que foi feito.</t>
  </si>
  <si>
    <t xml:space="preserve">Referência — planos, composição e cobertura</t>
  </si>
  <si>
    <t xml:space="preserve">Valores e regras de referência, para servir de ponto de partida.</t>
  </si>
  <si>
    <t xml:space="preserve">Onde termina o quadro</t>
  </si>
  <si>
    <t xml:space="preserve">Para que serve</t>
  </si>
  <si>
    <t xml:space="preserve">Em um culto ou em uma palestra</t>
  </si>
  <si>
    <t xml:space="preserve">PG · Plano geral</t>
  </si>
  <si>
    <t xml:space="preserve">O ambiente inteiro</t>
  </si>
  <si>
    <t xml:space="preserve">Situar: o lugar, o público, o clima</t>
  </si>
  <si>
    <t xml:space="preserve">Abertura, congregação cantando, trocas de momento. Plano de segurança.</t>
  </si>
  <si>
    <t xml:space="preserve">PC · Plano conjunto</t>
  </si>
  <si>
    <t xml:space="preserve">Um grupo de corpo inteiro</t>
  </si>
  <si>
    <t xml:space="preserve">Quem está junto e o que cada um faz</t>
  </si>
  <si>
    <t xml:space="preserve">A banda, o coral, a mesa de convidados.</t>
  </si>
  <si>
    <t xml:space="preserve">PA · Plano americano</t>
  </si>
  <si>
    <t xml:space="preserve">No meio da coxa</t>
  </si>
  <si>
    <t xml:space="preserve">Espaço para quem anda e gesticula</t>
  </si>
  <si>
    <t xml:space="preserve">O pregador que caminha pelo palco, o regente.</t>
  </si>
  <si>
    <t xml:space="preserve">PM · Plano médio</t>
  </si>
  <si>
    <t xml:space="preserve">Abaixo da cintura</t>
  </si>
  <si>
    <t xml:space="preserve">Quem fala, com os gestos</t>
  </si>
  <si>
    <t xml:space="preserve">Pregação, palestra, avisos: o plano de trabalho.</t>
  </si>
  <si>
    <t xml:space="preserve">PP · Primeiro plano</t>
  </si>
  <si>
    <t xml:space="preserve">No peito</t>
  </si>
  <si>
    <t xml:space="preserve">O rosto manda no quadro</t>
  </si>
  <si>
    <t xml:space="preserve">Leitura, oração, apelo, o trecho forte de uma canção.</t>
  </si>
  <si>
    <t xml:space="preserve">Close</t>
  </si>
  <si>
    <t xml:space="preserve">No alto dos ombros</t>
  </si>
  <si>
    <t xml:space="preserve">A emoção</t>
  </si>
  <si>
    <t xml:space="preserve">Poucos segundos, com a pessoa parada.</t>
  </si>
  <si>
    <t xml:space="preserve">Detalhe</t>
  </si>
  <si>
    <t xml:space="preserve">Uma parte do corpo ou um objeto</t>
  </si>
  <si>
    <t xml:space="preserve">O que os outros planos não mostram</t>
  </si>
  <si>
    <t xml:space="preserve">As mãos no teclado, a Bíblia aberta. Cobre troca de câmera.</t>
  </si>
  <si>
    <t xml:space="preserve">Composição</t>
  </si>
  <si>
    <t xml:space="preserve">Regra</t>
  </si>
  <si>
    <t xml:space="preserve">Como aplicar</t>
  </si>
  <si>
    <t xml:space="preserve">Erro comum</t>
  </si>
  <si>
    <t xml:space="preserve">Correção</t>
  </si>
  <si>
    <t xml:space="preserve">Regra dos terços</t>
  </si>
  <si>
    <t xml:space="preserve">Assunto sobre as linhas da grade</t>
  </si>
  <si>
    <t xml:space="preserve">Tudo no centro exato</t>
  </si>
  <si>
    <t xml:space="preserve">Ligue a grade no visor e desloque o quadro.</t>
  </si>
  <si>
    <t xml:space="preserve">Do plano americano ao close</t>
  </si>
  <si>
    <t xml:space="preserve">Rosto no meio do quadro</t>
  </si>
  <si>
    <t xml:space="preserve">Tilt até os olhos tocarem a linha de cima.</t>
  </si>
  <si>
    <t xml:space="preserve">Teto (headroom)</t>
  </si>
  <si>
    <t xml:space="preserve">Diminui quando o plano fecha</t>
  </si>
  <si>
    <t xml:space="preserve">Zoom sem corrigir o tilt</t>
  </si>
  <si>
    <t xml:space="preserve">Ao fechar, a câmera sobe; ao abrir, desce.</t>
  </si>
  <si>
    <t xml:space="preserve">Espaço maior à frente do rosto ou do movimento</t>
  </si>
  <si>
    <t xml:space="preserve">Nariz na borda</t>
  </si>
  <si>
    <t xml:space="preserve">Pessoa no terço oposto ao olhar.</t>
  </si>
  <si>
    <t xml:space="preserve">Corte do corpo</t>
  </si>
  <si>
    <t xml:space="preserve">Entre as articulações</t>
  </si>
  <si>
    <t xml:space="preserve">Corte no pescoço, na cintura, no joelho</t>
  </si>
  <si>
    <t xml:space="preserve">Abra ou feche até o peito, abaixo da cintura, o meio da coxa.</t>
  </si>
  <si>
    <t xml:space="preserve">Horizonte</t>
  </si>
  <si>
    <t xml:space="preserve">Linhas da sala paralelas à borda</t>
  </si>
  <si>
    <t xml:space="preserve">Tripé desnivelado</t>
  </si>
  <si>
    <t xml:space="preserve">Bolha no centro e pan de teste de ponta a ponta.</t>
  </si>
  <si>
    <t xml:space="preserve">Bordas e fundo</t>
  </si>
  <si>
    <t xml:space="preserve">Nada que distraia</t>
  </si>
  <si>
    <t xml:space="preserve">Pedestal saindo da cabeça, meio rosto na borda</t>
  </si>
  <si>
    <t xml:space="preserve">Um passo para o lado ou um pouco de zoom.</t>
  </si>
  <si>
    <t xml:space="preserve">Ângulo vertical pela distância e pelo desnível entre a lente e os olhos</t>
  </si>
  <si>
    <t xml:space="preserve">Distância horizontal</t>
  </si>
  <si>
    <t xml:space="preserve">Desnível de 0,5 m</t>
  </si>
  <si>
    <t xml:space="preserve">Desnível de 1 m</t>
  </si>
  <si>
    <t xml:space="preserve">Desnível de 2 m</t>
  </si>
  <si>
    <t xml:space="preserve">3 m</t>
  </si>
  <si>
    <t xml:space="preserve">9°</t>
  </si>
  <si>
    <t xml:space="preserve">18°</t>
  </si>
  <si>
    <t xml:space="preserve">34°</t>
  </si>
  <si>
    <t xml:space="preserve">5 m</t>
  </si>
  <si>
    <t xml:space="preserve">6°</t>
  </si>
  <si>
    <t xml:space="preserve">11°</t>
  </si>
  <si>
    <t xml:space="preserve">22°</t>
  </si>
  <si>
    <t xml:space="preserve">8 m</t>
  </si>
  <si>
    <t xml:space="preserve">4°</t>
  </si>
  <si>
    <t xml:space="preserve">7°</t>
  </si>
  <si>
    <t xml:space="preserve">14°</t>
  </si>
  <si>
    <t xml:space="preserve">12 m</t>
  </si>
  <si>
    <t xml:space="preserve">2°</t>
  </si>
  <si>
    <t xml:space="preserve">5°</t>
  </si>
  <si>
    <t xml:space="preserve">15 m</t>
  </si>
  <si>
    <t xml:space="preserve">8°</t>
  </si>
  <si>
    <t xml:space="preserve">20 m</t>
  </si>
  <si>
    <t xml:space="preserve">1°</t>
  </si>
  <si>
    <t xml:space="preserve">3°</t>
  </si>
  <si>
    <t xml:space="preserve">Até uns 10°: parece normal. De 10° a 25°: perceptível. Acima de 25°: evidente. Regra prática deste material.</t>
  </si>
  <si>
    <t xml:space="preserve">Movimentos</t>
  </si>
  <si>
    <t xml:space="preserve">O que acontece</t>
  </si>
  <si>
    <t xml:space="preserve">Quando usar</t>
  </si>
  <si>
    <t xml:space="preserve">Cuidado</t>
  </si>
  <si>
    <t xml:space="preserve">Pan (panorâmica)</t>
  </si>
  <si>
    <t xml:space="preserve">Giro para os lados</t>
  </si>
  <si>
    <t xml:space="preserve">Acompanhar quem anda, ir de um assunto a outro</t>
  </si>
  <si>
    <t xml:space="preserve">Tripé nivelado. Um objeto leva de 5 a 7 s para atravessar o quadro, como ponto de partida.</t>
  </si>
  <si>
    <t xml:space="preserve">Tilt</t>
  </si>
  <si>
    <t xml:space="preserve">Inclinação para cima ou para baixo</t>
  </si>
  <si>
    <t xml:space="preserve">Corrigir o teto, ir das mãos ao rosto</t>
  </si>
  <si>
    <t xml:space="preserve">Contrapeso ajustado, ou a câmera cai ao soltar.</t>
  </si>
  <si>
    <t xml:space="preserve">Zoom</t>
  </si>
  <si>
    <t xml:space="preserve">A lente fecha ou abre o ângulo</t>
  </si>
  <si>
    <t xml:space="preserve">Trocar de plano fora do ar</t>
  </si>
  <si>
    <t xml:space="preserve">Corrigir o tilt junto e conferir o foco.</t>
  </si>
  <si>
    <t xml:space="preserve">Travelling</t>
  </si>
  <si>
    <t xml:space="preserve">A câmera inteira se desloca</t>
  </si>
  <si>
    <t xml:space="preserve">Dar profundidade, chegar perto</t>
  </si>
  <si>
    <t xml:space="preserve">Estabilizador, trilho ou rodas, e caminho livre.</t>
  </si>
  <si>
    <t xml:space="preserve">Suportes</t>
  </si>
  <si>
    <t xml:space="preserve">Planos que sustenta bem</t>
  </si>
  <si>
    <t xml:space="preserve">Tripé com cabeça fluida</t>
  </si>
  <si>
    <t xml:space="preserve">Todos, do geral ao close</t>
  </si>
  <si>
    <t xml:space="preserve">Pan e tilt suaves</t>
  </si>
  <si>
    <t xml:space="preserve">O suporte padrão. O plano fechado pede piso firme.</t>
  </si>
  <si>
    <t xml:space="preserve">Tripé com cabeça de fotografia</t>
  </si>
  <si>
    <t xml:space="preserve">Todos, com a câmera parada</t>
  </si>
  <si>
    <t xml:space="preserve">Nenhum no ar</t>
  </si>
  <si>
    <t xml:space="preserve">Câmera fixa sem operador.</t>
  </si>
  <si>
    <t xml:space="preserve">Monopé</t>
  </si>
  <si>
    <t xml:space="preserve">Do geral ao médio</t>
  </si>
  <si>
    <t xml:space="preserve">Pan curta</t>
  </si>
  <si>
    <t xml:space="preserve">Rápido de mudar de lugar.</t>
  </si>
  <si>
    <t xml:space="preserve">Mão ou ombro</t>
  </si>
  <si>
    <t xml:space="preserve">Do geral ao médio, lente aberta</t>
  </si>
  <si>
    <t xml:space="preserve">Travelling curto</t>
  </si>
  <si>
    <t xml:space="preserve">Cansa: trechos curtos.</t>
  </si>
  <si>
    <t xml:space="preserve">Estabilizador</t>
  </si>
  <si>
    <t xml:space="preserve">Do geral ao médio, em movimento</t>
  </si>
  <si>
    <t xml:space="preserve">Travelling longo</t>
  </si>
  <si>
    <t xml:space="preserve">Equilíbrio antes de ligar e bateria carregada.</t>
  </si>
  <si>
    <t xml:space="preserve">Cobertura com uma, duas e três câmeras</t>
  </si>
  <si>
    <t xml:space="preserve">Câmera 1</t>
  </si>
  <si>
    <t xml:space="preserve">Câmera 2</t>
  </si>
  <si>
    <t xml:space="preserve">Câmera 3</t>
  </si>
  <si>
    <t xml:space="preserve">Uma</t>
  </si>
  <si>
    <t xml:space="preserve">Central: PA ou PM folgado de quem fala; PG no louvor</t>
  </si>
  <si>
    <t xml:space="preserve">–</t>
  </si>
  <si>
    <t xml:space="preserve">Duas</t>
  </si>
  <si>
    <t xml:space="preserve">Central, aberta (PG ou PC): plano de segurança</t>
  </si>
  <si>
    <t xml:space="preserve">Fechada em quem fala ou canta (PM, PP)</t>
  </si>
  <si>
    <t xml:space="preserve">Três</t>
  </si>
  <si>
    <t xml:space="preserve">Central, aberta: plano de segurança</t>
  </si>
  <si>
    <t xml:space="preserve">Fechada em quem fala (PM, PP)</t>
  </si>
  <si>
    <t xml:space="preserve">Móvel: banda, detalhes, congregação</t>
  </si>
  <si>
    <t xml:space="preserve">Comandos do diretor (combine a lista com a equipe)</t>
  </si>
  <si>
    <t xml:space="preserve">Comando</t>
  </si>
  <si>
    <t xml:space="preserve">O que o operador faz</t>
  </si>
  <si>
    <t xml:space="preserve">“Abre” / “fecha”</t>
  </si>
  <si>
    <t xml:space="preserve">Zoom para um plano mais aberto ou mais fechado</t>
  </si>
  <si>
    <t xml:space="preserve">“Sobe” / “desce”</t>
  </si>
  <si>
    <t xml:space="preserve">Tilt para cima ou para baixo</t>
  </si>
  <si>
    <t xml:space="preserve">“Esquerda” / “direita”</t>
  </si>
  <si>
    <t xml:space="preserve">Pan, em geral pelo lado do quadro</t>
  </si>
  <si>
    <t xml:space="preserve">“Corrige”</t>
  </si>
  <si>
    <t xml:space="preserve">Acerta teto, nível, espaço do olhar ou foco</t>
  </si>
  <si>
    <t xml:space="preserve">“Segura”</t>
  </si>
  <si>
    <t xml:space="preserve">Não mexe em nada</t>
  </si>
  <si>
    <t xml:space="preserve">“Acompanha”</t>
  </si>
  <si>
    <t xml:space="preserve">Segue a pessoa mantendo o plano</t>
  </si>
  <si>
    <t xml:space="preserve">“Livre”</t>
  </si>
  <si>
    <t xml:space="preserve">Saiu do ar: pode buscar outro quadro</t>
  </si>
  <si>
    <t xml:space="preserve">“Volta para a base”</t>
  </si>
  <si>
    <t xml:space="preserve">Retorna ao plano de base do momento</t>
  </si>
  <si>
    <t xml:space="preserve">Valores e regras de referência deste material, e não norma. Os nomes dos planos variam entre equipes: combine a lista antes do evento.</t>
  </si>
  <si>
    <t xml:space="preserve">Checklist da câmera</t>
  </si>
  <si>
    <t xml:space="preserve">Confira em cada câmera, antes de o evento começar. Escolha a situação de cada item na lista suspensa.</t>
  </si>
  <si>
    <t xml:space="preserve">Grupo</t>
  </si>
  <si>
    <t xml:space="preserve">Item</t>
  </si>
  <si>
    <t xml:space="preserve">Preparação</t>
  </si>
  <si>
    <t xml:space="preserve">Li o roteiro e a lista de planos, e sei o plano de base da minha câmera em cada momento.</t>
  </si>
  <si>
    <t xml:space="preserve">A posição tem visão livre do palco com o público em pé, e está do lado certo do eixo.</t>
  </si>
  <si>
    <t xml:space="preserve">O tripé está firme, fora da passagem, e os cabos estão presos ao chão.</t>
  </si>
  <si>
    <t xml:space="preserve">Tripé</t>
  </si>
  <si>
    <t xml:space="preserve">A cabeça está nivelada: a bolha está no centro, e o horizonte fica reto na panorâmica de ponta a ponta.</t>
  </si>
  <si>
    <t xml:space="preserve">A câmera está equilibrada, com contrapeso e fricção ajustados: fica parada onde eu a deixo.</t>
  </si>
  <si>
    <t xml:space="preserve">Imagem</t>
  </si>
  <si>
    <t xml:space="preserve">A grade de terços está ligada no visor, e exposição, foco e cor foram conferidos.</t>
  </si>
  <si>
    <t xml:space="preserve">Quadro</t>
  </si>
  <si>
    <t xml:space="preserve">Em cada plano de pessoa, os olhos ficam no terço superior e o teto está na medida.</t>
  </si>
  <si>
    <t xml:space="preserve">Há espaço livre na direção do olhar ou do movimento.</t>
  </si>
  <si>
    <t xml:space="preserve">As bordas e o fundo estão limpos, e o corte do corpo fica fora das articulações.</t>
  </si>
  <si>
    <t xml:space="preserve">Ensaiei os movimentos: sei o quadro inicial e o final, e seguro dois ou três segundos em cada um.</t>
  </si>
  <si>
    <t xml:space="preserve">Testei e anotei o plano mais fechado que mantenho firme desta posição.</t>
  </si>
  <si>
    <t xml:space="preserve">Equipe</t>
  </si>
  <si>
    <t xml:space="preserve">O intercomunicador e a luz de tally foram testados, e os comandos foram combinados com o diretor.</t>
  </si>
  <si>
    <t xml:space="preserve">Itens respondidos</t>
  </si>
  <si>
    <t xml:space="preserve">Percentual atendido (Parcial vale metade)</t>
  </si>
  <si>
    <t xml:space="preserve">Exemplo preenchido, para consulta. Use a aba Lista de planos para o seu evento.</t>
  </si>
  <si>
    <t xml:space="preserve">Culto de domingo, 19 h, com transmissão</t>
  </si>
  <si>
    <t xml:space="preserve">Diretor de imagem da escala</t>
  </si>
  <si>
    <t xml:space="preserve">Central, ao fundo, sobre praticável</t>
  </si>
  <si>
    <t xml:space="preserve">Lateral direita, a uns 35° do centro</t>
  </si>
  <si>
    <t xml:space="preserve">Operador 2</t>
  </si>
  <si>
    <t xml:space="preserve">Móvel, perto do palco</t>
  </si>
  <si>
    <t xml:space="preserve">Mão</t>
  </si>
  <si>
    <t xml:space="preserve">Operador 3</t>
  </si>
  <si>
    <t xml:space="preserve">Abertura</t>
  </si>
  <si>
    <t xml:space="preserve">Louvor</t>
  </si>
  <si>
    <t xml:space="preserve">Encerramento</t>
  </si>
  <si>
    <t xml:space="preserve">A primeira lista do exemplo 1, antes das correções. As colunas de H a K são calculadas.</t>
  </si>
  <si>
    <t xml:space="preserve">Igreja e palco</t>
  </si>
  <si>
    <t xml:space="preserve">PG</t>
  </si>
  <si>
    <t xml:space="preserve">Fixo</t>
  </si>
  <si>
    <t xml:space="preserve">Apresentador</t>
  </si>
  <si>
    <t xml:space="preserve">Congregação chegando</t>
  </si>
  <si>
    <t xml:space="preserve">PC</t>
  </si>
  <si>
    <t xml:space="preserve">Palco e congregação</t>
  </si>
  <si>
    <t xml:space="preserve">Cantora</t>
  </si>
  <si>
    <t xml:space="preserve">PP</t>
  </si>
  <si>
    <t xml:space="preserve">Banda</t>
  </si>
  <si>
    <t xml:space="preserve">Leitor</t>
  </si>
  <si>
    <t xml:space="preserve">Bíblia nas mãos</t>
  </si>
  <si>
    <t xml:space="preserve">O que foi ajustado</t>
  </si>
  <si>
    <t xml:space="preserve">Momento e câmera</t>
  </si>
  <si>
    <t xml:space="preserve">Na primeira lista</t>
  </si>
  <si>
    <t xml:space="preserve">Como ficou</t>
  </si>
  <si>
    <t xml:space="preserve">Leitura · câm. 1</t>
  </si>
  <si>
    <t xml:space="preserve">Leitor, PM (repetido com a câmera 2)</t>
  </si>
  <si>
    <t xml:space="preserve">Palco e leitor, PC. O momento ganhou o plano aberto.</t>
  </si>
  <si>
    <t xml:space="preserve">Leitura · câm. 3</t>
  </si>
  <si>
    <t xml:space="preserve">Bíblia nas mãos, detalhe, na mão</t>
  </si>
  <si>
    <t xml:space="preserve">Congregação acompanhando a leitura, PC.</t>
  </si>
  <si>
    <t xml:space="preserve">Pregação · câm. 1</t>
  </si>
  <si>
    <t xml:space="preserve">Pastor, PM (repetido com a câmera 2)</t>
  </si>
  <si>
    <t xml:space="preserve">Pastor e púlpito, PC, com espaço para ele andar.</t>
  </si>
  <si>
    <t xml:space="preserve">Pregação · câm. 3</t>
  </si>
  <si>
    <t xml:space="preserve">Pastor, PP, na mão</t>
  </si>
  <si>
    <t xml:space="preserve">Congregação ouvindo, PC.</t>
  </si>
  <si>
    <t xml:space="preserve">Resultado</t>
  </si>
  <si>
    <t xml:space="preserve">6 planos a rever e 2 momentos sem plano aberto</t>
  </si>
  <si>
    <t xml:space="preserve">Todos os 14 planos em OK depois das quatro trocas.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</si>
</sst>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dd/mm/yyyy"/>
    <numFmt numFmtId="167" formatCode="0"/>
    <numFmt numFmtId="168" formatCode="\+0\°;\-0\°;0\°"/>
    <numFmt numFmtId="169" formatCode="\+0.00;\-0.00;0.00"/>
    <numFmt numFmtId="170" formatCode="General"/>
    <numFmt numFmtId="171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BEBC8"/>
      </patternFill>
    </fill>
    <fill>
      <patternFill patternType="solid">
        <fgColor rgb="FF2B5C8A"/>
        <bgColor rgb="FF1E7B73"/>
      </patternFill>
    </fill>
    <fill>
      <patternFill patternType="solid">
        <fgColor rgb="FF1E7B73"/>
        <bgColor rgb="FF008080"/>
      </patternFill>
    </fill>
    <fill>
      <patternFill patternType="solid">
        <fgColor rgb="FFFFFFFF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8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F6D9D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C0C0C0"/>
      <rgbColor rgb="FF808080"/>
      <rgbColor rgb="FF9999FF"/>
      <rgbColor rgb="FF7A4A9A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FDD"/>
      <rgbColor rgb="FFFBEBC8"/>
      <rgbColor rgb="FF99CCFF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6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19.5" hidden="false" customHeight="true" outlineLevel="0" collapsed="false">
      <c r="B9" s="4" t="s">
        <v>11</v>
      </c>
      <c r="C9" s="7" t="s">
        <v>12</v>
      </c>
    </row>
    <row r="10" customFormat="false" ht="19.5" hidden="false" customHeight="true" outlineLevel="0" collapsed="false">
      <c r="B10" s="4" t="s">
        <v>13</v>
      </c>
      <c r="C10" s="7" t="s">
        <v>14</v>
      </c>
    </row>
    <row r="12" customFormat="false" ht="21.75" hidden="false" customHeight="true" outlineLevel="0" collapsed="false">
      <c r="B12" s="3" t="s">
        <v>15</v>
      </c>
      <c r="C12" s="3"/>
    </row>
    <row r="13" customFormat="false" ht="19.5" hidden="false" customHeight="true" outlineLevel="0" collapsed="false">
      <c r="B13" s="8" t="s">
        <v>16</v>
      </c>
      <c r="C13" s="7" t="s">
        <v>17</v>
      </c>
    </row>
    <row r="14" customFormat="false" ht="19.5" hidden="false" customHeight="true" outlineLevel="0" collapsed="false">
      <c r="B14" s="8" t="s">
        <v>18</v>
      </c>
      <c r="C14" s="7" t="s">
        <v>19</v>
      </c>
    </row>
    <row r="15" customFormat="false" ht="19.5" hidden="false" customHeight="true" outlineLevel="0" collapsed="false">
      <c r="B15" s="8" t="s">
        <v>20</v>
      </c>
      <c r="C15" s="7" t="s">
        <v>21</v>
      </c>
    </row>
    <row r="16" customFormat="false" ht="19.5" hidden="false" customHeight="true" outlineLevel="0" collapsed="false">
      <c r="B16" s="8" t="s">
        <v>22</v>
      </c>
      <c r="C16" s="7" t="s">
        <v>23</v>
      </c>
    </row>
    <row r="17" customFormat="false" ht="19.5" hidden="false" customHeight="true" outlineLevel="0" collapsed="false">
      <c r="B17" s="8" t="s">
        <v>24</v>
      </c>
      <c r="C17" s="7" t="s">
        <v>25</v>
      </c>
    </row>
    <row r="18" customFormat="false" ht="19.5" hidden="false" customHeight="true" outlineLevel="0" collapsed="false">
      <c r="B18" s="8" t="s">
        <v>26</v>
      </c>
      <c r="C18" s="7" t="s">
        <v>27</v>
      </c>
    </row>
    <row r="19" customFormat="false" ht="19.5" hidden="false" customHeight="true" outlineLevel="0" collapsed="false">
      <c r="B19" s="8" t="s">
        <v>28</v>
      </c>
      <c r="C19" s="7" t="s">
        <v>29</v>
      </c>
    </row>
    <row r="21" customFormat="false" ht="21.75" hidden="false" customHeight="true" outlineLevel="0" collapsed="false">
      <c r="B21" s="3" t="s">
        <v>30</v>
      </c>
      <c r="C21" s="3"/>
    </row>
    <row r="22" customFormat="false" ht="19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19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31.5" hidden="false" customHeight="true" outlineLevel="0" collapsed="false">
      <c r="B30" s="4" t="s">
        <v>44</v>
      </c>
      <c r="C30" s="7" t="s">
        <v>45</v>
      </c>
    </row>
    <row r="31" customFormat="false" ht="31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31.5" hidden="false" customHeight="true" outlineLevel="0" collapsed="false">
      <c r="B34" s="4" t="s">
        <v>52</v>
      </c>
      <c r="C34" s="7" t="s">
        <v>53</v>
      </c>
    </row>
    <row r="35" customFormat="false" ht="31.5" hidden="false" customHeight="true" outlineLevel="0" collapsed="false">
      <c r="B35" s="4" t="s">
        <v>35</v>
      </c>
      <c r="C35" s="7" t="s">
        <v>54</v>
      </c>
    </row>
    <row r="36" customFormat="false" ht="19.5" hidden="false" customHeight="true" outlineLevel="0" collapsed="false">
      <c r="B36" s="4" t="s">
        <v>55</v>
      </c>
      <c r="C36" s="7" t="s">
        <v>56</v>
      </c>
    </row>
  </sheetData>
  <mergeCells count="6">
    <mergeCell ref="B1:C1"/>
    <mergeCell ref="B2:C2"/>
    <mergeCell ref="B4:C4"/>
    <mergeCell ref="B12:C12"/>
    <mergeCell ref="B21:C21"/>
    <mergeCell ref="B29:C29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N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4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6" min="5" style="0" width="15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1" min="10" style="0" width="11"/>
    <col collapsed="false" customWidth="true" hidden="false" outlineLevel="0" max="12" min="12" style="0" width="19"/>
    <col collapsed="false" customWidth="true" hidden="false" outlineLevel="0" max="13" min="13" style="0" width="12"/>
    <col collapsed="false" customWidth="true" hidden="false" outlineLevel="0" max="14" min="14" style="0" width="52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57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58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59</v>
      </c>
      <c r="C4" s="4"/>
      <c r="D4" s="5"/>
      <c r="E4" s="5"/>
      <c r="F4" s="5"/>
      <c r="H4" s="4" t="s">
        <v>60</v>
      </c>
      <c r="I4" s="4"/>
      <c r="J4" s="4"/>
      <c r="K4" s="9" t="n">
        <v>0.4</v>
      </c>
      <c r="L4" s="10" t="s">
        <v>61</v>
      </c>
      <c r="M4" s="10"/>
      <c r="N4" s="10"/>
    </row>
    <row r="5" customFormat="false" ht="21.75" hidden="false" customHeight="true" outlineLevel="0" collapsed="false">
      <c r="B5" s="4" t="s">
        <v>62</v>
      </c>
      <c r="C5" s="4"/>
      <c r="D5" s="5"/>
      <c r="E5" s="5"/>
      <c r="F5" s="5"/>
      <c r="H5" s="4" t="s">
        <v>63</v>
      </c>
      <c r="I5" s="4"/>
      <c r="J5" s="4"/>
      <c r="K5" s="9" t="n">
        <v>1.6</v>
      </c>
      <c r="L5" s="10" t="s">
        <v>64</v>
      </c>
      <c r="M5" s="10"/>
      <c r="N5" s="10"/>
    </row>
    <row r="6" customFormat="false" ht="21.75" hidden="false" customHeight="true" outlineLevel="0" collapsed="false">
      <c r="B6" s="4" t="s">
        <v>65</v>
      </c>
      <c r="C6" s="4"/>
      <c r="D6" s="11"/>
      <c r="E6" s="11"/>
      <c r="F6" s="11"/>
      <c r="H6" s="4" t="s">
        <v>66</v>
      </c>
      <c r="I6" s="4"/>
      <c r="J6" s="4"/>
      <c r="K6" s="12" t="n">
        <f aca="false">IF(OR(K4="",K5=""),"",K4+K5)</f>
        <v>2</v>
      </c>
      <c r="L6" s="10" t="s">
        <v>67</v>
      </c>
      <c r="M6" s="10"/>
      <c r="N6" s="10"/>
    </row>
    <row r="7" customFormat="false" ht="21.75" hidden="false" customHeight="true" outlineLevel="0" collapsed="false">
      <c r="B7" s="4" t="s">
        <v>68</v>
      </c>
      <c r="C7" s="4"/>
      <c r="D7" s="5"/>
      <c r="E7" s="5"/>
      <c r="F7" s="5"/>
      <c r="H7" s="4" t="s">
        <v>69</v>
      </c>
      <c r="I7" s="4"/>
      <c r="J7" s="4"/>
      <c r="K7" s="13" t="n">
        <v>10</v>
      </c>
      <c r="L7" s="10" t="s">
        <v>70</v>
      </c>
      <c r="M7" s="10"/>
      <c r="N7" s="10"/>
    </row>
    <row r="8" customFormat="false" ht="21.75" hidden="false" customHeight="true" outlineLevel="0" collapsed="false">
      <c r="H8" s="4" t="s">
        <v>71</v>
      </c>
      <c r="I8" s="4"/>
      <c r="J8" s="4"/>
      <c r="K8" s="13" t="n">
        <v>25</v>
      </c>
      <c r="L8" s="10" t="s">
        <v>70</v>
      </c>
      <c r="M8" s="10"/>
      <c r="N8" s="10"/>
    </row>
    <row r="10" customFormat="false" ht="21.75" hidden="false" customHeight="true" outlineLevel="0" collapsed="false">
      <c r="B10" s="14" t="s">
        <v>72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customFormat="false" ht="30" hidden="false" customHeight="true" outlineLevel="0" collapsed="false">
      <c r="B11" s="15" t="s">
        <v>73</v>
      </c>
      <c r="C11" s="15" t="s">
        <v>74</v>
      </c>
      <c r="D11" s="15" t="s">
        <v>75</v>
      </c>
      <c r="E11" s="15" t="s">
        <v>76</v>
      </c>
      <c r="F11" s="15" t="s">
        <v>77</v>
      </c>
      <c r="G11" s="16" t="s">
        <v>78</v>
      </c>
      <c r="H11" s="16" t="s">
        <v>79</v>
      </c>
      <c r="I11" s="15" t="s">
        <v>80</v>
      </c>
      <c r="J11" s="17" t="s">
        <v>81</v>
      </c>
      <c r="K11" s="17" t="s">
        <v>82</v>
      </c>
      <c r="L11" s="17" t="s">
        <v>83</v>
      </c>
      <c r="M11" s="17" t="s">
        <v>84</v>
      </c>
      <c r="N11" s="17" t="s">
        <v>85</v>
      </c>
    </row>
    <row r="12" customFormat="false" ht="27" hidden="false" customHeight="true" outlineLevel="0" collapsed="false">
      <c r="B12" s="18" t="s">
        <v>86</v>
      </c>
      <c r="C12" s="18" t="s">
        <v>87</v>
      </c>
      <c r="D12" s="18" t="s">
        <v>88</v>
      </c>
      <c r="E12" s="18" t="s">
        <v>88</v>
      </c>
      <c r="F12" s="18" t="s">
        <v>89</v>
      </c>
      <c r="G12" s="18" t="s">
        <v>90</v>
      </c>
      <c r="H12" s="18" t="s">
        <v>91</v>
      </c>
      <c r="I12" s="18" t="s">
        <v>92</v>
      </c>
      <c r="J12" s="18" t="s">
        <v>93</v>
      </c>
      <c r="K12" s="18" t="s">
        <v>94</v>
      </c>
      <c r="L12" s="18"/>
      <c r="M12" s="18"/>
      <c r="N12" s="18"/>
    </row>
    <row r="13" customFormat="false" ht="21.75" hidden="false" customHeight="true" outlineLevel="0" collapsed="false">
      <c r="B13" s="18" t="s">
        <v>95</v>
      </c>
      <c r="C13" s="10" t="s">
        <v>96</v>
      </c>
      <c r="D13" s="18" t="s">
        <v>97</v>
      </c>
      <c r="E13" s="18" t="s">
        <v>98</v>
      </c>
      <c r="F13" s="18" t="s">
        <v>99</v>
      </c>
      <c r="G13" s="19" t="n">
        <v>12</v>
      </c>
      <c r="H13" s="19" t="n">
        <v>1.5</v>
      </c>
      <c r="I13" s="10" t="s">
        <v>100</v>
      </c>
      <c r="J13" s="19" t="n">
        <v>-0.5</v>
      </c>
      <c r="K13" s="20" t="n">
        <v>-2</v>
      </c>
      <c r="L13" s="18" t="s">
        <v>101</v>
      </c>
      <c r="M13" s="18" t="s">
        <v>102</v>
      </c>
      <c r="N13" s="10" t="s">
        <v>103</v>
      </c>
    </row>
    <row r="15" customFormat="false" ht="30" hidden="false" customHeight="true" outlineLevel="0" collapsed="false">
      <c r="B15" s="21" t="n">
        <v>1</v>
      </c>
      <c r="C15" s="5"/>
      <c r="D15" s="22"/>
      <c r="E15" s="22"/>
      <c r="F15" s="5"/>
      <c r="G15" s="9"/>
      <c r="H15" s="9"/>
      <c r="I15" s="5"/>
      <c r="J15" s="23" t="str">
        <f aca="false">IF(OR(H15="",$K$6=""),"",ROUND(H15-$K$6,2))</f>
        <v/>
      </c>
      <c r="K15" s="24" t="str">
        <f aca="false">IF(OR(J15="",G15=""),"",IF(G15&lt;=0,"",ROUND(IF(J15&lt;0,-1,1)*57.2958*IF(ABS(J15)&lt;=G15,(ABS(J15)/G15)*0.7854+0.273*(ABS(J15)/G15)*(1-(ABS(J15)/G15)),1.5708-(G15/ABS(J15))*0.7854-0.273*(G15/ABS(J15))*(1-(G15/ABS(J15)))),0)))</f>
        <v/>
      </c>
      <c r="L15" s="25" t="str">
        <f aca="false">IF(K15="","",IF(ABS(K15)&lt;=$K$7,"Normal",IF(K15&gt;0,IF(ABS(K15)&lt;=$K$8,"Plongée leve","Plongée"),IF(ABS(K15)&lt;=$K$8,"Contra-plongée leve","Contra-plongée"))))</f>
        <v/>
      </c>
      <c r="M15" s="26" t="str">
        <f aca="false">IF(AND(C15="",G15=""),"",IF(D15="Fundo do palco","Outro lado",IF(L15="","Medir",IF(L15="Normal","OK",IF(OR(L15="Plongée leve",L15="Contra-plongée leve"),"Atenção","Revisar")))))</f>
        <v/>
      </c>
      <c r="N15" s="27" t="str">
        <f aca="false">IF(M15="","",IF(M15="Outro lado","Do outro lado do eixo do palco: use só para mostrar o público",IF(M15="Medir","Informe a distância e a altura da lente",IF(M15="OK","Manter",IF(K15&gt;0,IF(M15="Atenção","Um pouco alta: serve ao plano geral; para o rosto, baixe a lente ou afaste a câmera","Alta demais para o rosto: baixe a lente, afaste a câmera ou use só no plano geral"),IF(M15="Atenção","Um pouco baixa: suba a lente ou afaste a câmera","Baixa demais: suba a lente (praticável) ou afaste a câmera"))))))</f>
        <v/>
      </c>
    </row>
    <row r="16" customFormat="false" ht="30" hidden="false" customHeight="true" outlineLevel="0" collapsed="false">
      <c r="B16" s="21" t="n">
        <v>2</v>
      </c>
      <c r="C16" s="5"/>
      <c r="D16" s="22"/>
      <c r="E16" s="22"/>
      <c r="F16" s="5"/>
      <c r="G16" s="9"/>
      <c r="H16" s="9"/>
      <c r="I16" s="5"/>
      <c r="J16" s="23" t="str">
        <f aca="false">IF(OR(H16="",$K$6=""),"",ROUND(H16-$K$6,2))</f>
        <v/>
      </c>
      <c r="K16" s="24" t="str">
        <f aca="false">IF(OR(J16="",G16=""),"",IF(G16&lt;=0,"",ROUND(IF(J16&lt;0,-1,1)*57.2958*IF(ABS(J16)&lt;=G16,(ABS(J16)/G16)*0.7854+0.273*(ABS(J16)/G16)*(1-(ABS(J16)/G16)),1.5708-(G16/ABS(J16))*0.7854-0.273*(G16/ABS(J16))*(1-(G16/ABS(J16)))),0)))</f>
        <v/>
      </c>
      <c r="L16" s="25" t="str">
        <f aca="false">IF(K16="","",IF(ABS(K16)&lt;=$K$7,"Normal",IF(K16&gt;0,IF(ABS(K16)&lt;=$K$8,"Plongée leve","Plongée"),IF(ABS(K16)&lt;=$K$8,"Contra-plongée leve","Contra-plongée"))))</f>
        <v/>
      </c>
      <c r="M16" s="26" t="str">
        <f aca="false">IF(AND(C16="",G16=""),"",IF(D16="Fundo do palco","Outro lado",IF(L16="","Medir",IF(L16="Normal","OK",IF(OR(L16="Plongée leve",L16="Contra-plongée leve"),"Atenção","Revisar")))))</f>
        <v/>
      </c>
      <c r="N16" s="27" t="str">
        <f aca="false">IF(M16="","",IF(M16="Outro lado","Do outro lado do eixo do palco: use só para mostrar o público",IF(M16="Medir","Informe a distância e a altura da lente",IF(M16="OK","Manter",IF(K16&gt;0,IF(M16="Atenção","Um pouco alta: serve ao plano geral; para o rosto, baixe a lente ou afaste a câmera","Alta demais para o rosto: baixe a lente, afaste a câmera ou use só no plano geral"),IF(M16="Atenção","Um pouco baixa: suba a lente ou afaste a câmera","Baixa demais: suba a lente (praticável) ou afaste a câmera"))))))</f>
        <v/>
      </c>
    </row>
    <row r="17" customFormat="false" ht="30" hidden="false" customHeight="true" outlineLevel="0" collapsed="false">
      <c r="B17" s="21" t="n">
        <v>3</v>
      </c>
      <c r="C17" s="5"/>
      <c r="D17" s="22"/>
      <c r="E17" s="22"/>
      <c r="F17" s="5"/>
      <c r="G17" s="9"/>
      <c r="H17" s="9"/>
      <c r="I17" s="5"/>
      <c r="J17" s="23" t="str">
        <f aca="false">IF(OR(H17="",$K$6=""),"",ROUND(H17-$K$6,2))</f>
        <v/>
      </c>
      <c r="K17" s="24" t="str">
        <f aca="false">IF(OR(J17="",G17=""),"",IF(G17&lt;=0,"",ROUND(IF(J17&lt;0,-1,1)*57.2958*IF(ABS(J17)&lt;=G17,(ABS(J17)/G17)*0.7854+0.273*(ABS(J17)/G17)*(1-(ABS(J17)/G17)),1.5708-(G17/ABS(J17))*0.7854-0.273*(G17/ABS(J17))*(1-(G17/ABS(J17)))),0)))</f>
        <v/>
      </c>
      <c r="L17" s="25" t="str">
        <f aca="false">IF(K17="","",IF(ABS(K17)&lt;=$K$7,"Normal",IF(K17&gt;0,IF(ABS(K17)&lt;=$K$8,"Plongée leve","Plongée"),IF(ABS(K17)&lt;=$K$8,"Contra-plongée leve","Contra-plongée"))))</f>
        <v/>
      </c>
      <c r="M17" s="26" t="str">
        <f aca="false">IF(AND(C17="",G17=""),"",IF(D17="Fundo do palco","Outro lado",IF(L17="","Medir",IF(L17="Normal","OK",IF(OR(L17="Plongée leve",L17="Contra-plongée leve"),"Atenção","Revisar")))))</f>
        <v/>
      </c>
      <c r="N17" s="27" t="str">
        <f aca="false">IF(M17="","",IF(M17="Outro lado","Do outro lado do eixo do palco: use só para mostrar o público",IF(M17="Medir","Informe a distância e a altura da lente",IF(M17="OK","Manter",IF(K17&gt;0,IF(M17="Atenção","Um pouco alta: serve ao plano geral; para o rosto, baixe a lente ou afaste a câmera","Alta demais para o rosto: baixe a lente, afaste a câmera ou use só no plano geral"),IF(M17="Atenção","Um pouco baixa: suba a lente ou afaste a câmera","Baixa demais: suba a lente (praticável) ou afaste a câmera"))))))</f>
        <v/>
      </c>
    </row>
    <row r="18" customFormat="false" ht="30" hidden="false" customHeight="true" outlineLevel="0" collapsed="false">
      <c r="B18" s="21" t="n">
        <v>4</v>
      </c>
      <c r="C18" s="5"/>
      <c r="D18" s="22"/>
      <c r="E18" s="22"/>
      <c r="F18" s="5"/>
      <c r="G18" s="9"/>
      <c r="H18" s="9"/>
      <c r="I18" s="5"/>
      <c r="J18" s="23" t="str">
        <f aca="false">IF(OR(H18="",$K$6=""),"",ROUND(H18-$K$6,2))</f>
        <v/>
      </c>
      <c r="K18" s="24" t="str">
        <f aca="false">IF(OR(J18="",G18=""),"",IF(G18&lt;=0,"",ROUND(IF(J18&lt;0,-1,1)*57.2958*IF(ABS(J18)&lt;=G18,(ABS(J18)/G18)*0.7854+0.273*(ABS(J18)/G18)*(1-(ABS(J18)/G18)),1.5708-(G18/ABS(J18))*0.7854-0.273*(G18/ABS(J18))*(1-(G18/ABS(J18)))),0)))</f>
        <v/>
      </c>
      <c r="L18" s="25" t="str">
        <f aca="false">IF(K18="","",IF(ABS(K18)&lt;=$K$7,"Normal",IF(K18&gt;0,IF(ABS(K18)&lt;=$K$8,"Plongée leve","Plongée"),IF(ABS(K18)&lt;=$K$8,"Contra-plongée leve","Contra-plongée"))))</f>
        <v/>
      </c>
      <c r="M18" s="26" t="str">
        <f aca="false">IF(AND(C18="",G18=""),"",IF(D18="Fundo do palco","Outro lado",IF(L18="","Medir",IF(L18="Normal","OK",IF(OR(L18="Plongée leve",L18="Contra-plongée leve"),"Atenção","Revisar")))))</f>
        <v/>
      </c>
      <c r="N18" s="27" t="str">
        <f aca="false">IF(M18="","",IF(M18="Outro lado","Do outro lado do eixo do palco: use só para mostrar o público",IF(M18="Medir","Informe a distância e a altura da lente",IF(M18="OK","Manter",IF(K18&gt;0,IF(M18="Atenção","Um pouco alta: serve ao plano geral; para o rosto, baixe a lente ou afaste a câmera","Alta demais para o rosto: baixe a lente, afaste a câmera ou use só no plano geral"),IF(M18="Atenção","Um pouco baixa: suba a lente ou afaste a câmera","Baixa demais: suba a lente (praticável) ou afaste a câmera"))))))</f>
        <v/>
      </c>
    </row>
    <row r="19" customFormat="false" ht="30" hidden="false" customHeight="true" outlineLevel="0" collapsed="false">
      <c r="B19" s="21" t="n">
        <v>5</v>
      </c>
      <c r="C19" s="5"/>
      <c r="D19" s="22"/>
      <c r="E19" s="22"/>
      <c r="F19" s="5"/>
      <c r="G19" s="9"/>
      <c r="H19" s="9"/>
      <c r="I19" s="5"/>
      <c r="J19" s="23" t="str">
        <f aca="false">IF(OR(H19="",$K$6=""),"",ROUND(H19-$K$6,2))</f>
        <v/>
      </c>
      <c r="K19" s="24" t="str">
        <f aca="false">IF(OR(J19="",G19=""),"",IF(G19&lt;=0,"",ROUND(IF(J19&lt;0,-1,1)*57.2958*IF(ABS(J19)&lt;=G19,(ABS(J19)/G19)*0.7854+0.273*(ABS(J19)/G19)*(1-(ABS(J19)/G19)),1.5708-(G19/ABS(J19))*0.7854-0.273*(G19/ABS(J19))*(1-(G19/ABS(J19)))),0)))</f>
        <v/>
      </c>
      <c r="L19" s="25" t="str">
        <f aca="false">IF(K19="","",IF(ABS(K19)&lt;=$K$7,"Normal",IF(K19&gt;0,IF(ABS(K19)&lt;=$K$8,"Plongée leve","Plongée"),IF(ABS(K19)&lt;=$K$8,"Contra-plongée leve","Contra-plongée"))))</f>
        <v/>
      </c>
      <c r="M19" s="26" t="str">
        <f aca="false">IF(AND(C19="",G19=""),"",IF(D19="Fundo do palco","Outro lado",IF(L19="","Medir",IF(L19="Normal","OK",IF(OR(L19="Plongée leve",L19="Contra-plongée leve"),"Atenção","Revisar")))))</f>
        <v/>
      </c>
      <c r="N19" s="27" t="str">
        <f aca="false">IF(M19="","",IF(M19="Outro lado","Do outro lado do eixo do palco: use só para mostrar o público",IF(M19="Medir","Informe a distância e a altura da lente",IF(M19="OK","Manter",IF(K19&gt;0,IF(M19="Atenção","Um pouco alta: serve ao plano geral; para o rosto, baixe a lente ou afaste a câmera","Alta demais para o rosto: baixe a lente, afaste a câmera ou use só no plano geral"),IF(M19="Atenção","Um pouco baixa: suba a lente ou afaste a câmera","Baixa demais: suba a lente (praticável) ou afaste a câmera"))))))</f>
        <v/>
      </c>
    </row>
    <row r="20" customFormat="false" ht="30" hidden="false" customHeight="true" outlineLevel="0" collapsed="false">
      <c r="B20" s="21" t="n">
        <v>6</v>
      </c>
      <c r="C20" s="5"/>
      <c r="D20" s="22"/>
      <c r="E20" s="22"/>
      <c r="F20" s="5"/>
      <c r="G20" s="9"/>
      <c r="H20" s="9"/>
      <c r="I20" s="5"/>
      <c r="J20" s="23" t="str">
        <f aca="false">IF(OR(H20="",$K$6=""),"",ROUND(H20-$K$6,2))</f>
        <v/>
      </c>
      <c r="K20" s="24" t="str">
        <f aca="false">IF(OR(J20="",G20=""),"",IF(G20&lt;=0,"",ROUND(IF(J20&lt;0,-1,1)*57.2958*IF(ABS(J20)&lt;=G20,(ABS(J20)/G20)*0.7854+0.273*(ABS(J20)/G20)*(1-(ABS(J20)/G20)),1.5708-(G20/ABS(J20))*0.7854-0.273*(G20/ABS(J20))*(1-(G20/ABS(J20)))),0)))</f>
        <v/>
      </c>
      <c r="L20" s="25" t="str">
        <f aca="false">IF(K20="","",IF(ABS(K20)&lt;=$K$7,"Normal",IF(K20&gt;0,IF(ABS(K20)&lt;=$K$8,"Plongée leve","Plongée"),IF(ABS(K20)&lt;=$K$8,"Contra-plongée leve","Contra-plongée"))))</f>
        <v/>
      </c>
      <c r="M20" s="26" t="str">
        <f aca="false">IF(AND(C20="",G20=""),"",IF(D20="Fundo do palco","Outro lado",IF(L20="","Medir",IF(L20="Normal","OK",IF(OR(L20="Plongée leve",L20="Contra-plongée leve"),"Atenção","Revisar")))))</f>
        <v/>
      </c>
      <c r="N20" s="27" t="str">
        <f aca="false">IF(M20="","",IF(M20="Outro lado","Do outro lado do eixo do palco: use só para mostrar o público",IF(M20="Medir","Informe a distância e a altura da lente",IF(M20="OK","Manter",IF(K20&gt;0,IF(M20="Atenção","Um pouco alta: serve ao plano geral; para o rosto, baixe a lente ou afaste a câmera","Alta demais para o rosto: baixe a lente, afaste a câmera ou use só no plano geral"),IF(M20="Atenção","Um pouco baixa: suba a lente ou afaste a câmera","Baixa demais: suba a lente (praticável) ou afaste a câmera"))))))</f>
        <v/>
      </c>
    </row>
    <row r="22" customFormat="false" ht="21.75" hidden="false" customHeight="true" outlineLevel="0" collapsed="false">
      <c r="B22" s="14" t="s">
        <v>104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customFormat="false" ht="19.5" hidden="false" customHeight="true" outlineLevel="0" collapsed="false">
      <c r="B23" s="28" t="s">
        <v>105</v>
      </c>
      <c r="C23" s="28"/>
      <c r="D23" s="28"/>
      <c r="E23" s="28"/>
      <c r="F23" s="28"/>
      <c r="G23" s="8" t="n">
        <f aca="false">COUNTA(C15:C20)</f>
        <v>0</v>
      </c>
    </row>
    <row r="24" customFormat="false" ht="19.5" hidden="false" customHeight="true" outlineLevel="0" collapsed="false">
      <c r="B24" s="28" t="s">
        <v>106</v>
      </c>
      <c r="C24" s="28"/>
      <c r="D24" s="28"/>
      <c r="E24" s="28"/>
      <c r="F24" s="28"/>
      <c r="G24" s="8" t="n">
        <f aca="false">COUNTIF(M15:M20,"OK")</f>
        <v>0</v>
      </c>
    </row>
    <row r="25" customFormat="false" ht="19.5" hidden="false" customHeight="true" outlineLevel="0" collapsed="false">
      <c r="B25" s="28" t="s">
        <v>107</v>
      </c>
      <c r="C25" s="28"/>
      <c r="D25" s="28"/>
      <c r="E25" s="28"/>
      <c r="F25" s="28"/>
      <c r="G25" s="8" t="n">
        <f aca="false">COUNTIF(M15:M20,"Atenção")</f>
        <v>0</v>
      </c>
    </row>
    <row r="26" customFormat="false" ht="19.5" hidden="false" customHeight="true" outlineLevel="0" collapsed="false">
      <c r="B26" s="28" t="s">
        <v>108</v>
      </c>
      <c r="C26" s="28"/>
      <c r="D26" s="28"/>
      <c r="E26" s="28"/>
      <c r="F26" s="28"/>
      <c r="G26" s="8" t="n">
        <f aca="false">COUNTIF(M15:M20,"Revisar")</f>
        <v>0</v>
      </c>
    </row>
    <row r="27" customFormat="false" ht="19.5" hidden="false" customHeight="true" outlineLevel="0" collapsed="false">
      <c r="B27" s="28" t="s">
        <v>109</v>
      </c>
      <c r="C27" s="28"/>
      <c r="D27" s="28"/>
      <c r="E27" s="28"/>
      <c r="F27" s="28"/>
      <c r="G27" s="8" t="n">
        <f aca="false">COUNTIF(M15:M20,"Outro lado")</f>
        <v>0</v>
      </c>
    </row>
    <row r="28" customFormat="false" ht="21.75" hidden="false" customHeight="true" outlineLevel="0" collapsed="false">
      <c r="B28" s="28" t="s">
        <v>110</v>
      </c>
      <c r="C28" s="28"/>
      <c r="D28" s="28"/>
      <c r="E28" s="28"/>
      <c r="F28" s="28"/>
      <c r="G28" s="29" t="str">
        <f aca="false">IF(G23=0,"Liste as câmeras",IF(COUNTIF(M15:M20,"Medir")&gt;0,"Há câmera sem medida",IF(G26&gt;0,"Há câmera com ângulo a revisar",IF(G27&gt;0,"Há câmera do outro lado do eixo: só para o público",IF(G25&gt;0,"Há câmera com ângulo a conferir","OK")))))</f>
        <v>Liste as câmeras</v>
      </c>
      <c r="H28" s="29"/>
      <c r="I28" s="29"/>
      <c r="J28" s="29"/>
      <c r="K28" s="29"/>
      <c r="L28" s="29"/>
      <c r="M28" s="29"/>
      <c r="N28" s="29"/>
    </row>
    <row r="29" customFormat="false" ht="15" hidden="false" customHeight="true" outlineLevel="0" collapsed="false">
      <c r="B29" s="10" t="s">
        <v>111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</sheetData>
  <mergeCells count="30">
    <mergeCell ref="B1:N1"/>
    <mergeCell ref="B2:N2"/>
    <mergeCell ref="B4:C4"/>
    <mergeCell ref="D4:F4"/>
    <mergeCell ref="H4:J4"/>
    <mergeCell ref="L4:N4"/>
    <mergeCell ref="B5:C5"/>
    <mergeCell ref="D5:F5"/>
    <mergeCell ref="H5:J5"/>
    <mergeCell ref="L5:N5"/>
    <mergeCell ref="B6:C6"/>
    <mergeCell ref="D6:F6"/>
    <mergeCell ref="H6:J6"/>
    <mergeCell ref="L6:N6"/>
    <mergeCell ref="B7:C7"/>
    <mergeCell ref="D7:F7"/>
    <mergeCell ref="H7:J7"/>
    <mergeCell ref="L7:N7"/>
    <mergeCell ref="H8:J8"/>
    <mergeCell ref="L8:N8"/>
    <mergeCell ref="B10:N10"/>
    <mergeCell ref="B22:N22"/>
    <mergeCell ref="B23:F23"/>
    <mergeCell ref="B24:F24"/>
    <mergeCell ref="B25:F25"/>
    <mergeCell ref="B26:F26"/>
    <mergeCell ref="B27:F27"/>
    <mergeCell ref="B28:F28"/>
    <mergeCell ref="G28:N28"/>
    <mergeCell ref="B29:N29"/>
  </mergeCells>
  <conditionalFormatting sqref="M15:M2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"Atenção"</formula>
    </cfRule>
    <cfRule type="cellIs" priority="4" operator="equal" aboveAverage="0" equalAverage="0" bottom="0" percent="0" rank="0" text="" dxfId="1">
      <formula>"Medir"</formula>
    </cfRule>
    <cfRule type="cellIs" priority="5" operator="equal" aboveAverage="0" equalAverage="0" bottom="0" percent="0" rank="0" text="" dxfId="1">
      <formula>"Outro lado"</formula>
    </cfRule>
    <cfRule type="cellIs" priority="6" operator="equal" aboveAverage="0" equalAverage="0" bottom="0" percent="0" rank="0" text="" dxfId="2">
      <formula>"Revisar"</formula>
    </cfRule>
  </conditionalFormatting>
  <conditionalFormatting sqref="G28:N28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6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K4:K5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7:K8" type="decimal">
      <formula1>-1000000000</formula1>
      <formula2>1000000000</formula2>
    </dataValidation>
    <dataValidation allowBlank="true" error="Escolha uma das opções da lista." errorStyle="stop" errorTitle="Valor inválido" operator="between" prompt="Onde fica a câmera em relação ao palco." promptTitle="Opções" showDropDown="false" showErrorMessage="true" showInputMessage="true" sqref="D15:D20" type="list">
      <formula1>"Fundo da sala,Lateral esquerda,Lateral direita,Frente da plateia,Mezanino,Fundo do palco"</formula1>
      <formula2>0</formula2>
    </dataValidation>
    <dataValidation allowBlank="true" error="Escolha uma das opções da lista." errorStyle="stop" errorTitle="Valor inválido" operator="between" prompt="Tipo de suporte da câmera." promptTitle="Opções" showDropDown="false" showErrorMessage="true" showInputMessage="true" sqref="E15:E20" type="list">
      <formula1>"Tripé fluido,Tripé foto,Monopé,Mão,Estabilizador,PTZ"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15:H20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L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9" topLeftCell="C30" activePane="bottomRight" state="frozen"/>
      <selection pane="topLeft" activeCell="A1" activeCellId="0" sqref="A1"/>
      <selection pane="topRight" activeCell="C1" activeCellId="0" sqref="C1"/>
      <selection pane="bottomLeft" activeCell="A30" activeCellId="0" sqref="A3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19"/>
    <col collapsed="false" customWidth="true" hidden="false" outlineLevel="0" max="11" min="11" style="0" width="50"/>
    <col collapsed="false" customWidth="true" hidden="false" outlineLevel="0" max="12" min="12" style="0" width="26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112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113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59</v>
      </c>
      <c r="C4" s="4"/>
      <c r="D4" s="5"/>
      <c r="E4" s="5"/>
      <c r="F4" s="5"/>
      <c r="G4" s="5"/>
      <c r="H4" s="10" t="s">
        <v>114</v>
      </c>
      <c r="I4" s="10"/>
      <c r="J4" s="10"/>
      <c r="K4" s="10"/>
      <c r="L4" s="10"/>
    </row>
    <row r="5" customFormat="false" ht="21.75" hidden="false" customHeight="true" outlineLevel="0" collapsed="false">
      <c r="B5" s="4" t="s">
        <v>65</v>
      </c>
      <c r="C5" s="4"/>
      <c r="D5" s="11"/>
      <c r="E5" s="11"/>
      <c r="F5" s="11"/>
      <c r="G5" s="11"/>
      <c r="H5" s="10"/>
      <c r="I5" s="10"/>
      <c r="J5" s="10"/>
      <c r="K5" s="10"/>
      <c r="L5" s="10"/>
    </row>
    <row r="6" customFormat="false" ht="21.75" hidden="false" customHeight="true" outlineLevel="0" collapsed="false">
      <c r="B6" s="4" t="s">
        <v>68</v>
      </c>
      <c r="C6" s="4"/>
      <c r="D6" s="5"/>
      <c r="E6" s="5"/>
      <c r="F6" s="5"/>
      <c r="G6" s="5"/>
      <c r="H6" s="10"/>
      <c r="I6" s="10"/>
      <c r="J6" s="10"/>
      <c r="K6" s="10"/>
      <c r="L6" s="10"/>
    </row>
    <row r="8" customFormat="false" ht="21.75" hidden="false" customHeight="true" outlineLevel="0" collapsed="false">
      <c r="B8" s="14" t="s">
        <v>115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21.75" hidden="false" customHeight="true" outlineLevel="0" collapsed="false">
      <c r="B9" s="15" t="s">
        <v>73</v>
      </c>
      <c r="C9" s="15" t="s">
        <v>74</v>
      </c>
      <c r="D9" s="15"/>
      <c r="E9" s="15"/>
      <c r="F9" s="15" t="s">
        <v>76</v>
      </c>
      <c r="G9" s="15"/>
      <c r="H9" s="15" t="s">
        <v>77</v>
      </c>
      <c r="I9" s="15"/>
      <c r="J9" s="15" t="s">
        <v>116</v>
      </c>
      <c r="K9" s="15" t="s">
        <v>117</v>
      </c>
      <c r="L9" s="15"/>
    </row>
    <row r="10" customFormat="false" ht="21.75" hidden="false" customHeight="true" outlineLevel="0" collapsed="false">
      <c r="B10" s="21" t="n">
        <v>1</v>
      </c>
      <c r="C10" s="5"/>
      <c r="D10" s="5"/>
      <c r="E10" s="5"/>
      <c r="F10" s="22"/>
      <c r="G10" s="22"/>
      <c r="H10" s="5"/>
      <c r="I10" s="5"/>
      <c r="J10" s="8" t="str">
        <f aca="false">IF(AND(C10="",F10=""),"",COUNTIF($D$30:$D$65,B10))</f>
        <v/>
      </c>
      <c r="K10" s="26" t="str">
        <f aca="false">IF(AND(C10="",F10=""),"",COUNTIFS($D$30:$D$65,B10,$F$30:$F$65,"PP")+COUNTIFS($D$30:$D$65,B10,$F$30:$F$65,"Close")+COUNTIFS($D$30:$D$65,B10,$F$30:$F$65,"Detalhe"))</f>
        <v/>
      </c>
      <c r="L10" s="26"/>
    </row>
    <row r="11" customFormat="false" ht="21.75" hidden="false" customHeight="true" outlineLevel="0" collapsed="false">
      <c r="B11" s="21" t="n">
        <v>2</v>
      </c>
      <c r="C11" s="5"/>
      <c r="D11" s="5"/>
      <c r="E11" s="5"/>
      <c r="F11" s="22"/>
      <c r="G11" s="22"/>
      <c r="H11" s="5"/>
      <c r="I11" s="5"/>
      <c r="J11" s="8" t="str">
        <f aca="false">IF(AND(C11="",F11=""),"",COUNTIF($D$30:$D$65,B11))</f>
        <v/>
      </c>
      <c r="K11" s="26" t="str">
        <f aca="false">IF(AND(C11="",F11=""),"",COUNTIFS($D$30:$D$65,B11,$F$30:$F$65,"PP")+COUNTIFS($D$30:$D$65,B11,$F$30:$F$65,"Close")+COUNTIFS($D$30:$D$65,B11,$F$30:$F$65,"Detalhe"))</f>
        <v/>
      </c>
      <c r="L11" s="26"/>
    </row>
    <row r="12" customFormat="false" ht="21.75" hidden="false" customHeight="true" outlineLevel="0" collapsed="false">
      <c r="B12" s="21" t="n">
        <v>3</v>
      </c>
      <c r="C12" s="5"/>
      <c r="D12" s="5"/>
      <c r="E12" s="5"/>
      <c r="F12" s="22"/>
      <c r="G12" s="22"/>
      <c r="H12" s="5"/>
      <c r="I12" s="5"/>
      <c r="J12" s="8" t="str">
        <f aca="false">IF(AND(C12="",F12=""),"",COUNTIF($D$30:$D$65,B12))</f>
        <v/>
      </c>
      <c r="K12" s="26" t="str">
        <f aca="false">IF(AND(C12="",F12=""),"",COUNTIFS($D$30:$D$65,B12,$F$30:$F$65,"PP")+COUNTIFS($D$30:$D$65,B12,$F$30:$F$65,"Close")+COUNTIFS($D$30:$D$65,B12,$F$30:$F$65,"Detalhe"))</f>
        <v/>
      </c>
      <c r="L12" s="26"/>
    </row>
    <row r="13" customFormat="false" ht="21.75" hidden="false" customHeight="true" outlineLevel="0" collapsed="false">
      <c r="B13" s="21" t="n">
        <v>4</v>
      </c>
      <c r="C13" s="5"/>
      <c r="D13" s="5"/>
      <c r="E13" s="5"/>
      <c r="F13" s="22"/>
      <c r="G13" s="22"/>
      <c r="H13" s="5"/>
      <c r="I13" s="5"/>
      <c r="J13" s="8" t="str">
        <f aca="false">IF(AND(C13="",F13=""),"",COUNTIF($D$30:$D$65,B13))</f>
        <v/>
      </c>
      <c r="K13" s="26" t="str">
        <f aca="false">IF(AND(C13="",F13=""),"",COUNTIFS($D$30:$D$65,B13,$F$30:$F$65,"PP")+COUNTIFS($D$30:$D$65,B13,$F$30:$F$65,"Close")+COUNTIFS($D$30:$D$65,B13,$F$30:$F$65,"Detalhe"))</f>
        <v/>
      </c>
      <c r="L13" s="26"/>
    </row>
    <row r="15" customFormat="false" ht="21.75" hidden="false" customHeight="true" outlineLevel="0" collapsed="false">
      <c r="B15" s="14" t="s">
        <v>118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21.75" hidden="false" customHeight="true" outlineLevel="0" collapsed="false">
      <c r="B16" s="15" t="s">
        <v>86</v>
      </c>
      <c r="C16" s="15" t="s">
        <v>119</v>
      </c>
      <c r="D16" s="15"/>
      <c r="E16" s="15"/>
      <c r="F16" s="17" t="s">
        <v>120</v>
      </c>
      <c r="G16" s="17" t="s">
        <v>121</v>
      </c>
      <c r="H16" s="17" t="s">
        <v>122</v>
      </c>
      <c r="I16" s="17" t="s">
        <v>84</v>
      </c>
      <c r="J16" s="17"/>
      <c r="K16" s="17" t="s">
        <v>85</v>
      </c>
      <c r="L16" s="17"/>
    </row>
    <row r="17" customFormat="false" ht="21.75" hidden="false" customHeight="true" outlineLevel="0" collapsed="false">
      <c r="B17" s="21" t="n">
        <v>1</v>
      </c>
      <c r="C17" s="5"/>
      <c r="D17" s="5"/>
      <c r="E17" s="5"/>
      <c r="F17" s="8" t="str">
        <f aca="false">IF(C17="","",COUNTIF($C$30:$C$65,C17))</f>
        <v/>
      </c>
      <c r="G17" s="8" t="str">
        <f aca="false">IF(C17="","",COUNTIFS($C$30:$C$65,C17,$I$30:$I$65,"Sim"))</f>
        <v/>
      </c>
      <c r="H17" s="8" t="str">
        <f aca="false">IF(C17="","",COUNTIFS($C$30:$C$65,C17,$J$30:$J$65,"Plano repetido"))</f>
        <v/>
      </c>
      <c r="I17" s="26" t="str">
        <f aca="false">IF(C17="","",IF(F17=0,"Sem planos",IF(G17=0,"Sem plano aberto",IF(H17&gt;0,"Plano repetido","OK"))))</f>
        <v/>
      </c>
      <c r="J17" s="26"/>
      <c r="K17" s="27" t="str">
        <f aca="false">IF(I17="","",IF(I17="Sem planos","Inclua os planos deste momento na lista",IF(I17="Sem plano aberto","Deixe uma câmera em PG ou PC: é o plano de segurança",IF(I17="Plano repetido","Duas câmeras com o mesmo assunto e plano: mude uma delas","Manter"))))</f>
        <v/>
      </c>
      <c r="L17" s="27"/>
    </row>
    <row r="18" customFormat="false" ht="21.75" hidden="false" customHeight="true" outlineLevel="0" collapsed="false">
      <c r="B18" s="21" t="n">
        <v>2</v>
      </c>
      <c r="C18" s="5"/>
      <c r="D18" s="5"/>
      <c r="E18" s="5"/>
      <c r="F18" s="8" t="str">
        <f aca="false">IF(C18="","",COUNTIF($C$30:$C$65,C18))</f>
        <v/>
      </c>
      <c r="G18" s="8" t="str">
        <f aca="false">IF(C18="","",COUNTIFS($C$30:$C$65,C18,$I$30:$I$65,"Sim"))</f>
        <v/>
      </c>
      <c r="H18" s="8" t="str">
        <f aca="false">IF(C18="","",COUNTIFS($C$30:$C$65,C18,$J$30:$J$65,"Plano repetido"))</f>
        <v/>
      </c>
      <c r="I18" s="26" t="str">
        <f aca="false">IF(C18="","",IF(F18=0,"Sem planos",IF(G18=0,"Sem plano aberto",IF(H18&gt;0,"Plano repetido","OK"))))</f>
        <v/>
      </c>
      <c r="J18" s="26"/>
      <c r="K18" s="27" t="str">
        <f aca="false">IF(I18="","",IF(I18="Sem planos","Inclua os planos deste momento na lista",IF(I18="Sem plano aberto","Deixe uma câmera em PG ou PC: é o plano de segurança",IF(I18="Plano repetido","Duas câmeras com o mesmo assunto e plano: mude uma delas","Manter"))))</f>
        <v/>
      </c>
      <c r="L18" s="27"/>
    </row>
    <row r="19" customFormat="false" ht="21.75" hidden="false" customHeight="true" outlineLevel="0" collapsed="false">
      <c r="B19" s="21" t="n">
        <v>3</v>
      </c>
      <c r="C19" s="5"/>
      <c r="D19" s="5"/>
      <c r="E19" s="5"/>
      <c r="F19" s="8" t="str">
        <f aca="false">IF(C19="","",COUNTIF($C$30:$C$65,C19))</f>
        <v/>
      </c>
      <c r="G19" s="8" t="str">
        <f aca="false">IF(C19="","",COUNTIFS($C$30:$C$65,C19,$I$30:$I$65,"Sim"))</f>
        <v/>
      </c>
      <c r="H19" s="8" t="str">
        <f aca="false">IF(C19="","",COUNTIFS($C$30:$C$65,C19,$J$30:$J$65,"Plano repetido"))</f>
        <v/>
      </c>
      <c r="I19" s="26" t="str">
        <f aca="false">IF(C19="","",IF(F19=0,"Sem planos",IF(G19=0,"Sem plano aberto",IF(H19&gt;0,"Plano repetido","OK"))))</f>
        <v/>
      </c>
      <c r="J19" s="26"/>
      <c r="K19" s="27" t="str">
        <f aca="false">IF(I19="","",IF(I19="Sem planos","Inclua os planos deste momento na lista",IF(I19="Sem plano aberto","Deixe uma câmera em PG ou PC: é o plano de segurança",IF(I19="Plano repetido","Duas câmeras com o mesmo assunto e plano: mude uma delas","Manter"))))</f>
        <v/>
      </c>
      <c r="L19" s="27"/>
    </row>
    <row r="20" customFormat="false" ht="21.75" hidden="false" customHeight="true" outlineLevel="0" collapsed="false">
      <c r="B20" s="21" t="n">
        <v>4</v>
      </c>
      <c r="C20" s="5"/>
      <c r="D20" s="5"/>
      <c r="E20" s="5"/>
      <c r="F20" s="8" t="str">
        <f aca="false">IF(C20="","",COUNTIF($C$30:$C$65,C20))</f>
        <v/>
      </c>
      <c r="G20" s="8" t="str">
        <f aca="false">IF(C20="","",COUNTIFS($C$30:$C$65,C20,$I$30:$I$65,"Sim"))</f>
        <v/>
      </c>
      <c r="H20" s="8" t="str">
        <f aca="false">IF(C20="","",COUNTIFS($C$30:$C$65,C20,$J$30:$J$65,"Plano repetido"))</f>
        <v/>
      </c>
      <c r="I20" s="26" t="str">
        <f aca="false">IF(C20="","",IF(F20=0,"Sem planos",IF(G20=0,"Sem plano aberto",IF(H20&gt;0,"Plano repetido","OK"))))</f>
        <v/>
      </c>
      <c r="J20" s="26"/>
      <c r="K20" s="27" t="str">
        <f aca="false">IF(I20="","",IF(I20="Sem planos","Inclua os planos deste momento na lista",IF(I20="Sem plano aberto","Deixe uma câmera em PG ou PC: é o plano de segurança",IF(I20="Plano repetido","Duas câmeras com o mesmo assunto e plano: mude uma delas","Manter"))))</f>
        <v/>
      </c>
      <c r="L20" s="27"/>
    </row>
    <row r="21" customFormat="false" ht="21.75" hidden="false" customHeight="true" outlineLevel="0" collapsed="false">
      <c r="B21" s="21" t="n">
        <v>5</v>
      </c>
      <c r="C21" s="5"/>
      <c r="D21" s="5"/>
      <c r="E21" s="5"/>
      <c r="F21" s="8" t="str">
        <f aca="false">IF(C21="","",COUNTIF($C$30:$C$65,C21))</f>
        <v/>
      </c>
      <c r="G21" s="8" t="str">
        <f aca="false">IF(C21="","",COUNTIFS($C$30:$C$65,C21,$I$30:$I$65,"Sim"))</f>
        <v/>
      </c>
      <c r="H21" s="8" t="str">
        <f aca="false">IF(C21="","",COUNTIFS($C$30:$C$65,C21,$J$30:$J$65,"Plano repetido"))</f>
        <v/>
      </c>
      <c r="I21" s="26" t="str">
        <f aca="false">IF(C21="","",IF(F21=0,"Sem planos",IF(G21=0,"Sem plano aberto",IF(H21&gt;0,"Plano repetido","OK"))))</f>
        <v/>
      </c>
      <c r="J21" s="26"/>
      <c r="K21" s="27" t="str">
        <f aca="false">IF(I21="","",IF(I21="Sem planos","Inclua os planos deste momento na lista",IF(I21="Sem plano aberto","Deixe uma câmera em PG ou PC: é o plano de segurança",IF(I21="Plano repetido","Duas câmeras com o mesmo assunto e plano: mude uma delas","Manter"))))</f>
        <v/>
      </c>
      <c r="L21" s="27"/>
    </row>
    <row r="22" customFormat="false" ht="21.75" hidden="false" customHeight="true" outlineLevel="0" collapsed="false">
      <c r="B22" s="21" t="n">
        <v>6</v>
      </c>
      <c r="C22" s="5"/>
      <c r="D22" s="5"/>
      <c r="E22" s="5"/>
      <c r="F22" s="8" t="str">
        <f aca="false">IF(C22="","",COUNTIF($C$30:$C$65,C22))</f>
        <v/>
      </c>
      <c r="G22" s="8" t="str">
        <f aca="false">IF(C22="","",COUNTIFS($C$30:$C$65,C22,$I$30:$I$65,"Sim"))</f>
        <v/>
      </c>
      <c r="H22" s="8" t="str">
        <f aca="false">IF(C22="","",COUNTIFS($C$30:$C$65,C22,$J$30:$J$65,"Plano repetido"))</f>
        <v/>
      </c>
      <c r="I22" s="26" t="str">
        <f aca="false">IF(C22="","",IF(F22=0,"Sem planos",IF(G22=0,"Sem plano aberto",IF(H22&gt;0,"Plano repetido","OK"))))</f>
        <v/>
      </c>
      <c r="J22" s="26"/>
      <c r="K22" s="27" t="str">
        <f aca="false">IF(I22="","",IF(I22="Sem planos","Inclua os planos deste momento na lista",IF(I22="Sem plano aberto","Deixe uma câmera em PG ou PC: é o plano de segurança",IF(I22="Plano repetido","Duas câmeras com o mesmo assunto e plano: mude uma delas","Manter"))))</f>
        <v/>
      </c>
      <c r="L22" s="27"/>
    </row>
    <row r="23" customFormat="false" ht="21.75" hidden="false" customHeight="true" outlineLevel="0" collapsed="false">
      <c r="B23" s="21" t="n">
        <v>7</v>
      </c>
      <c r="C23" s="5"/>
      <c r="D23" s="5"/>
      <c r="E23" s="5"/>
      <c r="F23" s="8" t="str">
        <f aca="false">IF(C23="","",COUNTIF($C$30:$C$65,C23))</f>
        <v/>
      </c>
      <c r="G23" s="8" t="str">
        <f aca="false">IF(C23="","",COUNTIFS($C$30:$C$65,C23,$I$30:$I$65,"Sim"))</f>
        <v/>
      </c>
      <c r="H23" s="8" t="str">
        <f aca="false">IF(C23="","",COUNTIFS($C$30:$C$65,C23,$J$30:$J$65,"Plano repetido"))</f>
        <v/>
      </c>
      <c r="I23" s="26" t="str">
        <f aca="false">IF(C23="","",IF(F23=0,"Sem planos",IF(G23=0,"Sem plano aberto",IF(H23&gt;0,"Plano repetido","OK"))))</f>
        <v/>
      </c>
      <c r="J23" s="26"/>
      <c r="K23" s="27" t="str">
        <f aca="false">IF(I23="","",IF(I23="Sem planos","Inclua os planos deste momento na lista",IF(I23="Sem plano aberto","Deixe uma câmera em PG ou PC: é o plano de segurança",IF(I23="Plano repetido","Duas câmeras com o mesmo assunto e plano: mude uma delas","Manter"))))</f>
        <v/>
      </c>
      <c r="L23" s="27"/>
    </row>
    <row r="24" customFormat="false" ht="21.75" hidden="false" customHeight="true" outlineLevel="0" collapsed="false">
      <c r="B24" s="21" t="n">
        <v>8</v>
      </c>
      <c r="C24" s="5"/>
      <c r="D24" s="5"/>
      <c r="E24" s="5"/>
      <c r="F24" s="8" t="str">
        <f aca="false">IF(C24="","",COUNTIF($C$30:$C$65,C24))</f>
        <v/>
      </c>
      <c r="G24" s="8" t="str">
        <f aca="false">IF(C24="","",COUNTIFS($C$30:$C$65,C24,$I$30:$I$65,"Sim"))</f>
        <v/>
      </c>
      <c r="H24" s="8" t="str">
        <f aca="false">IF(C24="","",COUNTIFS($C$30:$C$65,C24,$J$30:$J$65,"Plano repetido"))</f>
        <v/>
      </c>
      <c r="I24" s="26" t="str">
        <f aca="false">IF(C24="","",IF(F24=0,"Sem planos",IF(G24=0,"Sem plano aberto",IF(H24&gt;0,"Plano repetido","OK"))))</f>
        <v/>
      </c>
      <c r="J24" s="26"/>
      <c r="K24" s="27" t="str">
        <f aca="false">IF(I24="","",IF(I24="Sem planos","Inclua os planos deste momento na lista",IF(I24="Sem plano aberto","Deixe uma câmera em PG ou PC: é o plano de segurança",IF(I24="Plano repetido","Duas câmeras com o mesmo assunto e plano: mude uma delas","Manter"))))</f>
        <v/>
      </c>
      <c r="L24" s="27"/>
    </row>
    <row r="26" customFormat="false" ht="21.75" hidden="false" customHeight="true" outlineLevel="0" collapsed="false">
      <c r="B26" s="14" t="s">
        <v>123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30" hidden="false" customHeight="true" outlineLevel="0" collapsed="false">
      <c r="B27" s="15" t="s">
        <v>124</v>
      </c>
      <c r="C27" s="15" t="s">
        <v>119</v>
      </c>
      <c r="D27" s="15" t="s">
        <v>125</v>
      </c>
      <c r="E27" s="15" t="s">
        <v>126</v>
      </c>
      <c r="F27" s="16" t="s">
        <v>127</v>
      </c>
      <c r="G27" s="16" t="s">
        <v>128</v>
      </c>
      <c r="H27" s="17" t="s">
        <v>76</v>
      </c>
      <c r="I27" s="17" t="s">
        <v>129</v>
      </c>
      <c r="J27" s="17" t="s">
        <v>84</v>
      </c>
      <c r="K27" s="17" t="s">
        <v>85</v>
      </c>
      <c r="L27" s="15" t="s">
        <v>130</v>
      </c>
    </row>
    <row r="28" customFormat="false" ht="21.75" hidden="false" customHeight="true" outlineLevel="0" collapsed="false">
      <c r="B28" s="18"/>
      <c r="C28" s="18" t="s">
        <v>88</v>
      </c>
      <c r="D28" s="18" t="s">
        <v>131</v>
      </c>
      <c r="E28" s="18" t="s">
        <v>132</v>
      </c>
      <c r="F28" s="18" t="s">
        <v>88</v>
      </c>
      <c r="G28" s="18" t="s">
        <v>88</v>
      </c>
      <c r="H28" s="18" t="s">
        <v>133</v>
      </c>
      <c r="I28" s="18" t="s">
        <v>134</v>
      </c>
      <c r="J28" s="18"/>
      <c r="K28" s="18"/>
      <c r="L28" s="18"/>
    </row>
    <row r="29" customFormat="false" ht="21.75" hidden="false" customHeight="true" outlineLevel="0" collapsed="false">
      <c r="B29" s="18" t="s">
        <v>95</v>
      </c>
      <c r="C29" s="18" t="s">
        <v>135</v>
      </c>
      <c r="D29" s="18" t="n">
        <v>2</v>
      </c>
      <c r="E29" s="10" t="s">
        <v>136</v>
      </c>
      <c r="F29" s="18" t="s">
        <v>137</v>
      </c>
      <c r="G29" s="18" t="s">
        <v>138</v>
      </c>
      <c r="H29" s="18" t="s">
        <v>98</v>
      </c>
      <c r="I29" s="18" t="s">
        <v>139</v>
      </c>
      <c r="J29" s="18" t="s">
        <v>102</v>
      </c>
      <c r="K29" s="10" t="s">
        <v>103</v>
      </c>
      <c r="L29" s="10"/>
    </row>
    <row r="30" customFormat="false" ht="21.75" hidden="false" customHeight="true" outlineLevel="0" collapsed="false">
      <c r="B30" s="21" t="n">
        <v>1</v>
      </c>
      <c r="C30" s="5"/>
      <c r="D30" s="22"/>
      <c r="E30" s="5"/>
      <c r="F30" s="22"/>
      <c r="G30" s="22"/>
      <c r="H30" s="25" t="str">
        <f aca="false">IF(D30="","",IFERROR(IF(VLOOKUP(D30,$B$10:$F$13,5,FALSE())&amp;""="","Sem suporte",VLOOKUP(D30,$B$10:$F$13,5,FALSE())&amp;""),"Câmera não listada"))</f>
        <v/>
      </c>
      <c r="I30" s="25" t="str">
        <f aca="false">IF(F30="","",IF(OR(F30="PG",F30="PC"),"Sim","Não"))</f>
        <v/>
      </c>
      <c r="J30" s="26" t="str">
        <f aca="false">IF(AND(C30="",D30="",E30="",F30=""),"",IF(OR(C30="",D30="",E30="",F30=""),"Incompleto",IF(COUNTIFS($C$30:$C$65,C30,$E$30:$E$65,E30,$F$30:$F$65,F30)&gt;1,"Plano repetido",IF(AND(OR(H30="Mão",H30="Monopé",H30="Estabilizador"),OR(F30="PP",F30="Close",F30="Detalhe")),"Fechado na mão",IF(COUNTIFS($C$30:$C$65,C30,$I$30:$I$65,"Sim")=0,"Sem plano aberto","OK")))))</f>
        <v/>
      </c>
      <c r="K30" s="27" t="str">
        <f aca="false">IF(J30="","",IF(J30="Incompleto","Preencha momento, câmera, assunto e plano",IF(J30="Plano repetido","Outra câmera tem o mesmo assunto e plano neste momento: mude o plano ou o assunto",IF(J30="Fechado na mão","Este suporte não sustenta plano fechado: abra o plano ou use tripé",IF(J30="Sem plano aberto","Nenhuma câmera em PG ou PC neste momento: abra uma delas","Manter")))))</f>
        <v/>
      </c>
      <c r="L30" s="5"/>
    </row>
    <row r="31" customFormat="false" ht="21.75" hidden="false" customHeight="true" outlineLevel="0" collapsed="false">
      <c r="B31" s="21" t="n">
        <v>2</v>
      </c>
      <c r="C31" s="5"/>
      <c r="D31" s="22"/>
      <c r="E31" s="5"/>
      <c r="F31" s="22"/>
      <c r="G31" s="22"/>
      <c r="H31" s="25" t="str">
        <f aca="false">IF(D31="","",IFERROR(IF(VLOOKUP(D31,$B$10:$F$13,5,FALSE())&amp;""="","Sem suporte",VLOOKUP(D31,$B$10:$F$13,5,FALSE())&amp;""),"Câmera não listada"))</f>
        <v/>
      </c>
      <c r="I31" s="25" t="str">
        <f aca="false">IF(F31="","",IF(OR(F31="PG",F31="PC"),"Sim","Não"))</f>
        <v/>
      </c>
      <c r="J31" s="26" t="str">
        <f aca="false">IF(AND(C31="",D31="",E31="",F31=""),"",IF(OR(C31="",D31="",E31="",F31=""),"Incompleto",IF(COUNTIFS($C$30:$C$65,C31,$E$30:$E$65,E31,$F$30:$F$65,F31)&gt;1,"Plano repetido",IF(AND(OR(H31="Mão",H31="Monopé",H31="Estabilizador"),OR(F31="PP",F31="Close",F31="Detalhe")),"Fechado na mão",IF(COUNTIFS($C$30:$C$65,C31,$I$30:$I$65,"Sim")=0,"Sem plano aberto","OK")))))</f>
        <v/>
      </c>
      <c r="K31" s="27" t="str">
        <f aca="false">IF(J31="","",IF(J31="Incompleto","Preencha momento, câmera, assunto e plano",IF(J31="Plano repetido","Outra câmera tem o mesmo assunto e plano neste momento: mude o plano ou o assunto",IF(J31="Fechado na mão","Este suporte não sustenta plano fechado: abra o plano ou use tripé",IF(J31="Sem plano aberto","Nenhuma câmera em PG ou PC neste momento: abra uma delas","Manter")))))</f>
        <v/>
      </c>
      <c r="L31" s="5"/>
    </row>
    <row r="32" customFormat="false" ht="21.75" hidden="false" customHeight="true" outlineLevel="0" collapsed="false">
      <c r="B32" s="21" t="n">
        <v>3</v>
      </c>
      <c r="C32" s="5"/>
      <c r="D32" s="22"/>
      <c r="E32" s="5"/>
      <c r="F32" s="22"/>
      <c r="G32" s="22"/>
      <c r="H32" s="25" t="str">
        <f aca="false">IF(D32="","",IFERROR(IF(VLOOKUP(D32,$B$10:$F$13,5,FALSE())&amp;""="","Sem suporte",VLOOKUP(D32,$B$10:$F$13,5,FALSE())&amp;""),"Câmera não listada"))</f>
        <v/>
      </c>
      <c r="I32" s="25" t="str">
        <f aca="false">IF(F32="","",IF(OR(F32="PG",F32="PC"),"Sim","Não"))</f>
        <v/>
      </c>
      <c r="J32" s="26" t="str">
        <f aca="false">IF(AND(C32="",D32="",E32="",F32=""),"",IF(OR(C32="",D32="",E32="",F32=""),"Incompleto",IF(COUNTIFS($C$30:$C$65,C32,$E$30:$E$65,E32,$F$30:$F$65,F32)&gt;1,"Plano repetido",IF(AND(OR(H32="Mão",H32="Monopé",H32="Estabilizador"),OR(F32="PP",F32="Close",F32="Detalhe")),"Fechado na mão",IF(COUNTIFS($C$30:$C$65,C32,$I$30:$I$65,"Sim")=0,"Sem plano aberto","OK")))))</f>
        <v/>
      </c>
      <c r="K32" s="27" t="str">
        <f aca="false">IF(J32="","",IF(J32="Incompleto","Preencha momento, câmera, assunto e plano",IF(J32="Plano repetido","Outra câmera tem o mesmo assunto e plano neste momento: mude o plano ou o assunto",IF(J32="Fechado na mão","Este suporte não sustenta plano fechado: abra o plano ou use tripé",IF(J32="Sem plano aberto","Nenhuma câmera em PG ou PC neste momento: abra uma delas","Manter")))))</f>
        <v/>
      </c>
      <c r="L32" s="5"/>
    </row>
    <row r="33" customFormat="false" ht="21.75" hidden="false" customHeight="true" outlineLevel="0" collapsed="false">
      <c r="B33" s="21" t="n">
        <v>4</v>
      </c>
      <c r="C33" s="5"/>
      <c r="D33" s="22"/>
      <c r="E33" s="5"/>
      <c r="F33" s="22"/>
      <c r="G33" s="22"/>
      <c r="H33" s="25" t="str">
        <f aca="false">IF(D33="","",IFERROR(IF(VLOOKUP(D33,$B$10:$F$13,5,FALSE())&amp;""="","Sem suporte",VLOOKUP(D33,$B$10:$F$13,5,FALSE())&amp;""),"Câmera não listada"))</f>
        <v/>
      </c>
      <c r="I33" s="25" t="str">
        <f aca="false">IF(F33="","",IF(OR(F33="PG",F33="PC"),"Sim","Não"))</f>
        <v/>
      </c>
      <c r="J33" s="26" t="str">
        <f aca="false">IF(AND(C33="",D33="",E33="",F33=""),"",IF(OR(C33="",D33="",E33="",F33=""),"Incompleto",IF(COUNTIFS($C$30:$C$65,C33,$E$30:$E$65,E33,$F$30:$F$65,F33)&gt;1,"Plano repetido",IF(AND(OR(H33="Mão",H33="Monopé",H33="Estabilizador"),OR(F33="PP",F33="Close",F33="Detalhe")),"Fechado na mão",IF(COUNTIFS($C$30:$C$65,C33,$I$30:$I$65,"Sim")=0,"Sem plano aberto","OK")))))</f>
        <v/>
      </c>
      <c r="K33" s="27" t="str">
        <f aca="false">IF(J33="","",IF(J33="Incompleto","Preencha momento, câmera, assunto e plano",IF(J33="Plano repetido","Outra câmera tem o mesmo assunto e plano neste momento: mude o plano ou o assunto",IF(J33="Fechado na mão","Este suporte não sustenta plano fechado: abra o plano ou use tripé",IF(J33="Sem plano aberto","Nenhuma câmera em PG ou PC neste momento: abra uma delas","Manter")))))</f>
        <v/>
      </c>
      <c r="L33" s="5"/>
    </row>
    <row r="34" customFormat="false" ht="21.75" hidden="false" customHeight="true" outlineLevel="0" collapsed="false">
      <c r="B34" s="21" t="n">
        <v>5</v>
      </c>
      <c r="C34" s="5"/>
      <c r="D34" s="22"/>
      <c r="E34" s="5"/>
      <c r="F34" s="22"/>
      <c r="G34" s="22"/>
      <c r="H34" s="25" t="str">
        <f aca="false">IF(D34="","",IFERROR(IF(VLOOKUP(D34,$B$10:$F$13,5,FALSE())&amp;""="","Sem suporte",VLOOKUP(D34,$B$10:$F$13,5,FALSE())&amp;""),"Câmera não listada"))</f>
        <v/>
      </c>
      <c r="I34" s="25" t="str">
        <f aca="false">IF(F34="","",IF(OR(F34="PG",F34="PC"),"Sim","Não"))</f>
        <v/>
      </c>
      <c r="J34" s="26" t="str">
        <f aca="false">IF(AND(C34="",D34="",E34="",F34=""),"",IF(OR(C34="",D34="",E34="",F34=""),"Incompleto",IF(COUNTIFS($C$30:$C$65,C34,$E$30:$E$65,E34,$F$30:$F$65,F34)&gt;1,"Plano repetido",IF(AND(OR(H34="Mão",H34="Monopé",H34="Estabilizador"),OR(F34="PP",F34="Close",F34="Detalhe")),"Fechado na mão",IF(COUNTIFS($C$30:$C$65,C34,$I$30:$I$65,"Sim")=0,"Sem plano aberto","OK")))))</f>
        <v/>
      </c>
      <c r="K34" s="27" t="str">
        <f aca="false">IF(J34="","",IF(J34="Incompleto","Preencha momento, câmera, assunto e plano",IF(J34="Plano repetido","Outra câmera tem o mesmo assunto e plano neste momento: mude o plano ou o assunto",IF(J34="Fechado na mão","Este suporte não sustenta plano fechado: abra o plano ou use tripé",IF(J34="Sem plano aberto","Nenhuma câmera em PG ou PC neste momento: abra uma delas","Manter")))))</f>
        <v/>
      </c>
      <c r="L34" s="5"/>
    </row>
    <row r="35" customFormat="false" ht="21.75" hidden="false" customHeight="true" outlineLevel="0" collapsed="false">
      <c r="B35" s="21" t="n">
        <v>6</v>
      </c>
      <c r="C35" s="5"/>
      <c r="D35" s="22"/>
      <c r="E35" s="5"/>
      <c r="F35" s="22"/>
      <c r="G35" s="22"/>
      <c r="H35" s="25" t="str">
        <f aca="false">IF(D35="","",IFERROR(IF(VLOOKUP(D35,$B$10:$F$13,5,FALSE())&amp;""="","Sem suporte",VLOOKUP(D35,$B$10:$F$13,5,FALSE())&amp;""),"Câmera não listada"))</f>
        <v/>
      </c>
      <c r="I35" s="25" t="str">
        <f aca="false">IF(F35="","",IF(OR(F35="PG",F35="PC"),"Sim","Não"))</f>
        <v/>
      </c>
      <c r="J35" s="26" t="str">
        <f aca="false">IF(AND(C35="",D35="",E35="",F35=""),"",IF(OR(C35="",D35="",E35="",F35=""),"Incompleto",IF(COUNTIFS($C$30:$C$65,C35,$E$30:$E$65,E35,$F$30:$F$65,F35)&gt;1,"Plano repetido",IF(AND(OR(H35="Mão",H35="Monopé",H35="Estabilizador"),OR(F35="PP",F35="Close",F35="Detalhe")),"Fechado na mão",IF(COUNTIFS($C$30:$C$65,C35,$I$30:$I$65,"Sim")=0,"Sem plano aberto","OK")))))</f>
        <v/>
      </c>
      <c r="K35" s="27" t="str">
        <f aca="false">IF(J35="","",IF(J35="Incompleto","Preencha momento, câmera, assunto e plano",IF(J35="Plano repetido","Outra câmera tem o mesmo assunto e plano neste momento: mude o plano ou o assunto",IF(J35="Fechado na mão","Este suporte não sustenta plano fechado: abra o plano ou use tripé",IF(J35="Sem plano aberto","Nenhuma câmera em PG ou PC neste momento: abra uma delas","Manter")))))</f>
        <v/>
      </c>
      <c r="L35" s="5"/>
    </row>
    <row r="36" customFormat="false" ht="21.75" hidden="false" customHeight="true" outlineLevel="0" collapsed="false">
      <c r="B36" s="21" t="n">
        <v>7</v>
      </c>
      <c r="C36" s="5"/>
      <c r="D36" s="22"/>
      <c r="E36" s="5"/>
      <c r="F36" s="22"/>
      <c r="G36" s="22"/>
      <c r="H36" s="25" t="str">
        <f aca="false">IF(D36="","",IFERROR(IF(VLOOKUP(D36,$B$10:$F$13,5,FALSE())&amp;""="","Sem suporte",VLOOKUP(D36,$B$10:$F$13,5,FALSE())&amp;""),"Câmera não listada"))</f>
        <v/>
      </c>
      <c r="I36" s="25" t="str">
        <f aca="false">IF(F36="","",IF(OR(F36="PG",F36="PC"),"Sim","Não"))</f>
        <v/>
      </c>
      <c r="J36" s="26" t="str">
        <f aca="false">IF(AND(C36="",D36="",E36="",F36=""),"",IF(OR(C36="",D36="",E36="",F36=""),"Incompleto",IF(COUNTIFS($C$30:$C$65,C36,$E$30:$E$65,E36,$F$30:$F$65,F36)&gt;1,"Plano repetido",IF(AND(OR(H36="Mão",H36="Monopé",H36="Estabilizador"),OR(F36="PP",F36="Close",F36="Detalhe")),"Fechado na mão",IF(COUNTIFS($C$30:$C$65,C36,$I$30:$I$65,"Sim")=0,"Sem plano aberto","OK")))))</f>
        <v/>
      </c>
      <c r="K36" s="27" t="str">
        <f aca="false">IF(J36="","",IF(J36="Incompleto","Preencha momento, câmera, assunto e plano",IF(J36="Plano repetido","Outra câmera tem o mesmo assunto e plano neste momento: mude o plano ou o assunto",IF(J36="Fechado na mão","Este suporte não sustenta plano fechado: abra o plano ou use tripé",IF(J36="Sem plano aberto","Nenhuma câmera em PG ou PC neste momento: abra uma delas","Manter")))))</f>
        <v/>
      </c>
      <c r="L36" s="5"/>
    </row>
    <row r="37" customFormat="false" ht="21.75" hidden="false" customHeight="true" outlineLevel="0" collapsed="false">
      <c r="B37" s="21" t="n">
        <v>8</v>
      </c>
      <c r="C37" s="5"/>
      <c r="D37" s="22"/>
      <c r="E37" s="5"/>
      <c r="F37" s="22"/>
      <c r="G37" s="22"/>
      <c r="H37" s="25" t="str">
        <f aca="false">IF(D37="","",IFERROR(IF(VLOOKUP(D37,$B$10:$F$13,5,FALSE())&amp;""="","Sem suporte",VLOOKUP(D37,$B$10:$F$13,5,FALSE())&amp;""),"Câmera não listada"))</f>
        <v/>
      </c>
      <c r="I37" s="25" t="str">
        <f aca="false">IF(F37="","",IF(OR(F37="PG",F37="PC"),"Sim","Não"))</f>
        <v/>
      </c>
      <c r="J37" s="26" t="str">
        <f aca="false">IF(AND(C37="",D37="",E37="",F37=""),"",IF(OR(C37="",D37="",E37="",F37=""),"Incompleto",IF(COUNTIFS($C$30:$C$65,C37,$E$30:$E$65,E37,$F$30:$F$65,F37)&gt;1,"Plano repetido",IF(AND(OR(H37="Mão",H37="Monopé",H37="Estabilizador"),OR(F37="PP",F37="Close",F37="Detalhe")),"Fechado na mão",IF(COUNTIFS($C$30:$C$65,C37,$I$30:$I$65,"Sim")=0,"Sem plano aberto","OK")))))</f>
        <v/>
      </c>
      <c r="K37" s="27" t="str">
        <f aca="false">IF(J37="","",IF(J37="Incompleto","Preencha momento, câmera, assunto e plano",IF(J37="Plano repetido","Outra câmera tem o mesmo assunto e plano neste momento: mude o plano ou o assunto",IF(J37="Fechado na mão","Este suporte não sustenta plano fechado: abra o plano ou use tripé",IF(J37="Sem plano aberto","Nenhuma câmera em PG ou PC neste momento: abra uma delas","Manter")))))</f>
        <v/>
      </c>
      <c r="L37" s="5"/>
    </row>
    <row r="38" customFormat="false" ht="21.75" hidden="false" customHeight="true" outlineLevel="0" collapsed="false">
      <c r="B38" s="21" t="n">
        <v>9</v>
      </c>
      <c r="C38" s="5"/>
      <c r="D38" s="22"/>
      <c r="E38" s="5"/>
      <c r="F38" s="22"/>
      <c r="G38" s="22"/>
      <c r="H38" s="25" t="str">
        <f aca="false">IF(D38="","",IFERROR(IF(VLOOKUP(D38,$B$10:$F$13,5,FALSE())&amp;""="","Sem suporte",VLOOKUP(D38,$B$10:$F$13,5,FALSE())&amp;""),"Câmera não listada"))</f>
        <v/>
      </c>
      <c r="I38" s="25" t="str">
        <f aca="false">IF(F38="","",IF(OR(F38="PG",F38="PC"),"Sim","Não"))</f>
        <v/>
      </c>
      <c r="J38" s="26" t="str">
        <f aca="false">IF(AND(C38="",D38="",E38="",F38=""),"",IF(OR(C38="",D38="",E38="",F38=""),"Incompleto",IF(COUNTIFS($C$30:$C$65,C38,$E$30:$E$65,E38,$F$30:$F$65,F38)&gt;1,"Plano repetido",IF(AND(OR(H38="Mão",H38="Monopé",H38="Estabilizador"),OR(F38="PP",F38="Close",F38="Detalhe")),"Fechado na mão",IF(COUNTIFS($C$30:$C$65,C38,$I$30:$I$65,"Sim")=0,"Sem plano aberto","OK")))))</f>
        <v/>
      </c>
      <c r="K38" s="27" t="str">
        <f aca="false">IF(J38="","",IF(J38="Incompleto","Preencha momento, câmera, assunto e plano",IF(J38="Plano repetido","Outra câmera tem o mesmo assunto e plano neste momento: mude o plano ou o assunto",IF(J38="Fechado na mão","Este suporte não sustenta plano fechado: abra o plano ou use tripé",IF(J38="Sem plano aberto","Nenhuma câmera em PG ou PC neste momento: abra uma delas","Manter")))))</f>
        <v/>
      </c>
      <c r="L38" s="5"/>
    </row>
    <row r="39" customFormat="false" ht="21.75" hidden="false" customHeight="true" outlineLevel="0" collapsed="false">
      <c r="B39" s="21" t="n">
        <v>10</v>
      </c>
      <c r="C39" s="5"/>
      <c r="D39" s="22"/>
      <c r="E39" s="5"/>
      <c r="F39" s="22"/>
      <c r="G39" s="22"/>
      <c r="H39" s="25" t="str">
        <f aca="false">IF(D39="","",IFERROR(IF(VLOOKUP(D39,$B$10:$F$13,5,FALSE())&amp;""="","Sem suporte",VLOOKUP(D39,$B$10:$F$13,5,FALSE())&amp;""),"Câmera não listada"))</f>
        <v/>
      </c>
      <c r="I39" s="25" t="str">
        <f aca="false">IF(F39="","",IF(OR(F39="PG",F39="PC"),"Sim","Não"))</f>
        <v/>
      </c>
      <c r="J39" s="26" t="str">
        <f aca="false">IF(AND(C39="",D39="",E39="",F39=""),"",IF(OR(C39="",D39="",E39="",F39=""),"Incompleto",IF(COUNTIFS($C$30:$C$65,C39,$E$30:$E$65,E39,$F$30:$F$65,F39)&gt;1,"Plano repetido",IF(AND(OR(H39="Mão",H39="Monopé",H39="Estabilizador"),OR(F39="PP",F39="Close",F39="Detalhe")),"Fechado na mão",IF(COUNTIFS($C$30:$C$65,C39,$I$30:$I$65,"Sim")=0,"Sem plano aberto","OK")))))</f>
        <v/>
      </c>
      <c r="K39" s="27" t="str">
        <f aca="false">IF(J39="","",IF(J39="Incompleto","Preencha momento, câmera, assunto e plano",IF(J39="Plano repetido","Outra câmera tem o mesmo assunto e plano neste momento: mude o plano ou o assunto",IF(J39="Fechado na mão","Este suporte não sustenta plano fechado: abra o plano ou use tripé",IF(J39="Sem plano aberto","Nenhuma câmera em PG ou PC neste momento: abra uma delas","Manter")))))</f>
        <v/>
      </c>
      <c r="L39" s="5"/>
    </row>
    <row r="40" customFormat="false" ht="21.75" hidden="false" customHeight="true" outlineLevel="0" collapsed="false">
      <c r="B40" s="21" t="n">
        <v>11</v>
      </c>
      <c r="C40" s="5"/>
      <c r="D40" s="22"/>
      <c r="E40" s="5"/>
      <c r="F40" s="22"/>
      <c r="G40" s="22"/>
      <c r="H40" s="25" t="str">
        <f aca="false">IF(D40="","",IFERROR(IF(VLOOKUP(D40,$B$10:$F$13,5,FALSE())&amp;""="","Sem suporte",VLOOKUP(D40,$B$10:$F$13,5,FALSE())&amp;""),"Câmera não listada"))</f>
        <v/>
      </c>
      <c r="I40" s="25" t="str">
        <f aca="false">IF(F40="","",IF(OR(F40="PG",F40="PC"),"Sim","Não"))</f>
        <v/>
      </c>
      <c r="J40" s="26" t="str">
        <f aca="false">IF(AND(C40="",D40="",E40="",F40=""),"",IF(OR(C40="",D40="",E40="",F40=""),"Incompleto",IF(COUNTIFS($C$30:$C$65,C40,$E$30:$E$65,E40,$F$30:$F$65,F40)&gt;1,"Plano repetido",IF(AND(OR(H40="Mão",H40="Monopé",H40="Estabilizador"),OR(F40="PP",F40="Close",F40="Detalhe")),"Fechado na mão",IF(COUNTIFS($C$30:$C$65,C40,$I$30:$I$65,"Sim")=0,"Sem plano aberto","OK")))))</f>
        <v/>
      </c>
      <c r="K40" s="27" t="str">
        <f aca="false">IF(J40="","",IF(J40="Incompleto","Preencha momento, câmera, assunto e plano",IF(J40="Plano repetido","Outra câmera tem o mesmo assunto e plano neste momento: mude o plano ou o assunto",IF(J40="Fechado na mão","Este suporte não sustenta plano fechado: abra o plano ou use tripé",IF(J40="Sem plano aberto","Nenhuma câmera em PG ou PC neste momento: abra uma delas","Manter")))))</f>
        <v/>
      </c>
      <c r="L40" s="5"/>
    </row>
    <row r="41" customFormat="false" ht="21.75" hidden="false" customHeight="true" outlineLevel="0" collapsed="false">
      <c r="B41" s="21" t="n">
        <v>12</v>
      </c>
      <c r="C41" s="5"/>
      <c r="D41" s="22"/>
      <c r="E41" s="5"/>
      <c r="F41" s="22"/>
      <c r="G41" s="22"/>
      <c r="H41" s="25" t="str">
        <f aca="false">IF(D41="","",IFERROR(IF(VLOOKUP(D41,$B$10:$F$13,5,FALSE())&amp;""="","Sem suporte",VLOOKUP(D41,$B$10:$F$13,5,FALSE())&amp;""),"Câmera não listada"))</f>
        <v/>
      </c>
      <c r="I41" s="25" t="str">
        <f aca="false">IF(F41="","",IF(OR(F41="PG",F41="PC"),"Sim","Não"))</f>
        <v/>
      </c>
      <c r="J41" s="26" t="str">
        <f aca="false">IF(AND(C41="",D41="",E41="",F41=""),"",IF(OR(C41="",D41="",E41="",F41=""),"Incompleto",IF(COUNTIFS($C$30:$C$65,C41,$E$30:$E$65,E41,$F$30:$F$65,F41)&gt;1,"Plano repetido",IF(AND(OR(H41="Mão",H41="Monopé",H41="Estabilizador"),OR(F41="PP",F41="Close",F41="Detalhe")),"Fechado na mão",IF(COUNTIFS($C$30:$C$65,C41,$I$30:$I$65,"Sim")=0,"Sem plano aberto","OK")))))</f>
        <v/>
      </c>
      <c r="K41" s="27" t="str">
        <f aca="false">IF(J41="","",IF(J41="Incompleto","Preencha momento, câmera, assunto e plano",IF(J41="Plano repetido","Outra câmera tem o mesmo assunto e plano neste momento: mude o plano ou o assunto",IF(J41="Fechado na mão","Este suporte não sustenta plano fechado: abra o plano ou use tripé",IF(J41="Sem plano aberto","Nenhuma câmera em PG ou PC neste momento: abra uma delas","Manter")))))</f>
        <v/>
      </c>
      <c r="L41" s="5"/>
    </row>
    <row r="42" customFormat="false" ht="21.75" hidden="false" customHeight="true" outlineLevel="0" collapsed="false">
      <c r="B42" s="21" t="n">
        <v>13</v>
      </c>
      <c r="C42" s="5"/>
      <c r="D42" s="22"/>
      <c r="E42" s="5"/>
      <c r="F42" s="22"/>
      <c r="G42" s="22"/>
      <c r="H42" s="25" t="str">
        <f aca="false">IF(D42="","",IFERROR(IF(VLOOKUP(D42,$B$10:$F$13,5,FALSE())&amp;""="","Sem suporte",VLOOKUP(D42,$B$10:$F$13,5,FALSE())&amp;""),"Câmera não listada"))</f>
        <v/>
      </c>
      <c r="I42" s="25" t="str">
        <f aca="false">IF(F42="","",IF(OR(F42="PG",F42="PC"),"Sim","Não"))</f>
        <v/>
      </c>
      <c r="J42" s="26" t="str">
        <f aca="false">IF(AND(C42="",D42="",E42="",F42=""),"",IF(OR(C42="",D42="",E42="",F42=""),"Incompleto",IF(COUNTIFS($C$30:$C$65,C42,$E$30:$E$65,E42,$F$30:$F$65,F42)&gt;1,"Plano repetido",IF(AND(OR(H42="Mão",H42="Monopé",H42="Estabilizador"),OR(F42="PP",F42="Close",F42="Detalhe")),"Fechado na mão",IF(COUNTIFS($C$30:$C$65,C42,$I$30:$I$65,"Sim")=0,"Sem plano aberto","OK")))))</f>
        <v/>
      </c>
      <c r="K42" s="27" t="str">
        <f aca="false">IF(J42="","",IF(J42="Incompleto","Preencha momento, câmera, assunto e plano",IF(J42="Plano repetido","Outra câmera tem o mesmo assunto e plano neste momento: mude o plano ou o assunto",IF(J42="Fechado na mão","Este suporte não sustenta plano fechado: abra o plano ou use tripé",IF(J42="Sem plano aberto","Nenhuma câmera em PG ou PC neste momento: abra uma delas","Manter")))))</f>
        <v/>
      </c>
      <c r="L42" s="5"/>
    </row>
    <row r="43" customFormat="false" ht="21.75" hidden="false" customHeight="true" outlineLevel="0" collapsed="false">
      <c r="B43" s="21" t="n">
        <v>14</v>
      </c>
      <c r="C43" s="5"/>
      <c r="D43" s="22"/>
      <c r="E43" s="5"/>
      <c r="F43" s="22"/>
      <c r="G43" s="22"/>
      <c r="H43" s="25" t="str">
        <f aca="false">IF(D43="","",IFERROR(IF(VLOOKUP(D43,$B$10:$F$13,5,FALSE())&amp;""="","Sem suporte",VLOOKUP(D43,$B$10:$F$13,5,FALSE())&amp;""),"Câmera não listada"))</f>
        <v/>
      </c>
      <c r="I43" s="25" t="str">
        <f aca="false">IF(F43="","",IF(OR(F43="PG",F43="PC"),"Sim","Não"))</f>
        <v/>
      </c>
      <c r="J43" s="26" t="str">
        <f aca="false">IF(AND(C43="",D43="",E43="",F43=""),"",IF(OR(C43="",D43="",E43="",F43=""),"Incompleto",IF(COUNTIFS($C$30:$C$65,C43,$E$30:$E$65,E43,$F$30:$F$65,F43)&gt;1,"Plano repetido",IF(AND(OR(H43="Mão",H43="Monopé",H43="Estabilizador"),OR(F43="PP",F43="Close",F43="Detalhe")),"Fechado na mão",IF(COUNTIFS($C$30:$C$65,C43,$I$30:$I$65,"Sim")=0,"Sem plano aberto","OK")))))</f>
        <v/>
      </c>
      <c r="K43" s="27" t="str">
        <f aca="false">IF(J43="","",IF(J43="Incompleto","Preencha momento, câmera, assunto e plano",IF(J43="Plano repetido","Outra câmera tem o mesmo assunto e plano neste momento: mude o plano ou o assunto",IF(J43="Fechado na mão","Este suporte não sustenta plano fechado: abra o plano ou use tripé",IF(J43="Sem plano aberto","Nenhuma câmera em PG ou PC neste momento: abra uma delas","Manter")))))</f>
        <v/>
      </c>
      <c r="L43" s="5"/>
    </row>
    <row r="44" customFormat="false" ht="21.75" hidden="false" customHeight="true" outlineLevel="0" collapsed="false">
      <c r="B44" s="21" t="n">
        <v>15</v>
      </c>
      <c r="C44" s="5"/>
      <c r="D44" s="22"/>
      <c r="E44" s="5"/>
      <c r="F44" s="22"/>
      <c r="G44" s="22"/>
      <c r="H44" s="25" t="str">
        <f aca="false">IF(D44="","",IFERROR(IF(VLOOKUP(D44,$B$10:$F$13,5,FALSE())&amp;""="","Sem suporte",VLOOKUP(D44,$B$10:$F$13,5,FALSE())&amp;""),"Câmera não listada"))</f>
        <v/>
      </c>
      <c r="I44" s="25" t="str">
        <f aca="false">IF(F44="","",IF(OR(F44="PG",F44="PC"),"Sim","Não"))</f>
        <v/>
      </c>
      <c r="J44" s="26" t="str">
        <f aca="false">IF(AND(C44="",D44="",E44="",F44=""),"",IF(OR(C44="",D44="",E44="",F44=""),"Incompleto",IF(COUNTIFS($C$30:$C$65,C44,$E$30:$E$65,E44,$F$30:$F$65,F44)&gt;1,"Plano repetido",IF(AND(OR(H44="Mão",H44="Monopé",H44="Estabilizador"),OR(F44="PP",F44="Close",F44="Detalhe")),"Fechado na mão",IF(COUNTIFS($C$30:$C$65,C44,$I$30:$I$65,"Sim")=0,"Sem plano aberto","OK")))))</f>
        <v/>
      </c>
      <c r="K44" s="27" t="str">
        <f aca="false">IF(J44="","",IF(J44="Incompleto","Preencha momento, câmera, assunto e plano",IF(J44="Plano repetido","Outra câmera tem o mesmo assunto e plano neste momento: mude o plano ou o assunto",IF(J44="Fechado na mão","Este suporte não sustenta plano fechado: abra o plano ou use tripé",IF(J44="Sem plano aberto","Nenhuma câmera em PG ou PC neste momento: abra uma delas","Manter")))))</f>
        <v/>
      </c>
      <c r="L44" s="5"/>
    </row>
    <row r="45" customFormat="false" ht="21.75" hidden="false" customHeight="true" outlineLevel="0" collapsed="false">
      <c r="B45" s="21" t="n">
        <v>16</v>
      </c>
      <c r="C45" s="5"/>
      <c r="D45" s="22"/>
      <c r="E45" s="5"/>
      <c r="F45" s="22"/>
      <c r="G45" s="22"/>
      <c r="H45" s="25" t="str">
        <f aca="false">IF(D45="","",IFERROR(IF(VLOOKUP(D45,$B$10:$F$13,5,FALSE())&amp;""="","Sem suporte",VLOOKUP(D45,$B$10:$F$13,5,FALSE())&amp;""),"Câmera não listada"))</f>
        <v/>
      </c>
      <c r="I45" s="25" t="str">
        <f aca="false">IF(F45="","",IF(OR(F45="PG",F45="PC"),"Sim","Não"))</f>
        <v/>
      </c>
      <c r="J45" s="26" t="str">
        <f aca="false">IF(AND(C45="",D45="",E45="",F45=""),"",IF(OR(C45="",D45="",E45="",F45=""),"Incompleto",IF(COUNTIFS($C$30:$C$65,C45,$E$30:$E$65,E45,$F$30:$F$65,F45)&gt;1,"Plano repetido",IF(AND(OR(H45="Mão",H45="Monopé",H45="Estabilizador"),OR(F45="PP",F45="Close",F45="Detalhe")),"Fechado na mão",IF(COUNTIFS($C$30:$C$65,C45,$I$30:$I$65,"Sim")=0,"Sem plano aberto","OK")))))</f>
        <v/>
      </c>
      <c r="K45" s="27" t="str">
        <f aca="false">IF(J45="","",IF(J45="Incompleto","Preencha momento, câmera, assunto e plano",IF(J45="Plano repetido","Outra câmera tem o mesmo assunto e plano neste momento: mude o plano ou o assunto",IF(J45="Fechado na mão","Este suporte não sustenta plano fechado: abra o plano ou use tripé",IF(J45="Sem plano aberto","Nenhuma câmera em PG ou PC neste momento: abra uma delas","Manter")))))</f>
        <v/>
      </c>
      <c r="L45" s="5"/>
    </row>
    <row r="46" customFormat="false" ht="21.75" hidden="false" customHeight="true" outlineLevel="0" collapsed="false">
      <c r="B46" s="21" t="n">
        <v>17</v>
      </c>
      <c r="C46" s="5"/>
      <c r="D46" s="22"/>
      <c r="E46" s="5"/>
      <c r="F46" s="22"/>
      <c r="G46" s="22"/>
      <c r="H46" s="25" t="str">
        <f aca="false">IF(D46="","",IFERROR(IF(VLOOKUP(D46,$B$10:$F$13,5,FALSE())&amp;""="","Sem suporte",VLOOKUP(D46,$B$10:$F$13,5,FALSE())&amp;""),"Câmera não listada"))</f>
        <v/>
      </c>
      <c r="I46" s="25" t="str">
        <f aca="false">IF(F46="","",IF(OR(F46="PG",F46="PC"),"Sim","Não"))</f>
        <v/>
      </c>
      <c r="J46" s="26" t="str">
        <f aca="false">IF(AND(C46="",D46="",E46="",F46=""),"",IF(OR(C46="",D46="",E46="",F46=""),"Incompleto",IF(COUNTIFS($C$30:$C$65,C46,$E$30:$E$65,E46,$F$30:$F$65,F46)&gt;1,"Plano repetido",IF(AND(OR(H46="Mão",H46="Monopé",H46="Estabilizador"),OR(F46="PP",F46="Close",F46="Detalhe")),"Fechado na mão",IF(COUNTIFS($C$30:$C$65,C46,$I$30:$I$65,"Sim")=0,"Sem plano aberto","OK")))))</f>
        <v/>
      </c>
      <c r="K46" s="27" t="str">
        <f aca="false">IF(J46="","",IF(J46="Incompleto","Preencha momento, câmera, assunto e plano",IF(J46="Plano repetido","Outra câmera tem o mesmo assunto e plano neste momento: mude o plano ou o assunto",IF(J46="Fechado na mão","Este suporte não sustenta plano fechado: abra o plano ou use tripé",IF(J46="Sem plano aberto","Nenhuma câmera em PG ou PC neste momento: abra uma delas","Manter")))))</f>
        <v/>
      </c>
      <c r="L46" s="5"/>
    </row>
    <row r="47" customFormat="false" ht="21.75" hidden="false" customHeight="true" outlineLevel="0" collapsed="false">
      <c r="B47" s="21" t="n">
        <v>18</v>
      </c>
      <c r="C47" s="5"/>
      <c r="D47" s="22"/>
      <c r="E47" s="5"/>
      <c r="F47" s="22"/>
      <c r="G47" s="22"/>
      <c r="H47" s="25" t="str">
        <f aca="false">IF(D47="","",IFERROR(IF(VLOOKUP(D47,$B$10:$F$13,5,FALSE())&amp;""="","Sem suporte",VLOOKUP(D47,$B$10:$F$13,5,FALSE())&amp;""),"Câmera não listada"))</f>
        <v/>
      </c>
      <c r="I47" s="25" t="str">
        <f aca="false">IF(F47="","",IF(OR(F47="PG",F47="PC"),"Sim","Não"))</f>
        <v/>
      </c>
      <c r="J47" s="26" t="str">
        <f aca="false">IF(AND(C47="",D47="",E47="",F47=""),"",IF(OR(C47="",D47="",E47="",F47=""),"Incompleto",IF(COUNTIFS($C$30:$C$65,C47,$E$30:$E$65,E47,$F$30:$F$65,F47)&gt;1,"Plano repetido",IF(AND(OR(H47="Mão",H47="Monopé",H47="Estabilizador"),OR(F47="PP",F47="Close",F47="Detalhe")),"Fechado na mão",IF(COUNTIFS($C$30:$C$65,C47,$I$30:$I$65,"Sim")=0,"Sem plano aberto","OK")))))</f>
        <v/>
      </c>
      <c r="K47" s="27" t="str">
        <f aca="false">IF(J47="","",IF(J47="Incompleto","Preencha momento, câmera, assunto e plano",IF(J47="Plano repetido","Outra câmera tem o mesmo assunto e plano neste momento: mude o plano ou o assunto",IF(J47="Fechado na mão","Este suporte não sustenta plano fechado: abra o plano ou use tripé",IF(J47="Sem plano aberto","Nenhuma câmera em PG ou PC neste momento: abra uma delas","Manter")))))</f>
        <v/>
      </c>
      <c r="L47" s="5"/>
    </row>
    <row r="48" customFormat="false" ht="21.75" hidden="false" customHeight="true" outlineLevel="0" collapsed="false">
      <c r="B48" s="21" t="n">
        <v>19</v>
      </c>
      <c r="C48" s="5"/>
      <c r="D48" s="22"/>
      <c r="E48" s="5"/>
      <c r="F48" s="22"/>
      <c r="G48" s="22"/>
      <c r="H48" s="25" t="str">
        <f aca="false">IF(D48="","",IFERROR(IF(VLOOKUP(D48,$B$10:$F$13,5,FALSE())&amp;""="","Sem suporte",VLOOKUP(D48,$B$10:$F$13,5,FALSE())&amp;""),"Câmera não listada"))</f>
        <v/>
      </c>
      <c r="I48" s="25" t="str">
        <f aca="false">IF(F48="","",IF(OR(F48="PG",F48="PC"),"Sim","Não"))</f>
        <v/>
      </c>
      <c r="J48" s="26" t="str">
        <f aca="false">IF(AND(C48="",D48="",E48="",F48=""),"",IF(OR(C48="",D48="",E48="",F48=""),"Incompleto",IF(COUNTIFS($C$30:$C$65,C48,$E$30:$E$65,E48,$F$30:$F$65,F48)&gt;1,"Plano repetido",IF(AND(OR(H48="Mão",H48="Monopé",H48="Estabilizador"),OR(F48="PP",F48="Close",F48="Detalhe")),"Fechado na mão",IF(COUNTIFS($C$30:$C$65,C48,$I$30:$I$65,"Sim")=0,"Sem plano aberto","OK")))))</f>
        <v/>
      </c>
      <c r="K48" s="27" t="str">
        <f aca="false">IF(J48="","",IF(J48="Incompleto","Preencha momento, câmera, assunto e plano",IF(J48="Plano repetido","Outra câmera tem o mesmo assunto e plano neste momento: mude o plano ou o assunto",IF(J48="Fechado na mão","Este suporte não sustenta plano fechado: abra o plano ou use tripé",IF(J48="Sem plano aberto","Nenhuma câmera em PG ou PC neste momento: abra uma delas","Manter")))))</f>
        <v/>
      </c>
      <c r="L48" s="5"/>
    </row>
    <row r="49" customFormat="false" ht="21.75" hidden="false" customHeight="true" outlineLevel="0" collapsed="false">
      <c r="B49" s="21" t="n">
        <v>20</v>
      </c>
      <c r="C49" s="5"/>
      <c r="D49" s="22"/>
      <c r="E49" s="5"/>
      <c r="F49" s="22"/>
      <c r="G49" s="22"/>
      <c r="H49" s="25" t="str">
        <f aca="false">IF(D49="","",IFERROR(IF(VLOOKUP(D49,$B$10:$F$13,5,FALSE())&amp;""="","Sem suporte",VLOOKUP(D49,$B$10:$F$13,5,FALSE())&amp;""),"Câmera não listada"))</f>
        <v/>
      </c>
      <c r="I49" s="25" t="str">
        <f aca="false">IF(F49="","",IF(OR(F49="PG",F49="PC"),"Sim","Não"))</f>
        <v/>
      </c>
      <c r="J49" s="26" t="str">
        <f aca="false">IF(AND(C49="",D49="",E49="",F49=""),"",IF(OR(C49="",D49="",E49="",F49=""),"Incompleto",IF(COUNTIFS($C$30:$C$65,C49,$E$30:$E$65,E49,$F$30:$F$65,F49)&gt;1,"Plano repetido",IF(AND(OR(H49="Mão",H49="Monopé",H49="Estabilizador"),OR(F49="PP",F49="Close",F49="Detalhe")),"Fechado na mão",IF(COUNTIFS($C$30:$C$65,C49,$I$30:$I$65,"Sim")=0,"Sem plano aberto","OK")))))</f>
        <v/>
      </c>
      <c r="K49" s="27" t="str">
        <f aca="false">IF(J49="","",IF(J49="Incompleto","Preencha momento, câmera, assunto e plano",IF(J49="Plano repetido","Outra câmera tem o mesmo assunto e plano neste momento: mude o plano ou o assunto",IF(J49="Fechado na mão","Este suporte não sustenta plano fechado: abra o plano ou use tripé",IF(J49="Sem plano aberto","Nenhuma câmera em PG ou PC neste momento: abra uma delas","Manter")))))</f>
        <v/>
      </c>
      <c r="L49" s="5"/>
    </row>
    <row r="50" customFormat="false" ht="21.75" hidden="false" customHeight="true" outlineLevel="0" collapsed="false">
      <c r="B50" s="21" t="n">
        <v>21</v>
      </c>
      <c r="C50" s="5"/>
      <c r="D50" s="22"/>
      <c r="E50" s="5"/>
      <c r="F50" s="22"/>
      <c r="G50" s="22"/>
      <c r="H50" s="25" t="str">
        <f aca="false">IF(D50="","",IFERROR(IF(VLOOKUP(D50,$B$10:$F$13,5,FALSE())&amp;""="","Sem suporte",VLOOKUP(D50,$B$10:$F$13,5,FALSE())&amp;""),"Câmera não listada"))</f>
        <v/>
      </c>
      <c r="I50" s="25" t="str">
        <f aca="false">IF(F50="","",IF(OR(F50="PG",F50="PC"),"Sim","Não"))</f>
        <v/>
      </c>
      <c r="J50" s="26" t="str">
        <f aca="false">IF(AND(C50="",D50="",E50="",F50=""),"",IF(OR(C50="",D50="",E50="",F50=""),"Incompleto",IF(COUNTIFS($C$30:$C$65,C50,$E$30:$E$65,E50,$F$30:$F$65,F50)&gt;1,"Plano repetido",IF(AND(OR(H50="Mão",H50="Monopé",H50="Estabilizador"),OR(F50="PP",F50="Close",F50="Detalhe")),"Fechado na mão",IF(COUNTIFS($C$30:$C$65,C50,$I$30:$I$65,"Sim")=0,"Sem plano aberto","OK")))))</f>
        <v/>
      </c>
      <c r="K50" s="27" t="str">
        <f aca="false">IF(J50="","",IF(J50="Incompleto","Preencha momento, câmera, assunto e plano",IF(J50="Plano repetido","Outra câmera tem o mesmo assunto e plano neste momento: mude o plano ou o assunto",IF(J50="Fechado na mão","Este suporte não sustenta plano fechado: abra o plano ou use tripé",IF(J50="Sem plano aberto","Nenhuma câmera em PG ou PC neste momento: abra uma delas","Manter")))))</f>
        <v/>
      </c>
      <c r="L50" s="5"/>
    </row>
    <row r="51" customFormat="false" ht="21.75" hidden="false" customHeight="true" outlineLevel="0" collapsed="false">
      <c r="B51" s="21" t="n">
        <v>22</v>
      </c>
      <c r="C51" s="5"/>
      <c r="D51" s="22"/>
      <c r="E51" s="5"/>
      <c r="F51" s="22"/>
      <c r="G51" s="22"/>
      <c r="H51" s="25" t="str">
        <f aca="false">IF(D51="","",IFERROR(IF(VLOOKUP(D51,$B$10:$F$13,5,FALSE())&amp;""="","Sem suporte",VLOOKUP(D51,$B$10:$F$13,5,FALSE())&amp;""),"Câmera não listada"))</f>
        <v/>
      </c>
      <c r="I51" s="25" t="str">
        <f aca="false">IF(F51="","",IF(OR(F51="PG",F51="PC"),"Sim","Não"))</f>
        <v/>
      </c>
      <c r="J51" s="26" t="str">
        <f aca="false">IF(AND(C51="",D51="",E51="",F51=""),"",IF(OR(C51="",D51="",E51="",F51=""),"Incompleto",IF(COUNTIFS($C$30:$C$65,C51,$E$30:$E$65,E51,$F$30:$F$65,F51)&gt;1,"Plano repetido",IF(AND(OR(H51="Mão",H51="Monopé",H51="Estabilizador"),OR(F51="PP",F51="Close",F51="Detalhe")),"Fechado na mão",IF(COUNTIFS($C$30:$C$65,C51,$I$30:$I$65,"Sim")=0,"Sem plano aberto","OK")))))</f>
        <v/>
      </c>
      <c r="K51" s="27" t="str">
        <f aca="false">IF(J51="","",IF(J51="Incompleto","Preencha momento, câmera, assunto e plano",IF(J51="Plano repetido","Outra câmera tem o mesmo assunto e plano neste momento: mude o plano ou o assunto",IF(J51="Fechado na mão","Este suporte não sustenta plano fechado: abra o plano ou use tripé",IF(J51="Sem plano aberto","Nenhuma câmera em PG ou PC neste momento: abra uma delas","Manter")))))</f>
        <v/>
      </c>
      <c r="L51" s="5"/>
    </row>
    <row r="52" customFormat="false" ht="21.75" hidden="false" customHeight="true" outlineLevel="0" collapsed="false">
      <c r="B52" s="21" t="n">
        <v>23</v>
      </c>
      <c r="C52" s="5"/>
      <c r="D52" s="22"/>
      <c r="E52" s="5"/>
      <c r="F52" s="22"/>
      <c r="G52" s="22"/>
      <c r="H52" s="25" t="str">
        <f aca="false">IF(D52="","",IFERROR(IF(VLOOKUP(D52,$B$10:$F$13,5,FALSE())&amp;""="","Sem suporte",VLOOKUP(D52,$B$10:$F$13,5,FALSE())&amp;""),"Câmera não listada"))</f>
        <v/>
      </c>
      <c r="I52" s="25" t="str">
        <f aca="false">IF(F52="","",IF(OR(F52="PG",F52="PC"),"Sim","Não"))</f>
        <v/>
      </c>
      <c r="J52" s="26" t="str">
        <f aca="false">IF(AND(C52="",D52="",E52="",F52=""),"",IF(OR(C52="",D52="",E52="",F52=""),"Incompleto",IF(COUNTIFS($C$30:$C$65,C52,$E$30:$E$65,E52,$F$30:$F$65,F52)&gt;1,"Plano repetido",IF(AND(OR(H52="Mão",H52="Monopé",H52="Estabilizador"),OR(F52="PP",F52="Close",F52="Detalhe")),"Fechado na mão",IF(COUNTIFS($C$30:$C$65,C52,$I$30:$I$65,"Sim")=0,"Sem plano aberto","OK")))))</f>
        <v/>
      </c>
      <c r="K52" s="27" t="str">
        <f aca="false">IF(J52="","",IF(J52="Incompleto","Preencha momento, câmera, assunto e plano",IF(J52="Plano repetido","Outra câmera tem o mesmo assunto e plano neste momento: mude o plano ou o assunto",IF(J52="Fechado na mão","Este suporte não sustenta plano fechado: abra o plano ou use tripé",IF(J52="Sem plano aberto","Nenhuma câmera em PG ou PC neste momento: abra uma delas","Manter")))))</f>
        <v/>
      </c>
      <c r="L52" s="5"/>
    </row>
    <row r="53" customFormat="false" ht="21.75" hidden="false" customHeight="true" outlineLevel="0" collapsed="false">
      <c r="B53" s="21" t="n">
        <v>24</v>
      </c>
      <c r="C53" s="5"/>
      <c r="D53" s="22"/>
      <c r="E53" s="5"/>
      <c r="F53" s="22"/>
      <c r="G53" s="22"/>
      <c r="H53" s="25" t="str">
        <f aca="false">IF(D53="","",IFERROR(IF(VLOOKUP(D53,$B$10:$F$13,5,FALSE())&amp;""="","Sem suporte",VLOOKUP(D53,$B$10:$F$13,5,FALSE())&amp;""),"Câmera não listada"))</f>
        <v/>
      </c>
      <c r="I53" s="25" t="str">
        <f aca="false">IF(F53="","",IF(OR(F53="PG",F53="PC"),"Sim","Não"))</f>
        <v/>
      </c>
      <c r="J53" s="26" t="str">
        <f aca="false">IF(AND(C53="",D53="",E53="",F53=""),"",IF(OR(C53="",D53="",E53="",F53=""),"Incompleto",IF(COUNTIFS($C$30:$C$65,C53,$E$30:$E$65,E53,$F$30:$F$65,F53)&gt;1,"Plano repetido",IF(AND(OR(H53="Mão",H53="Monopé",H53="Estabilizador"),OR(F53="PP",F53="Close",F53="Detalhe")),"Fechado na mão",IF(COUNTIFS($C$30:$C$65,C53,$I$30:$I$65,"Sim")=0,"Sem plano aberto","OK")))))</f>
        <v/>
      </c>
      <c r="K53" s="27" t="str">
        <f aca="false">IF(J53="","",IF(J53="Incompleto","Preencha momento, câmera, assunto e plano",IF(J53="Plano repetido","Outra câmera tem o mesmo assunto e plano neste momento: mude o plano ou o assunto",IF(J53="Fechado na mão","Este suporte não sustenta plano fechado: abra o plano ou use tripé",IF(J53="Sem plano aberto","Nenhuma câmera em PG ou PC neste momento: abra uma delas","Manter")))))</f>
        <v/>
      </c>
      <c r="L53" s="5"/>
    </row>
    <row r="54" customFormat="false" ht="21.75" hidden="false" customHeight="true" outlineLevel="0" collapsed="false">
      <c r="B54" s="21" t="n">
        <v>25</v>
      </c>
      <c r="C54" s="5"/>
      <c r="D54" s="22"/>
      <c r="E54" s="5"/>
      <c r="F54" s="22"/>
      <c r="G54" s="22"/>
      <c r="H54" s="25" t="str">
        <f aca="false">IF(D54="","",IFERROR(IF(VLOOKUP(D54,$B$10:$F$13,5,FALSE())&amp;""="","Sem suporte",VLOOKUP(D54,$B$10:$F$13,5,FALSE())&amp;""),"Câmera não listada"))</f>
        <v/>
      </c>
      <c r="I54" s="25" t="str">
        <f aca="false">IF(F54="","",IF(OR(F54="PG",F54="PC"),"Sim","Não"))</f>
        <v/>
      </c>
      <c r="J54" s="26" t="str">
        <f aca="false">IF(AND(C54="",D54="",E54="",F54=""),"",IF(OR(C54="",D54="",E54="",F54=""),"Incompleto",IF(COUNTIFS($C$30:$C$65,C54,$E$30:$E$65,E54,$F$30:$F$65,F54)&gt;1,"Plano repetido",IF(AND(OR(H54="Mão",H54="Monopé",H54="Estabilizador"),OR(F54="PP",F54="Close",F54="Detalhe")),"Fechado na mão",IF(COUNTIFS($C$30:$C$65,C54,$I$30:$I$65,"Sim")=0,"Sem plano aberto","OK")))))</f>
        <v/>
      </c>
      <c r="K54" s="27" t="str">
        <f aca="false">IF(J54="","",IF(J54="Incompleto","Preencha momento, câmera, assunto e plano",IF(J54="Plano repetido","Outra câmera tem o mesmo assunto e plano neste momento: mude o plano ou o assunto",IF(J54="Fechado na mão","Este suporte não sustenta plano fechado: abra o plano ou use tripé",IF(J54="Sem plano aberto","Nenhuma câmera em PG ou PC neste momento: abra uma delas","Manter")))))</f>
        <v/>
      </c>
      <c r="L54" s="5"/>
    </row>
    <row r="55" customFormat="false" ht="21.75" hidden="false" customHeight="true" outlineLevel="0" collapsed="false">
      <c r="B55" s="21" t="n">
        <v>26</v>
      </c>
      <c r="C55" s="5"/>
      <c r="D55" s="22"/>
      <c r="E55" s="5"/>
      <c r="F55" s="22"/>
      <c r="G55" s="22"/>
      <c r="H55" s="25" t="str">
        <f aca="false">IF(D55="","",IFERROR(IF(VLOOKUP(D55,$B$10:$F$13,5,FALSE())&amp;""="","Sem suporte",VLOOKUP(D55,$B$10:$F$13,5,FALSE())&amp;""),"Câmera não listada"))</f>
        <v/>
      </c>
      <c r="I55" s="25" t="str">
        <f aca="false">IF(F55="","",IF(OR(F55="PG",F55="PC"),"Sim","Não"))</f>
        <v/>
      </c>
      <c r="J55" s="26" t="str">
        <f aca="false">IF(AND(C55="",D55="",E55="",F55=""),"",IF(OR(C55="",D55="",E55="",F55=""),"Incompleto",IF(COUNTIFS($C$30:$C$65,C55,$E$30:$E$65,E55,$F$30:$F$65,F55)&gt;1,"Plano repetido",IF(AND(OR(H55="Mão",H55="Monopé",H55="Estabilizador"),OR(F55="PP",F55="Close",F55="Detalhe")),"Fechado na mão",IF(COUNTIFS($C$30:$C$65,C55,$I$30:$I$65,"Sim")=0,"Sem plano aberto","OK")))))</f>
        <v/>
      </c>
      <c r="K55" s="27" t="str">
        <f aca="false">IF(J55="","",IF(J55="Incompleto","Preencha momento, câmera, assunto e plano",IF(J55="Plano repetido","Outra câmera tem o mesmo assunto e plano neste momento: mude o plano ou o assunto",IF(J55="Fechado na mão","Este suporte não sustenta plano fechado: abra o plano ou use tripé",IF(J55="Sem plano aberto","Nenhuma câmera em PG ou PC neste momento: abra uma delas","Manter")))))</f>
        <v/>
      </c>
      <c r="L55" s="5"/>
    </row>
    <row r="56" customFormat="false" ht="21.75" hidden="false" customHeight="true" outlineLevel="0" collapsed="false">
      <c r="B56" s="21" t="n">
        <v>27</v>
      </c>
      <c r="C56" s="5"/>
      <c r="D56" s="22"/>
      <c r="E56" s="5"/>
      <c r="F56" s="22"/>
      <c r="G56" s="22"/>
      <c r="H56" s="25" t="str">
        <f aca="false">IF(D56="","",IFERROR(IF(VLOOKUP(D56,$B$10:$F$13,5,FALSE())&amp;""="","Sem suporte",VLOOKUP(D56,$B$10:$F$13,5,FALSE())&amp;""),"Câmera não listada"))</f>
        <v/>
      </c>
      <c r="I56" s="25" t="str">
        <f aca="false">IF(F56="","",IF(OR(F56="PG",F56="PC"),"Sim","Não"))</f>
        <v/>
      </c>
      <c r="J56" s="26" t="str">
        <f aca="false">IF(AND(C56="",D56="",E56="",F56=""),"",IF(OR(C56="",D56="",E56="",F56=""),"Incompleto",IF(COUNTIFS($C$30:$C$65,C56,$E$30:$E$65,E56,$F$30:$F$65,F56)&gt;1,"Plano repetido",IF(AND(OR(H56="Mão",H56="Monopé",H56="Estabilizador"),OR(F56="PP",F56="Close",F56="Detalhe")),"Fechado na mão",IF(COUNTIFS($C$30:$C$65,C56,$I$30:$I$65,"Sim")=0,"Sem plano aberto","OK")))))</f>
        <v/>
      </c>
      <c r="K56" s="27" t="str">
        <f aca="false">IF(J56="","",IF(J56="Incompleto","Preencha momento, câmera, assunto e plano",IF(J56="Plano repetido","Outra câmera tem o mesmo assunto e plano neste momento: mude o plano ou o assunto",IF(J56="Fechado na mão","Este suporte não sustenta plano fechado: abra o plano ou use tripé",IF(J56="Sem plano aberto","Nenhuma câmera em PG ou PC neste momento: abra uma delas","Manter")))))</f>
        <v/>
      </c>
      <c r="L56" s="5"/>
    </row>
    <row r="57" customFormat="false" ht="21.75" hidden="false" customHeight="true" outlineLevel="0" collapsed="false">
      <c r="B57" s="21" t="n">
        <v>28</v>
      </c>
      <c r="C57" s="5"/>
      <c r="D57" s="22"/>
      <c r="E57" s="5"/>
      <c r="F57" s="22"/>
      <c r="G57" s="22"/>
      <c r="H57" s="25" t="str">
        <f aca="false">IF(D57="","",IFERROR(IF(VLOOKUP(D57,$B$10:$F$13,5,FALSE())&amp;""="","Sem suporte",VLOOKUP(D57,$B$10:$F$13,5,FALSE())&amp;""),"Câmera não listada"))</f>
        <v/>
      </c>
      <c r="I57" s="25" t="str">
        <f aca="false">IF(F57="","",IF(OR(F57="PG",F57="PC"),"Sim","Não"))</f>
        <v/>
      </c>
      <c r="J57" s="26" t="str">
        <f aca="false">IF(AND(C57="",D57="",E57="",F57=""),"",IF(OR(C57="",D57="",E57="",F57=""),"Incompleto",IF(COUNTIFS($C$30:$C$65,C57,$E$30:$E$65,E57,$F$30:$F$65,F57)&gt;1,"Plano repetido",IF(AND(OR(H57="Mão",H57="Monopé",H57="Estabilizador"),OR(F57="PP",F57="Close",F57="Detalhe")),"Fechado na mão",IF(COUNTIFS($C$30:$C$65,C57,$I$30:$I$65,"Sim")=0,"Sem plano aberto","OK")))))</f>
        <v/>
      </c>
      <c r="K57" s="27" t="str">
        <f aca="false">IF(J57="","",IF(J57="Incompleto","Preencha momento, câmera, assunto e plano",IF(J57="Plano repetido","Outra câmera tem o mesmo assunto e plano neste momento: mude o plano ou o assunto",IF(J57="Fechado na mão","Este suporte não sustenta plano fechado: abra o plano ou use tripé",IF(J57="Sem plano aberto","Nenhuma câmera em PG ou PC neste momento: abra uma delas","Manter")))))</f>
        <v/>
      </c>
      <c r="L57" s="5"/>
    </row>
    <row r="58" customFormat="false" ht="21.75" hidden="false" customHeight="true" outlineLevel="0" collapsed="false">
      <c r="B58" s="21" t="n">
        <v>29</v>
      </c>
      <c r="C58" s="5"/>
      <c r="D58" s="22"/>
      <c r="E58" s="5"/>
      <c r="F58" s="22"/>
      <c r="G58" s="22"/>
      <c r="H58" s="25" t="str">
        <f aca="false">IF(D58="","",IFERROR(IF(VLOOKUP(D58,$B$10:$F$13,5,FALSE())&amp;""="","Sem suporte",VLOOKUP(D58,$B$10:$F$13,5,FALSE())&amp;""),"Câmera não listada"))</f>
        <v/>
      </c>
      <c r="I58" s="25" t="str">
        <f aca="false">IF(F58="","",IF(OR(F58="PG",F58="PC"),"Sim","Não"))</f>
        <v/>
      </c>
      <c r="J58" s="26" t="str">
        <f aca="false">IF(AND(C58="",D58="",E58="",F58=""),"",IF(OR(C58="",D58="",E58="",F58=""),"Incompleto",IF(COUNTIFS($C$30:$C$65,C58,$E$30:$E$65,E58,$F$30:$F$65,F58)&gt;1,"Plano repetido",IF(AND(OR(H58="Mão",H58="Monopé",H58="Estabilizador"),OR(F58="PP",F58="Close",F58="Detalhe")),"Fechado na mão",IF(COUNTIFS($C$30:$C$65,C58,$I$30:$I$65,"Sim")=0,"Sem plano aberto","OK")))))</f>
        <v/>
      </c>
      <c r="K58" s="27" t="str">
        <f aca="false">IF(J58="","",IF(J58="Incompleto","Preencha momento, câmera, assunto e plano",IF(J58="Plano repetido","Outra câmera tem o mesmo assunto e plano neste momento: mude o plano ou o assunto",IF(J58="Fechado na mão","Este suporte não sustenta plano fechado: abra o plano ou use tripé",IF(J58="Sem plano aberto","Nenhuma câmera em PG ou PC neste momento: abra uma delas","Manter")))))</f>
        <v/>
      </c>
      <c r="L58" s="5"/>
    </row>
    <row r="59" customFormat="false" ht="21.75" hidden="false" customHeight="true" outlineLevel="0" collapsed="false">
      <c r="B59" s="21" t="n">
        <v>30</v>
      </c>
      <c r="C59" s="5"/>
      <c r="D59" s="22"/>
      <c r="E59" s="5"/>
      <c r="F59" s="22"/>
      <c r="G59" s="22"/>
      <c r="H59" s="25" t="str">
        <f aca="false">IF(D59="","",IFERROR(IF(VLOOKUP(D59,$B$10:$F$13,5,FALSE())&amp;""="","Sem suporte",VLOOKUP(D59,$B$10:$F$13,5,FALSE())&amp;""),"Câmera não listada"))</f>
        <v/>
      </c>
      <c r="I59" s="25" t="str">
        <f aca="false">IF(F59="","",IF(OR(F59="PG",F59="PC"),"Sim","Não"))</f>
        <v/>
      </c>
      <c r="J59" s="26" t="str">
        <f aca="false">IF(AND(C59="",D59="",E59="",F59=""),"",IF(OR(C59="",D59="",E59="",F59=""),"Incompleto",IF(COUNTIFS($C$30:$C$65,C59,$E$30:$E$65,E59,$F$30:$F$65,F59)&gt;1,"Plano repetido",IF(AND(OR(H59="Mão",H59="Monopé",H59="Estabilizador"),OR(F59="PP",F59="Close",F59="Detalhe")),"Fechado na mão",IF(COUNTIFS($C$30:$C$65,C59,$I$30:$I$65,"Sim")=0,"Sem plano aberto","OK")))))</f>
        <v/>
      </c>
      <c r="K59" s="27" t="str">
        <f aca="false">IF(J59="","",IF(J59="Incompleto","Preencha momento, câmera, assunto e plano",IF(J59="Plano repetido","Outra câmera tem o mesmo assunto e plano neste momento: mude o plano ou o assunto",IF(J59="Fechado na mão","Este suporte não sustenta plano fechado: abra o plano ou use tripé",IF(J59="Sem plano aberto","Nenhuma câmera em PG ou PC neste momento: abra uma delas","Manter")))))</f>
        <v/>
      </c>
      <c r="L59" s="5"/>
    </row>
    <row r="60" customFormat="false" ht="21.75" hidden="false" customHeight="true" outlineLevel="0" collapsed="false">
      <c r="B60" s="21" t="n">
        <v>31</v>
      </c>
      <c r="C60" s="5"/>
      <c r="D60" s="22"/>
      <c r="E60" s="5"/>
      <c r="F60" s="22"/>
      <c r="G60" s="22"/>
      <c r="H60" s="25" t="str">
        <f aca="false">IF(D60="","",IFERROR(IF(VLOOKUP(D60,$B$10:$F$13,5,FALSE())&amp;""="","Sem suporte",VLOOKUP(D60,$B$10:$F$13,5,FALSE())&amp;""),"Câmera não listada"))</f>
        <v/>
      </c>
      <c r="I60" s="25" t="str">
        <f aca="false">IF(F60="","",IF(OR(F60="PG",F60="PC"),"Sim","Não"))</f>
        <v/>
      </c>
      <c r="J60" s="26" t="str">
        <f aca="false">IF(AND(C60="",D60="",E60="",F60=""),"",IF(OR(C60="",D60="",E60="",F60=""),"Incompleto",IF(COUNTIFS($C$30:$C$65,C60,$E$30:$E$65,E60,$F$30:$F$65,F60)&gt;1,"Plano repetido",IF(AND(OR(H60="Mão",H60="Monopé",H60="Estabilizador"),OR(F60="PP",F60="Close",F60="Detalhe")),"Fechado na mão",IF(COUNTIFS($C$30:$C$65,C60,$I$30:$I$65,"Sim")=0,"Sem plano aberto","OK")))))</f>
        <v/>
      </c>
      <c r="K60" s="27" t="str">
        <f aca="false">IF(J60="","",IF(J60="Incompleto","Preencha momento, câmera, assunto e plano",IF(J60="Plano repetido","Outra câmera tem o mesmo assunto e plano neste momento: mude o plano ou o assunto",IF(J60="Fechado na mão","Este suporte não sustenta plano fechado: abra o plano ou use tripé",IF(J60="Sem plano aberto","Nenhuma câmera em PG ou PC neste momento: abra uma delas","Manter")))))</f>
        <v/>
      </c>
      <c r="L60" s="5"/>
    </row>
    <row r="61" customFormat="false" ht="21.75" hidden="false" customHeight="true" outlineLevel="0" collapsed="false">
      <c r="B61" s="21" t="n">
        <v>32</v>
      </c>
      <c r="C61" s="5"/>
      <c r="D61" s="22"/>
      <c r="E61" s="5"/>
      <c r="F61" s="22"/>
      <c r="G61" s="22"/>
      <c r="H61" s="25" t="str">
        <f aca="false">IF(D61="","",IFERROR(IF(VLOOKUP(D61,$B$10:$F$13,5,FALSE())&amp;""="","Sem suporte",VLOOKUP(D61,$B$10:$F$13,5,FALSE())&amp;""),"Câmera não listada"))</f>
        <v/>
      </c>
      <c r="I61" s="25" t="str">
        <f aca="false">IF(F61="","",IF(OR(F61="PG",F61="PC"),"Sim","Não"))</f>
        <v/>
      </c>
      <c r="J61" s="26" t="str">
        <f aca="false">IF(AND(C61="",D61="",E61="",F61=""),"",IF(OR(C61="",D61="",E61="",F61=""),"Incompleto",IF(COUNTIFS($C$30:$C$65,C61,$E$30:$E$65,E61,$F$30:$F$65,F61)&gt;1,"Plano repetido",IF(AND(OR(H61="Mão",H61="Monopé",H61="Estabilizador"),OR(F61="PP",F61="Close",F61="Detalhe")),"Fechado na mão",IF(COUNTIFS($C$30:$C$65,C61,$I$30:$I$65,"Sim")=0,"Sem plano aberto","OK")))))</f>
        <v/>
      </c>
      <c r="K61" s="27" t="str">
        <f aca="false">IF(J61="","",IF(J61="Incompleto","Preencha momento, câmera, assunto e plano",IF(J61="Plano repetido","Outra câmera tem o mesmo assunto e plano neste momento: mude o plano ou o assunto",IF(J61="Fechado na mão","Este suporte não sustenta plano fechado: abra o plano ou use tripé",IF(J61="Sem plano aberto","Nenhuma câmera em PG ou PC neste momento: abra uma delas","Manter")))))</f>
        <v/>
      </c>
      <c r="L61" s="5"/>
    </row>
    <row r="62" customFormat="false" ht="21.75" hidden="false" customHeight="true" outlineLevel="0" collapsed="false">
      <c r="B62" s="21" t="n">
        <v>33</v>
      </c>
      <c r="C62" s="5"/>
      <c r="D62" s="22"/>
      <c r="E62" s="5"/>
      <c r="F62" s="22"/>
      <c r="G62" s="22"/>
      <c r="H62" s="25" t="str">
        <f aca="false">IF(D62="","",IFERROR(IF(VLOOKUP(D62,$B$10:$F$13,5,FALSE())&amp;""="","Sem suporte",VLOOKUP(D62,$B$10:$F$13,5,FALSE())&amp;""),"Câmera não listada"))</f>
        <v/>
      </c>
      <c r="I62" s="25" t="str">
        <f aca="false">IF(F62="","",IF(OR(F62="PG",F62="PC"),"Sim","Não"))</f>
        <v/>
      </c>
      <c r="J62" s="26" t="str">
        <f aca="false">IF(AND(C62="",D62="",E62="",F62=""),"",IF(OR(C62="",D62="",E62="",F62=""),"Incompleto",IF(COUNTIFS($C$30:$C$65,C62,$E$30:$E$65,E62,$F$30:$F$65,F62)&gt;1,"Plano repetido",IF(AND(OR(H62="Mão",H62="Monopé",H62="Estabilizador"),OR(F62="PP",F62="Close",F62="Detalhe")),"Fechado na mão",IF(COUNTIFS($C$30:$C$65,C62,$I$30:$I$65,"Sim")=0,"Sem plano aberto","OK")))))</f>
        <v/>
      </c>
      <c r="K62" s="27" t="str">
        <f aca="false">IF(J62="","",IF(J62="Incompleto","Preencha momento, câmera, assunto e plano",IF(J62="Plano repetido","Outra câmera tem o mesmo assunto e plano neste momento: mude o plano ou o assunto",IF(J62="Fechado na mão","Este suporte não sustenta plano fechado: abra o plano ou use tripé",IF(J62="Sem plano aberto","Nenhuma câmera em PG ou PC neste momento: abra uma delas","Manter")))))</f>
        <v/>
      </c>
      <c r="L62" s="5"/>
    </row>
    <row r="63" customFormat="false" ht="21.75" hidden="false" customHeight="true" outlineLevel="0" collapsed="false">
      <c r="B63" s="21" t="n">
        <v>34</v>
      </c>
      <c r="C63" s="5"/>
      <c r="D63" s="22"/>
      <c r="E63" s="5"/>
      <c r="F63" s="22"/>
      <c r="G63" s="22"/>
      <c r="H63" s="25" t="str">
        <f aca="false">IF(D63="","",IFERROR(IF(VLOOKUP(D63,$B$10:$F$13,5,FALSE())&amp;""="","Sem suporte",VLOOKUP(D63,$B$10:$F$13,5,FALSE())&amp;""),"Câmera não listada"))</f>
        <v/>
      </c>
      <c r="I63" s="25" t="str">
        <f aca="false">IF(F63="","",IF(OR(F63="PG",F63="PC"),"Sim","Não"))</f>
        <v/>
      </c>
      <c r="J63" s="26" t="str">
        <f aca="false">IF(AND(C63="",D63="",E63="",F63=""),"",IF(OR(C63="",D63="",E63="",F63=""),"Incompleto",IF(COUNTIFS($C$30:$C$65,C63,$E$30:$E$65,E63,$F$30:$F$65,F63)&gt;1,"Plano repetido",IF(AND(OR(H63="Mão",H63="Monopé",H63="Estabilizador"),OR(F63="PP",F63="Close",F63="Detalhe")),"Fechado na mão",IF(COUNTIFS($C$30:$C$65,C63,$I$30:$I$65,"Sim")=0,"Sem plano aberto","OK")))))</f>
        <v/>
      </c>
      <c r="K63" s="27" t="str">
        <f aca="false">IF(J63="","",IF(J63="Incompleto","Preencha momento, câmera, assunto e plano",IF(J63="Plano repetido","Outra câmera tem o mesmo assunto e plano neste momento: mude o plano ou o assunto",IF(J63="Fechado na mão","Este suporte não sustenta plano fechado: abra o plano ou use tripé",IF(J63="Sem plano aberto","Nenhuma câmera em PG ou PC neste momento: abra uma delas","Manter")))))</f>
        <v/>
      </c>
      <c r="L63" s="5"/>
    </row>
    <row r="64" customFormat="false" ht="21.75" hidden="false" customHeight="true" outlineLevel="0" collapsed="false">
      <c r="B64" s="21" t="n">
        <v>35</v>
      </c>
      <c r="C64" s="5"/>
      <c r="D64" s="22"/>
      <c r="E64" s="5"/>
      <c r="F64" s="22"/>
      <c r="G64" s="22"/>
      <c r="H64" s="25" t="str">
        <f aca="false">IF(D64="","",IFERROR(IF(VLOOKUP(D64,$B$10:$F$13,5,FALSE())&amp;""="","Sem suporte",VLOOKUP(D64,$B$10:$F$13,5,FALSE())&amp;""),"Câmera não listada"))</f>
        <v/>
      </c>
      <c r="I64" s="25" t="str">
        <f aca="false">IF(F64="","",IF(OR(F64="PG",F64="PC"),"Sim","Não"))</f>
        <v/>
      </c>
      <c r="J64" s="26" t="str">
        <f aca="false">IF(AND(C64="",D64="",E64="",F64=""),"",IF(OR(C64="",D64="",E64="",F64=""),"Incompleto",IF(COUNTIFS($C$30:$C$65,C64,$E$30:$E$65,E64,$F$30:$F$65,F64)&gt;1,"Plano repetido",IF(AND(OR(H64="Mão",H64="Monopé",H64="Estabilizador"),OR(F64="PP",F64="Close",F64="Detalhe")),"Fechado na mão",IF(COUNTIFS($C$30:$C$65,C64,$I$30:$I$65,"Sim")=0,"Sem plano aberto","OK")))))</f>
        <v/>
      </c>
      <c r="K64" s="27" t="str">
        <f aca="false">IF(J64="","",IF(J64="Incompleto","Preencha momento, câmera, assunto e plano",IF(J64="Plano repetido","Outra câmera tem o mesmo assunto e plano neste momento: mude o plano ou o assunto",IF(J64="Fechado na mão","Este suporte não sustenta plano fechado: abra o plano ou use tripé",IF(J64="Sem plano aberto","Nenhuma câmera em PG ou PC neste momento: abra uma delas","Manter")))))</f>
        <v/>
      </c>
      <c r="L64" s="5"/>
    </row>
    <row r="65" customFormat="false" ht="21.75" hidden="false" customHeight="true" outlineLevel="0" collapsed="false">
      <c r="B65" s="21" t="n">
        <v>36</v>
      </c>
      <c r="C65" s="5"/>
      <c r="D65" s="22"/>
      <c r="E65" s="5"/>
      <c r="F65" s="22"/>
      <c r="G65" s="22"/>
      <c r="H65" s="25" t="str">
        <f aca="false">IF(D65="","",IFERROR(IF(VLOOKUP(D65,$B$10:$F$13,5,FALSE())&amp;""="","Sem suporte",VLOOKUP(D65,$B$10:$F$13,5,FALSE())&amp;""),"Câmera não listada"))</f>
        <v/>
      </c>
      <c r="I65" s="25" t="str">
        <f aca="false">IF(F65="","",IF(OR(F65="PG",F65="PC"),"Sim","Não"))</f>
        <v/>
      </c>
      <c r="J65" s="26" t="str">
        <f aca="false">IF(AND(C65="",D65="",E65="",F65=""),"",IF(OR(C65="",D65="",E65="",F65=""),"Incompleto",IF(COUNTIFS($C$30:$C$65,C65,$E$30:$E$65,E65,$F$30:$F$65,F65)&gt;1,"Plano repetido",IF(AND(OR(H65="Mão",H65="Monopé",H65="Estabilizador"),OR(F65="PP",F65="Close",F65="Detalhe")),"Fechado na mão",IF(COUNTIFS($C$30:$C$65,C65,$I$30:$I$65,"Sim")=0,"Sem plano aberto","OK")))))</f>
        <v/>
      </c>
      <c r="K65" s="27" t="str">
        <f aca="false">IF(J65="","",IF(J65="Incompleto","Preencha momento, câmera, assunto e plano",IF(J65="Plano repetido","Outra câmera tem o mesmo assunto e plano neste momento: mude o plano ou o assunto",IF(J65="Fechado na mão","Este suporte não sustenta plano fechado: abra o plano ou use tripé",IF(J65="Sem plano aberto","Nenhuma câmera em PG ou PC neste momento: abra uma delas","Manter")))))</f>
        <v/>
      </c>
      <c r="L65" s="5"/>
    </row>
    <row r="67" customFormat="false" ht="21.75" hidden="false" customHeight="true" outlineLevel="0" collapsed="false">
      <c r="B67" s="14" t="s">
        <v>104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customFormat="false" ht="19.5" hidden="false" customHeight="true" outlineLevel="0" collapsed="false">
      <c r="B68" s="28" t="s">
        <v>116</v>
      </c>
      <c r="C68" s="28"/>
      <c r="D68" s="28"/>
      <c r="E68" s="28"/>
      <c r="F68" s="8" t="n">
        <f aca="false">COUNTA(F30:F65)</f>
        <v>0</v>
      </c>
    </row>
    <row r="69" customFormat="false" ht="19.5" hidden="false" customHeight="true" outlineLevel="0" collapsed="false">
      <c r="B69" s="28" t="s">
        <v>140</v>
      </c>
      <c r="C69" s="28"/>
      <c r="D69" s="28"/>
      <c r="E69" s="28"/>
      <c r="F69" s="8" t="n">
        <f aca="false">COUNTIF($J$30:$J$65,"OK")</f>
        <v>0</v>
      </c>
    </row>
    <row r="70" customFormat="false" ht="19.5" hidden="false" customHeight="true" outlineLevel="0" collapsed="false">
      <c r="B70" s="28" t="s">
        <v>141</v>
      </c>
      <c r="C70" s="28"/>
      <c r="D70" s="28"/>
      <c r="E70" s="28"/>
      <c r="F70" s="8" t="n">
        <f aca="false">COUNTIF($J$30:$J$65,"Plano repetido")</f>
        <v>0</v>
      </c>
    </row>
    <row r="71" customFormat="false" ht="19.5" hidden="false" customHeight="true" outlineLevel="0" collapsed="false">
      <c r="B71" s="28" t="s">
        <v>142</v>
      </c>
      <c r="C71" s="28"/>
      <c r="D71" s="28"/>
      <c r="E71" s="28"/>
      <c r="F71" s="8" t="n">
        <f aca="false">COUNTIF($J$30:$J$65,"Fechado na mão")</f>
        <v>0</v>
      </c>
    </row>
    <row r="72" customFormat="false" ht="19.5" hidden="false" customHeight="true" outlineLevel="0" collapsed="false">
      <c r="B72" s="28" t="s">
        <v>143</v>
      </c>
      <c r="C72" s="28"/>
      <c r="D72" s="28"/>
      <c r="E72" s="28"/>
      <c r="F72" s="8" t="n">
        <f aca="false">COUNTA(F30:F65)-COUNTIF($J$30:$J$65,"OK")</f>
        <v>0</v>
      </c>
    </row>
    <row r="73" customFormat="false" ht="19.5" hidden="false" customHeight="true" outlineLevel="0" collapsed="false">
      <c r="B73" s="28" t="s">
        <v>144</v>
      </c>
      <c r="C73" s="28"/>
      <c r="D73" s="28"/>
      <c r="E73" s="28"/>
      <c r="F73" s="8" t="n">
        <f aca="false">COUNTIF(I17:I24,"Sem plano aberto")</f>
        <v>0</v>
      </c>
    </row>
    <row r="74" customFormat="false" ht="21.75" hidden="false" customHeight="true" outlineLevel="0" collapsed="false">
      <c r="B74" s="28" t="s">
        <v>110</v>
      </c>
      <c r="C74" s="28"/>
      <c r="D74" s="28"/>
      <c r="E74" s="28"/>
      <c r="F74" s="29" t="str">
        <f aca="false">IF(F68=0,"Preencha a lista de planos",IF(COUNTIF($J$30:$J$65,"Incompleto")&gt;0,"Há linha incompleta",IF(F73&gt;0,"Há momento sem plano aberto: o diretor fica sem plano de segurança",IF(F70&gt;0,"Há planos repetidos: não dão corte",IF(F71&gt;0,"Há plano fechado em suporte de mão","OK")))))</f>
        <v>Preencha a lista de planos</v>
      </c>
      <c r="G74" s="29"/>
      <c r="H74" s="29"/>
      <c r="I74" s="29"/>
      <c r="J74" s="29"/>
      <c r="K74" s="29"/>
      <c r="L74" s="29"/>
    </row>
  </sheetData>
  <mergeCells count="68">
    <mergeCell ref="B1:L1"/>
    <mergeCell ref="B2:L2"/>
    <mergeCell ref="B4:C4"/>
    <mergeCell ref="D4:G4"/>
    <mergeCell ref="H4:L6"/>
    <mergeCell ref="B5:C5"/>
    <mergeCell ref="D5:G5"/>
    <mergeCell ref="B6:C6"/>
    <mergeCell ref="D6:G6"/>
    <mergeCell ref="B8:L8"/>
    <mergeCell ref="C9:E9"/>
    <mergeCell ref="F9:G9"/>
    <mergeCell ref="H9:I9"/>
    <mergeCell ref="K9:L9"/>
    <mergeCell ref="C10:E10"/>
    <mergeCell ref="F10:G10"/>
    <mergeCell ref="H10:I10"/>
    <mergeCell ref="K10:L10"/>
    <mergeCell ref="C11:E11"/>
    <mergeCell ref="F11:G11"/>
    <mergeCell ref="H11:I11"/>
    <mergeCell ref="K11:L11"/>
    <mergeCell ref="C12:E12"/>
    <mergeCell ref="F12:G12"/>
    <mergeCell ref="H12:I12"/>
    <mergeCell ref="K12:L12"/>
    <mergeCell ref="C13:E13"/>
    <mergeCell ref="F13:G13"/>
    <mergeCell ref="H13:I13"/>
    <mergeCell ref="K13:L13"/>
    <mergeCell ref="B15:L15"/>
    <mergeCell ref="C16:E16"/>
    <mergeCell ref="I16:J16"/>
    <mergeCell ref="K16:L16"/>
    <mergeCell ref="C17:E17"/>
    <mergeCell ref="I17:J17"/>
    <mergeCell ref="K17:L17"/>
    <mergeCell ref="C18:E18"/>
    <mergeCell ref="I18:J18"/>
    <mergeCell ref="K18:L18"/>
    <mergeCell ref="C19:E19"/>
    <mergeCell ref="I19:J19"/>
    <mergeCell ref="K19:L19"/>
    <mergeCell ref="C20:E20"/>
    <mergeCell ref="I20:J20"/>
    <mergeCell ref="K20:L20"/>
    <mergeCell ref="C21:E21"/>
    <mergeCell ref="I21:J21"/>
    <mergeCell ref="K21:L21"/>
    <mergeCell ref="C22:E22"/>
    <mergeCell ref="I22:J22"/>
    <mergeCell ref="K22:L22"/>
    <mergeCell ref="C23:E23"/>
    <mergeCell ref="I23:J23"/>
    <mergeCell ref="K23:L23"/>
    <mergeCell ref="C24:E24"/>
    <mergeCell ref="I24:J24"/>
    <mergeCell ref="K24:L24"/>
    <mergeCell ref="B26:L26"/>
    <mergeCell ref="B67:L67"/>
    <mergeCell ref="B68:E68"/>
    <mergeCell ref="B69:E69"/>
    <mergeCell ref="B70:E70"/>
    <mergeCell ref="B71:E71"/>
    <mergeCell ref="B72:E72"/>
    <mergeCell ref="B73:E73"/>
    <mergeCell ref="B74:E74"/>
    <mergeCell ref="F74:L74"/>
  </mergeCells>
  <conditionalFormatting sqref="I17:I2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"Sem planos"</formula>
    </cfRule>
    <cfRule type="cellIs" priority="4" operator="equal" aboveAverage="0" equalAverage="0" bottom="0" percent="0" rank="0" text="" dxfId="2">
      <formula>"Plano repetido"</formula>
    </cfRule>
    <cfRule type="cellIs" priority="5" operator="equal" aboveAverage="0" equalAverage="0" bottom="0" percent="0" rank="0" text="" dxfId="2">
      <formula>"Sem plano aberto"</formula>
    </cfRule>
  </conditionalFormatting>
  <conditionalFormatting sqref="J30:J65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"Incompleto"</formula>
    </cfRule>
    <cfRule type="cellIs" priority="8" operator="equal" aboveAverage="0" equalAverage="0" bottom="0" percent="0" rank="0" text="" dxfId="1">
      <formula>"Sem plano aberto"</formula>
    </cfRule>
    <cfRule type="cellIs" priority="9" operator="equal" aboveAverage="0" equalAverage="0" bottom="0" percent="0" rank="0" text="" dxfId="1">
      <formula>"Fechado na mão"</formula>
    </cfRule>
    <cfRule type="cellIs" priority="10" operator="equal" aboveAverage="0" equalAverage="0" bottom="0" percent="0" rank="0" text="" dxfId="2">
      <formula>"Plano repetido"</formula>
    </cfRule>
  </conditionalFormatting>
  <conditionalFormatting sqref="F74:L74">
    <cfRule type="cellIs" priority="11" operator="equal" aboveAverage="0" equalAverage="0" bottom="0" percent="0" rank="0" text="" dxfId="0">
      <formula>"OK"</formula>
    </cfRule>
    <cfRule type="cellIs" priority="12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Escolha uma das opções da lista." errorStyle="stop" errorTitle="Valor inválido" operator="between" prompt="Tipo de suporte da câmera." promptTitle="Opções" showDropDown="false" showErrorMessage="true" showInputMessage="true" sqref="F10:F13" type="list">
      <formula1>"Tripé fluido,Tripé foto,Monopé,Mão,Estabilizador,PTZ"</formula1>
      <formula2>0</formula2>
    </dataValidation>
    <dataValidation allowBlank="true" error="Escolha um dos momentos listados no alto da aba." errorStyle="stop" errorTitle="Valor inválido" operator="between" prompt="Um dos momentos listados no alto da aba." promptTitle="Opções" showDropDown="false" showErrorMessage="true" showInputMessage="true" sqref="C30:C65" type="list">
      <formula1>$C$17:$C$24</formula1>
      <formula2>0</formula2>
    </dataValidation>
    <dataValidation allowBlank="true" error="Escolha uma das opções da lista." errorStyle="stop" errorTitle="Valor inválido" operator="between" prompt="Número da câmera, de 1 a 4." promptTitle="Opções" showDropDown="false" showErrorMessage="true" showInputMessage="true" sqref="D30:D65" type="list">
      <formula1>"1,2,3,4"</formula1>
      <formula2>0</formula2>
    </dataValidation>
    <dataValidation allowBlank="true" error="Escolha uma das opções da lista." errorStyle="stop" errorTitle="Valor inválido" operator="between" prompt="PG, PC, PA, PM, PP, Close ou Detalhe." promptTitle="Opções" showDropDown="false" showErrorMessage="true" showInputMessage="true" sqref="F30:F65" type="list">
      <formula1>"PG,PC,PA,PM,PP,Close,Detalhe"</formula1>
      <formula2>0</formula2>
    </dataValidation>
    <dataValidation allowBlank="true" error="Escolha uma das opções da lista." errorStyle="stop" errorTitle="Valor inválido" operator="between" prompt="Fixo, Pan, Tilt, Zoom, Travelling ou Acompanha." promptTitle="Opções" showDropDown="false" showErrorMessage="true" showInputMessage="true" sqref="G30:G65" type="list">
      <formula1>"Fixo,Pan,Tilt,Zoom,Travelling,Acompanha"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1" topLeftCell="E12" activePane="bottomRight" state="frozen"/>
      <selection pane="topLeft" activeCell="A1" activeCellId="0" sqref="A1"/>
      <selection pane="topRight" activeCell="E1" activeCellId="0" sqref="E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4" min="3" style="0" width="10"/>
    <col collapsed="false" customWidth="true" hidden="false" outlineLevel="0" max="11" min="5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4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145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1.75" hidden="false" customHeight="true" outlineLevel="0" collapsed="false">
      <c r="B4" s="4" t="s">
        <v>147</v>
      </c>
      <c r="C4" s="4"/>
      <c r="D4" s="5"/>
      <c r="E4" s="5"/>
      <c r="F4" s="5"/>
      <c r="G4" s="5"/>
      <c r="H4" s="5"/>
      <c r="J4" s="4" t="s">
        <v>148</v>
      </c>
      <c r="K4" s="4"/>
      <c r="L4" s="30" t="n">
        <v>0.85</v>
      </c>
      <c r="M4" s="10" t="s">
        <v>149</v>
      </c>
      <c r="N4" s="10"/>
    </row>
    <row r="5" customFormat="false" ht="21.75" hidden="false" customHeight="true" outlineLevel="0" collapsed="false">
      <c r="B5" s="4" t="s">
        <v>65</v>
      </c>
      <c r="C5" s="4"/>
      <c r="D5" s="11"/>
      <c r="E5" s="11"/>
      <c r="F5" s="11"/>
      <c r="G5" s="11"/>
      <c r="H5" s="11"/>
      <c r="J5" s="4" t="s">
        <v>150</v>
      </c>
      <c r="K5" s="4"/>
      <c r="L5" s="30" t="n">
        <v>0.6</v>
      </c>
      <c r="M5" s="10" t="s">
        <v>151</v>
      </c>
      <c r="N5" s="10"/>
    </row>
    <row r="6" customFormat="false" ht="21.75" hidden="false" customHeight="true" outlineLevel="0" collapsed="false">
      <c r="B6" s="4" t="s">
        <v>77</v>
      </c>
      <c r="C6" s="4"/>
      <c r="D6" s="5"/>
      <c r="E6" s="5"/>
      <c r="F6" s="5"/>
      <c r="G6" s="5"/>
      <c r="H6" s="5"/>
      <c r="J6" s="10" t="s">
        <v>152</v>
      </c>
      <c r="K6" s="10"/>
      <c r="L6" s="10"/>
      <c r="M6" s="10"/>
      <c r="N6" s="10"/>
    </row>
    <row r="7" customFormat="false" ht="21.75" hidden="false" customHeight="true" outlineLevel="0" collapsed="false">
      <c r="B7" s="4" t="s">
        <v>153</v>
      </c>
      <c r="C7" s="4"/>
      <c r="D7" s="5"/>
      <c r="E7" s="5"/>
      <c r="F7" s="5"/>
      <c r="G7" s="5"/>
      <c r="H7" s="5"/>
      <c r="J7" s="10"/>
      <c r="K7" s="10"/>
      <c r="L7" s="10"/>
      <c r="M7" s="10"/>
      <c r="N7" s="10"/>
    </row>
    <row r="9" customFormat="false" ht="21.75" hidden="false" customHeight="true" outlineLevel="0" collapsed="false">
      <c r="B9" s="14" t="s">
        <v>154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customFormat="false" ht="45" hidden="false" customHeight="true" outlineLevel="0" collapsed="false">
      <c r="B10" s="15" t="s">
        <v>124</v>
      </c>
      <c r="C10" s="15" t="s">
        <v>155</v>
      </c>
      <c r="D10" s="15" t="s">
        <v>127</v>
      </c>
      <c r="E10" s="16" t="s">
        <v>156</v>
      </c>
      <c r="F10" s="16" t="s">
        <v>157</v>
      </c>
      <c r="G10" s="16" t="s">
        <v>158</v>
      </c>
      <c r="H10" s="16" t="s">
        <v>159</v>
      </c>
      <c r="I10" s="16" t="s">
        <v>160</v>
      </c>
      <c r="J10" s="16" t="s">
        <v>161</v>
      </c>
      <c r="K10" s="16" t="s">
        <v>162</v>
      </c>
      <c r="L10" s="17" t="s">
        <v>163</v>
      </c>
      <c r="M10" s="17" t="s">
        <v>84</v>
      </c>
      <c r="N10" s="15" t="s">
        <v>130</v>
      </c>
    </row>
    <row r="11" customFormat="false" ht="21.75" hidden="false" customHeight="true" outlineLevel="0" collapsed="false">
      <c r="B11" s="18"/>
      <c r="C11" s="18" t="s">
        <v>164</v>
      </c>
      <c r="D11" s="18" t="s">
        <v>88</v>
      </c>
      <c r="E11" s="18" t="s">
        <v>165</v>
      </c>
      <c r="F11" s="18" t="s">
        <v>165</v>
      </c>
      <c r="G11" s="18" t="s">
        <v>165</v>
      </c>
      <c r="H11" s="18" t="s">
        <v>165</v>
      </c>
      <c r="I11" s="18" t="s">
        <v>165</v>
      </c>
      <c r="J11" s="18" t="s">
        <v>165</v>
      </c>
      <c r="K11" s="18" t="s">
        <v>165</v>
      </c>
      <c r="L11" s="18" t="s">
        <v>166</v>
      </c>
      <c r="M11" s="18"/>
      <c r="N11" s="18"/>
    </row>
    <row r="12" customFormat="false" ht="19.5" hidden="false" customHeight="true" outlineLevel="0" collapsed="false">
      <c r="B12" s="21" t="n">
        <v>1</v>
      </c>
      <c r="C12" s="22"/>
      <c r="D12" s="22"/>
      <c r="E12" s="22"/>
      <c r="F12" s="22"/>
      <c r="G12" s="22"/>
      <c r="H12" s="22"/>
      <c r="I12" s="22"/>
      <c r="J12" s="22"/>
      <c r="K12" s="22"/>
      <c r="L12" s="31" t="str">
        <f aca="false">IF(COUNTIF(E12:K12,"Sim")+COUNTIF(E12:K12,"Não")=0,"",COUNTIF(E12:K12,"Sim")/(COUNTIF(E12:K12,"Sim")+COUNTIF(E12:K12,"Não")))</f>
        <v/>
      </c>
      <c r="M12" s="26" t="str">
        <f aca="false">IF(L12="","",IF(L12&gt;=$L$4,"OK",IF(L12&gt;=$L$5,"Treinar","Refazer")))</f>
        <v/>
      </c>
      <c r="N12" s="5"/>
    </row>
    <row r="13" customFormat="false" ht="19.5" hidden="false" customHeight="true" outlineLevel="0" collapsed="false">
      <c r="B13" s="21" t="n">
        <v>2</v>
      </c>
      <c r="C13" s="22"/>
      <c r="D13" s="22"/>
      <c r="E13" s="22"/>
      <c r="F13" s="22"/>
      <c r="G13" s="22"/>
      <c r="H13" s="22"/>
      <c r="I13" s="22"/>
      <c r="J13" s="22"/>
      <c r="K13" s="22"/>
      <c r="L13" s="31" t="str">
        <f aca="false">IF(COUNTIF(E13:K13,"Sim")+COUNTIF(E13:K13,"Não")=0,"",COUNTIF(E13:K13,"Sim")/(COUNTIF(E13:K13,"Sim")+COUNTIF(E13:K13,"Não")))</f>
        <v/>
      </c>
      <c r="M13" s="26" t="str">
        <f aca="false">IF(L13="","",IF(L13&gt;=$L$4,"OK",IF(L13&gt;=$L$5,"Treinar","Refazer")))</f>
        <v/>
      </c>
      <c r="N13" s="5"/>
    </row>
    <row r="14" customFormat="false" ht="19.5" hidden="false" customHeight="true" outlineLevel="0" collapsed="false">
      <c r="B14" s="21" t="n">
        <v>3</v>
      </c>
      <c r="C14" s="22"/>
      <c r="D14" s="22"/>
      <c r="E14" s="22"/>
      <c r="F14" s="22"/>
      <c r="G14" s="22"/>
      <c r="H14" s="22"/>
      <c r="I14" s="22"/>
      <c r="J14" s="22"/>
      <c r="K14" s="22"/>
      <c r="L14" s="31" t="str">
        <f aca="false">IF(COUNTIF(E14:K14,"Sim")+COUNTIF(E14:K14,"Não")=0,"",COUNTIF(E14:K14,"Sim")/(COUNTIF(E14:K14,"Sim")+COUNTIF(E14:K14,"Não")))</f>
        <v/>
      </c>
      <c r="M14" s="26" t="str">
        <f aca="false">IF(L14="","",IF(L14&gt;=$L$4,"OK",IF(L14&gt;=$L$5,"Treinar","Refazer")))</f>
        <v/>
      </c>
      <c r="N14" s="5"/>
    </row>
    <row r="15" customFormat="false" ht="19.5" hidden="false" customHeight="true" outlineLevel="0" collapsed="false">
      <c r="B15" s="21" t="n">
        <v>4</v>
      </c>
      <c r="C15" s="22"/>
      <c r="D15" s="22"/>
      <c r="E15" s="22"/>
      <c r="F15" s="22"/>
      <c r="G15" s="22"/>
      <c r="H15" s="22"/>
      <c r="I15" s="22"/>
      <c r="J15" s="22"/>
      <c r="K15" s="22"/>
      <c r="L15" s="31" t="str">
        <f aca="false">IF(COUNTIF(E15:K15,"Sim")+COUNTIF(E15:K15,"Não")=0,"",COUNTIF(E15:K15,"Sim")/(COUNTIF(E15:K15,"Sim")+COUNTIF(E15:K15,"Não")))</f>
        <v/>
      </c>
      <c r="M15" s="26" t="str">
        <f aca="false">IF(L15="","",IF(L15&gt;=$L$4,"OK",IF(L15&gt;=$L$5,"Treinar","Refazer")))</f>
        <v/>
      </c>
      <c r="N15" s="5"/>
    </row>
    <row r="16" customFormat="false" ht="19.5" hidden="false" customHeight="true" outlineLevel="0" collapsed="false">
      <c r="B16" s="21" t="n">
        <v>5</v>
      </c>
      <c r="C16" s="22"/>
      <c r="D16" s="22"/>
      <c r="E16" s="22"/>
      <c r="F16" s="22"/>
      <c r="G16" s="22"/>
      <c r="H16" s="22"/>
      <c r="I16" s="22"/>
      <c r="J16" s="22"/>
      <c r="K16" s="22"/>
      <c r="L16" s="31" t="str">
        <f aca="false">IF(COUNTIF(E16:K16,"Sim")+COUNTIF(E16:K16,"Não")=0,"",COUNTIF(E16:K16,"Sim")/(COUNTIF(E16:K16,"Sim")+COUNTIF(E16:K16,"Não")))</f>
        <v/>
      </c>
      <c r="M16" s="26" t="str">
        <f aca="false">IF(L16="","",IF(L16&gt;=$L$4,"OK",IF(L16&gt;=$L$5,"Treinar","Refazer")))</f>
        <v/>
      </c>
      <c r="N16" s="5"/>
    </row>
    <row r="17" customFormat="false" ht="19.5" hidden="false" customHeight="true" outlineLevel="0" collapsed="false">
      <c r="B17" s="21" t="n">
        <v>6</v>
      </c>
      <c r="C17" s="22"/>
      <c r="D17" s="22"/>
      <c r="E17" s="22"/>
      <c r="F17" s="22"/>
      <c r="G17" s="22"/>
      <c r="H17" s="22"/>
      <c r="I17" s="22"/>
      <c r="J17" s="22"/>
      <c r="K17" s="22"/>
      <c r="L17" s="31" t="str">
        <f aca="false">IF(COUNTIF(E17:K17,"Sim")+COUNTIF(E17:K17,"Não")=0,"",COUNTIF(E17:K17,"Sim")/(COUNTIF(E17:K17,"Sim")+COUNTIF(E17:K17,"Não")))</f>
        <v/>
      </c>
      <c r="M17" s="26" t="str">
        <f aca="false">IF(L17="","",IF(L17&gt;=$L$4,"OK",IF(L17&gt;=$L$5,"Treinar","Refazer")))</f>
        <v/>
      </c>
      <c r="N17" s="5"/>
    </row>
    <row r="18" customFormat="false" ht="19.5" hidden="false" customHeight="true" outlineLevel="0" collapsed="false">
      <c r="B18" s="21" t="n">
        <v>7</v>
      </c>
      <c r="C18" s="22"/>
      <c r="D18" s="22"/>
      <c r="E18" s="22"/>
      <c r="F18" s="22"/>
      <c r="G18" s="22"/>
      <c r="H18" s="22"/>
      <c r="I18" s="22"/>
      <c r="J18" s="22"/>
      <c r="K18" s="22"/>
      <c r="L18" s="31" t="str">
        <f aca="false">IF(COUNTIF(E18:K18,"Sim")+COUNTIF(E18:K18,"Não")=0,"",COUNTIF(E18:K18,"Sim")/(COUNTIF(E18:K18,"Sim")+COUNTIF(E18:K18,"Não")))</f>
        <v/>
      </c>
      <c r="M18" s="26" t="str">
        <f aca="false">IF(L18="","",IF(L18&gt;=$L$4,"OK",IF(L18&gt;=$L$5,"Treinar","Refazer")))</f>
        <v/>
      </c>
      <c r="N18" s="5"/>
    </row>
    <row r="19" customFormat="false" ht="19.5" hidden="false" customHeight="true" outlineLevel="0" collapsed="false">
      <c r="B19" s="21" t="n">
        <v>8</v>
      </c>
      <c r="C19" s="22"/>
      <c r="D19" s="22"/>
      <c r="E19" s="22"/>
      <c r="F19" s="22"/>
      <c r="G19" s="22"/>
      <c r="H19" s="22"/>
      <c r="I19" s="22"/>
      <c r="J19" s="22"/>
      <c r="K19" s="22"/>
      <c r="L19" s="31" t="str">
        <f aca="false">IF(COUNTIF(E19:K19,"Sim")+COUNTIF(E19:K19,"Não")=0,"",COUNTIF(E19:K19,"Sim")/(COUNTIF(E19:K19,"Sim")+COUNTIF(E19:K19,"Não")))</f>
        <v/>
      </c>
      <c r="M19" s="26" t="str">
        <f aca="false">IF(L19="","",IF(L19&gt;=$L$4,"OK",IF(L19&gt;=$L$5,"Treinar","Refazer")))</f>
        <v/>
      </c>
      <c r="N19" s="5"/>
    </row>
    <row r="20" customFormat="false" ht="19.5" hidden="false" customHeight="true" outlineLevel="0" collapsed="false">
      <c r="B20" s="21" t="n">
        <v>9</v>
      </c>
      <c r="C20" s="22"/>
      <c r="D20" s="22"/>
      <c r="E20" s="22"/>
      <c r="F20" s="22"/>
      <c r="G20" s="22"/>
      <c r="H20" s="22"/>
      <c r="I20" s="22"/>
      <c r="J20" s="22"/>
      <c r="K20" s="22"/>
      <c r="L20" s="31" t="str">
        <f aca="false">IF(COUNTIF(E20:K20,"Sim")+COUNTIF(E20:K20,"Não")=0,"",COUNTIF(E20:K20,"Sim")/(COUNTIF(E20:K20,"Sim")+COUNTIF(E20:K20,"Não")))</f>
        <v/>
      </c>
      <c r="M20" s="26" t="str">
        <f aca="false">IF(L20="","",IF(L20&gt;=$L$4,"OK",IF(L20&gt;=$L$5,"Treinar","Refazer")))</f>
        <v/>
      </c>
      <c r="N20" s="5"/>
    </row>
    <row r="21" customFormat="false" ht="19.5" hidden="false" customHeight="true" outlineLevel="0" collapsed="false">
      <c r="B21" s="21" t="n">
        <v>10</v>
      </c>
      <c r="C21" s="22"/>
      <c r="D21" s="22"/>
      <c r="E21" s="22"/>
      <c r="F21" s="22"/>
      <c r="G21" s="22"/>
      <c r="H21" s="22"/>
      <c r="I21" s="22"/>
      <c r="J21" s="22"/>
      <c r="K21" s="22"/>
      <c r="L21" s="31" t="str">
        <f aca="false">IF(COUNTIF(E21:K21,"Sim")+COUNTIF(E21:K21,"Não")=0,"",COUNTIF(E21:K21,"Sim")/(COUNTIF(E21:K21,"Sim")+COUNTIF(E21:K21,"Não")))</f>
        <v/>
      </c>
      <c r="M21" s="26" t="str">
        <f aca="false">IF(L21="","",IF(L21&gt;=$L$4,"OK",IF(L21&gt;=$L$5,"Treinar","Refazer")))</f>
        <v/>
      </c>
      <c r="N21" s="5"/>
    </row>
    <row r="22" customFormat="false" ht="19.5" hidden="false" customHeight="true" outlineLevel="0" collapsed="false">
      <c r="B22" s="21" t="n">
        <v>11</v>
      </c>
      <c r="C22" s="22"/>
      <c r="D22" s="22"/>
      <c r="E22" s="22"/>
      <c r="F22" s="22"/>
      <c r="G22" s="22"/>
      <c r="H22" s="22"/>
      <c r="I22" s="22"/>
      <c r="J22" s="22"/>
      <c r="K22" s="22"/>
      <c r="L22" s="31" t="str">
        <f aca="false">IF(COUNTIF(E22:K22,"Sim")+COUNTIF(E22:K22,"Não")=0,"",COUNTIF(E22:K22,"Sim")/(COUNTIF(E22:K22,"Sim")+COUNTIF(E22:K22,"Não")))</f>
        <v/>
      </c>
      <c r="M22" s="26" t="str">
        <f aca="false">IF(L22="","",IF(L22&gt;=$L$4,"OK",IF(L22&gt;=$L$5,"Treinar","Refazer")))</f>
        <v/>
      </c>
      <c r="N22" s="5"/>
    </row>
    <row r="23" customFormat="false" ht="19.5" hidden="false" customHeight="true" outlineLevel="0" collapsed="false">
      <c r="B23" s="21" t="n">
        <v>12</v>
      </c>
      <c r="C23" s="22"/>
      <c r="D23" s="22"/>
      <c r="E23" s="22"/>
      <c r="F23" s="22"/>
      <c r="G23" s="22"/>
      <c r="H23" s="22"/>
      <c r="I23" s="22"/>
      <c r="J23" s="22"/>
      <c r="K23" s="22"/>
      <c r="L23" s="31" t="str">
        <f aca="false">IF(COUNTIF(E23:K23,"Sim")+COUNTIF(E23:K23,"Não")=0,"",COUNTIF(E23:K23,"Sim")/(COUNTIF(E23:K23,"Sim")+COUNTIF(E23:K23,"Não")))</f>
        <v/>
      </c>
      <c r="M23" s="26" t="str">
        <f aca="false">IF(L23="","",IF(L23&gt;=$L$4,"OK",IF(L23&gt;=$L$5,"Treinar","Refazer")))</f>
        <v/>
      </c>
      <c r="N23" s="5"/>
    </row>
    <row r="24" customFormat="false" ht="21.75" hidden="false" customHeight="true" outlineLevel="0" collapsed="false">
      <c r="B24" s="28" t="s">
        <v>167</v>
      </c>
      <c r="C24" s="28"/>
      <c r="D24" s="28"/>
      <c r="E24" s="31" t="str">
        <f aca="false">IF(COUNTIF(E12:E23,"Sim")+COUNTIF(E12:E23,"Não")=0,"",COUNTIF(E12:E23,"Sim")/(COUNTIF(E12:E23,"Sim")+COUNTIF(E12:E23,"Não")))</f>
        <v/>
      </c>
      <c r="F24" s="31" t="str">
        <f aca="false">IF(COUNTIF(F12:F23,"Sim")+COUNTIF(F12:F23,"Não")=0,"",COUNTIF(F12:F23,"Sim")/(COUNTIF(F12:F23,"Sim")+COUNTIF(F12:F23,"Não")))</f>
        <v/>
      </c>
      <c r="G24" s="31" t="str">
        <f aca="false">IF(COUNTIF(G12:G23,"Sim")+COUNTIF(G12:G23,"Não")=0,"",COUNTIF(G12:G23,"Sim")/(COUNTIF(G12:G23,"Sim")+COUNTIF(G12:G23,"Não")))</f>
        <v/>
      </c>
      <c r="H24" s="31" t="str">
        <f aca="false">IF(COUNTIF(H12:H23,"Sim")+COUNTIF(H12:H23,"Não")=0,"",COUNTIF(H12:H23,"Sim")/(COUNTIF(H12:H23,"Sim")+COUNTIF(H12:H23,"Não")))</f>
        <v/>
      </c>
      <c r="I24" s="31" t="str">
        <f aca="false">IF(COUNTIF(I12:I23,"Sim")+COUNTIF(I12:I23,"Não")=0,"",COUNTIF(I12:I23,"Sim")/(COUNTIF(I12:I23,"Sim")+COUNTIF(I12:I23,"Não")))</f>
        <v/>
      </c>
      <c r="J24" s="31" t="str">
        <f aca="false">IF(COUNTIF(J12:J23,"Sim")+COUNTIF(J12:J23,"Não")=0,"",COUNTIF(J12:J23,"Sim")/(COUNTIF(J12:J23,"Sim")+COUNTIF(J12:J23,"Não")))</f>
        <v/>
      </c>
      <c r="K24" s="31" t="str">
        <f aca="false">IF(COUNTIF(K12:K23,"Sim")+COUNTIF(K12:K23,"Não")=0,"",COUNTIF(K12:K23,"Sim")/(COUNTIF(K12:K23,"Sim")+COUNTIF(K12:K23,"Não")))</f>
        <v/>
      </c>
    </row>
    <row r="26" customFormat="false" ht="21.75" hidden="false" customHeight="true" outlineLevel="0" collapsed="false">
      <c r="B26" s="14" t="s">
        <v>104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customFormat="false" ht="19.5" hidden="false" customHeight="true" outlineLevel="0" collapsed="false">
      <c r="B27" s="28" t="s">
        <v>154</v>
      </c>
      <c r="C27" s="28"/>
      <c r="D27" s="28"/>
      <c r="E27" s="28"/>
      <c r="F27" s="28"/>
      <c r="G27" s="8" t="n">
        <f aca="false">COUNT(L12:L23)</f>
        <v>0</v>
      </c>
    </row>
    <row r="28" customFormat="false" ht="19.5" hidden="false" customHeight="true" outlineLevel="0" collapsed="false">
      <c r="B28" s="28" t="s">
        <v>168</v>
      </c>
      <c r="C28" s="28"/>
      <c r="D28" s="28"/>
      <c r="E28" s="28"/>
      <c r="F28" s="28"/>
      <c r="G28" s="31" t="str">
        <f aca="false">IF(COUNTIF(E12:K23,"Sim")+COUNTIF(E12:K23,"Não")=0,"",COUNTIF(E12:K23,"Sim")/(COUNTIF(E12:K23,"Sim")+COUNTIF(E12:K23,"Não")))</f>
        <v/>
      </c>
    </row>
    <row r="29" customFormat="false" ht="19.5" hidden="false" customHeight="true" outlineLevel="0" collapsed="false">
      <c r="B29" s="28" t="s">
        <v>169</v>
      </c>
      <c r="C29" s="28"/>
      <c r="D29" s="28"/>
      <c r="E29" s="28"/>
      <c r="F29" s="28"/>
      <c r="G29" s="8" t="n">
        <f aca="false">COUNTIF(M12:M23,"Refazer")</f>
        <v>0</v>
      </c>
    </row>
    <row r="30" customFormat="false" ht="21.75" hidden="false" customHeight="true" outlineLevel="0" collapsed="false">
      <c r="B30" s="28" t="s">
        <v>170</v>
      </c>
      <c r="C30" s="28"/>
      <c r="D30" s="28"/>
      <c r="E30" s="28"/>
      <c r="F30" s="28"/>
      <c r="G30" s="32" t="str">
        <f aca="false">IF(COUNT(E24:K24)=0,"",IF(MIN(E24:K24)&gt;=$L$4,"Nenhum: todos os critérios estão na faixa de OK",INDEX(E10:K10,MATCH(MIN(E24:K24),E24:K24,0))))</f>
        <v/>
      </c>
      <c r="H30" s="32"/>
      <c r="I30" s="32"/>
      <c r="J30" s="32"/>
      <c r="K30" s="32"/>
      <c r="L30" s="32"/>
      <c r="M30" s="32"/>
      <c r="N30" s="32"/>
    </row>
    <row r="31" customFormat="false" ht="21.75" hidden="false" customHeight="true" outlineLevel="0" collapsed="false">
      <c r="B31" s="28" t="s">
        <v>110</v>
      </c>
      <c r="C31" s="28"/>
      <c r="D31" s="28"/>
      <c r="E31" s="28"/>
      <c r="F31" s="28"/>
      <c r="G31" s="29" t="str">
        <f aca="false">IF(G27=0,"Avalie pelo menos um quadro",IF(G28&lt;$L$5,"Nota geral baixa: refaça o exercício de bancada",IF(G28&lt;$L$4,"Treine o critério indicado e grave de novo","OK")))</f>
        <v>Avalie pelo menos um quadro</v>
      </c>
      <c r="H31" s="29"/>
      <c r="I31" s="29"/>
      <c r="J31" s="29"/>
      <c r="K31" s="29"/>
      <c r="L31" s="29"/>
      <c r="M31" s="29"/>
      <c r="N31" s="29"/>
    </row>
    <row r="32" customFormat="false" ht="15" hidden="false" customHeight="true" outlineLevel="0" collapsed="false">
      <c r="B32" s="10" t="s">
        <v>171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</sheetData>
  <mergeCells count="26">
    <mergeCell ref="B1:N1"/>
    <mergeCell ref="B2:N2"/>
    <mergeCell ref="B4:C4"/>
    <mergeCell ref="D4:H4"/>
    <mergeCell ref="J4:K4"/>
    <mergeCell ref="M4:N4"/>
    <mergeCell ref="B5:C5"/>
    <mergeCell ref="D5:H5"/>
    <mergeCell ref="J5:K5"/>
    <mergeCell ref="M5:N5"/>
    <mergeCell ref="B6:C6"/>
    <mergeCell ref="D6:H6"/>
    <mergeCell ref="J6:N7"/>
    <mergeCell ref="B7:C7"/>
    <mergeCell ref="D7:H7"/>
    <mergeCell ref="B9:N9"/>
    <mergeCell ref="B24:D24"/>
    <mergeCell ref="B26:N26"/>
    <mergeCell ref="B27:F27"/>
    <mergeCell ref="B28:F28"/>
    <mergeCell ref="B29:F29"/>
    <mergeCell ref="B30:F30"/>
    <mergeCell ref="G30:N30"/>
    <mergeCell ref="B31:F31"/>
    <mergeCell ref="G31:N31"/>
    <mergeCell ref="B32:N32"/>
  </mergeCells>
  <conditionalFormatting sqref="E12:K23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"Não"</formula>
    </cfRule>
  </conditionalFormatting>
  <conditionalFormatting sqref="M12:M23">
    <cfRule type="cellIs" priority="4" operator="equal" aboveAverage="0" equalAverage="0" bottom="0" percent="0" rank="0" text="" dxfId="0">
      <formula>"OK"</formula>
    </cfRule>
    <cfRule type="cellIs" priority="5" operator="equal" aboveAverage="0" equalAverage="0" bottom="0" percent="0" rank="0" text="" dxfId="1">
      <formula>"Treinar"</formula>
    </cfRule>
    <cfRule type="cellIs" priority="6" operator="equal" aboveAverage="0" equalAverage="0" bottom="0" percent="0" rank="0" text="" dxfId="2">
      <formula>"Refazer"</formula>
    </cfRule>
  </conditionalFormatting>
  <conditionalFormatting sqref="G31:N31">
    <cfRule type="cellIs" priority="7" operator="equal" aboveAverage="0" equalAverage="0" bottom="0" percent="0" rank="0" text="" dxfId="0">
      <formula>"OK"</formula>
    </cfRule>
    <cfRule type="cellIs" priority="8" operator="notEqual" aboveAverage="0" equalAverage="0" bottom="0" percent="0" rank="0" text="" dxfId="1">
      <formula>"OK"</formula>
    </cfRule>
  </conditionalFormatting>
  <dataValidations count="4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L4:L5" type="decimal">
      <formula1>-1000000000</formula1>
      <formula2>1000000000</formula2>
    </dataValidation>
    <dataValidation allowBlank="true" error="Escolha uma das opções da lista." errorStyle="stop" errorTitle="Valor inválido" operator="between" prompt="PG, PC, PA, PM, PP, Close ou Detalhe." promptTitle="Opções" showDropDown="false" showErrorMessage="true" showInputMessage="true" sqref="D12:D23" type="list">
      <formula1>"PG,PC,PA,PM,PP,Close,Detalhe"</formula1>
      <formula2>0</formula2>
    </dataValidation>
    <dataValidation allowBlank="true" error="Escolha uma das opções da lista." errorStyle="stop" errorTitle="Valor inválido" operator="between" prompt="O quadro atende ao critério?" promptTitle="Opções" showDropDown="false" showErrorMessage="true" showInputMessage="true" sqref="E12:K23" type="list">
      <formula1>"Sim,Não,Não se aplica"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E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0"/>
    <col collapsed="false" customWidth="true" hidden="false" outlineLevel="0" max="4" min="4" style="0" width="34"/>
    <col collapsed="false" customWidth="true" hidden="false" outlineLevel="0" max="5" min="5" style="0" width="52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172</v>
      </c>
      <c r="C1" s="1"/>
      <c r="D1" s="1"/>
      <c r="E1" s="1"/>
    </row>
    <row r="2" customFormat="false" ht="19.5" hidden="false" customHeight="true" outlineLevel="0" collapsed="false">
      <c r="B2" s="2" t="s">
        <v>173</v>
      </c>
      <c r="C2" s="2"/>
      <c r="D2" s="2"/>
      <c r="E2" s="2"/>
    </row>
    <row r="4" customFormat="false" ht="21.75" hidden="false" customHeight="true" outlineLevel="0" collapsed="false">
      <c r="B4" s="14" t="s">
        <v>120</v>
      </c>
      <c r="C4" s="14"/>
      <c r="D4" s="14"/>
      <c r="E4" s="14"/>
    </row>
    <row r="5" customFormat="false" ht="21.75" hidden="false" customHeight="true" outlineLevel="0" collapsed="false">
      <c r="B5" s="8" t="s">
        <v>127</v>
      </c>
      <c r="C5" s="8" t="s">
        <v>174</v>
      </c>
      <c r="D5" s="8" t="s">
        <v>175</v>
      </c>
      <c r="E5" s="8" t="s">
        <v>176</v>
      </c>
    </row>
    <row r="6" customFormat="false" ht="21.75" hidden="false" customHeight="true" outlineLevel="0" collapsed="false">
      <c r="B6" s="33" t="s">
        <v>177</v>
      </c>
      <c r="C6" s="7" t="s">
        <v>178</v>
      </c>
      <c r="D6" s="7" t="s">
        <v>179</v>
      </c>
      <c r="E6" s="7" t="s">
        <v>180</v>
      </c>
    </row>
    <row r="7" customFormat="false" ht="21.75" hidden="false" customHeight="true" outlineLevel="0" collapsed="false">
      <c r="B7" s="33" t="s">
        <v>181</v>
      </c>
      <c r="C7" s="7" t="s">
        <v>182</v>
      </c>
      <c r="D7" s="7" t="s">
        <v>183</v>
      </c>
      <c r="E7" s="7" t="s">
        <v>184</v>
      </c>
    </row>
    <row r="8" customFormat="false" ht="21.75" hidden="false" customHeight="true" outlineLevel="0" collapsed="false">
      <c r="B8" s="33" t="s">
        <v>185</v>
      </c>
      <c r="C8" s="7" t="s">
        <v>186</v>
      </c>
      <c r="D8" s="7" t="s">
        <v>187</v>
      </c>
      <c r="E8" s="7" t="s">
        <v>188</v>
      </c>
    </row>
    <row r="9" customFormat="false" ht="21.75" hidden="false" customHeight="true" outlineLevel="0" collapsed="false">
      <c r="B9" s="33" t="s">
        <v>189</v>
      </c>
      <c r="C9" s="7" t="s">
        <v>190</v>
      </c>
      <c r="D9" s="7" t="s">
        <v>191</v>
      </c>
      <c r="E9" s="7" t="s">
        <v>192</v>
      </c>
    </row>
    <row r="10" customFormat="false" ht="21.75" hidden="false" customHeight="true" outlineLevel="0" collapsed="false">
      <c r="B10" s="33" t="s">
        <v>193</v>
      </c>
      <c r="C10" s="7" t="s">
        <v>194</v>
      </c>
      <c r="D10" s="7" t="s">
        <v>195</v>
      </c>
      <c r="E10" s="7" t="s">
        <v>196</v>
      </c>
    </row>
    <row r="11" customFormat="false" ht="21.75" hidden="false" customHeight="true" outlineLevel="0" collapsed="false">
      <c r="B11" s="33" t="s">
        <v>197</v>
      </c>
      <c r="C11" s="7" t="s">
        <v>198</v>
      </c>
      <c r="D11" s="7" t="s">
        <v>199</v>
      </c>
      <c r="E11" s="7" t="s">
        <v>200</v>
      </c>
    </row>
    <row r="12" customFormat="false" ht="21.75" hidden="false" customHeight="true" outlineLevel="0" collapsed="false">
      <c r="B12" s="33" t="s">
        <v>201</v>
      </c>
      <c r="C12" s="7" t="s">
        <v>202</v>
      </c>
      <c r="D12" s="7" t="s">
        <v>203</v>
      </c>
      <c r="E12" s="7" t="s">
        <v>204</v>
      </c>
    </row>
    <row r="14" customFormat="false" ht="21.75" hidden="false" customHeight="true" outlineLevel="0" collapsed="false">
      <c r="B14" s="14" t="s">
        <v>205</v>
      </c>
      <c r="C14" s="14"/>
      <c r="D14" s="14"/>
      <c r="E14" s="14"/>
    </row>
    <row r="15" customFormat="false" ht="21.75" hidden="false" customHeight="true" outlineLevel="0" collapsed="false">
      <c r="B15" s="8" t="s">
        <v>206</v>
      </c>
      <c r="C15" s="8" t="s">
        <v>207</v>
      </c>
      <c r="D15" s="8" t="s">
        <v>208</v>
      </c>
      <c r="E15" s="8" t="s">
        <v>209</v>
      </c>
    </row>
    <row r="16" customFormat="false" ht="21.75" hidden="false" customHeight="true" outlineLevel="0" collapsed="false">
      <c r="B16" s="33" t="s">
        <v>210</v>
      </c>
      <c r="C16" s="7" t="s">
        <v>211</v>
      </c>
      <c r="D16" s="7" t="s">
        <v>212</v>
      </c>
      <c r="E16" s="7" t="s">
        <v>213</v>
      </c>
    </row>
    <row r="17" customFormat="false" ht="21.75" hidden="false" customHeight="true" outlineLevel="0" collapsed="false">
      <c r="B17" s="33" t="s">
        <v>157</v>
      </c>
      <c r="C17" s="7" t="s">
        <v>214</v>
      </c>
      <c r="D17" s="7" t="s">
        <v>215</v>
      </c>
      <c r="E17" s="7" t="s">
        <v>216</v>
      </c>
    </row>
    <row r="18" customFormat="false" ht="21.75" hidden="false" customHeight="true" outlineLevel="0" collapsed="false">
      <c r="B18" s="33" t="s">
        <v>217</v>
      </c>
      <c r="C18" s="7" t="s">
        <v>218</v>
      </c>
      <c r="D18" s="7" t="s">
        <v>219</v>
      </c>
      <c r="E18" s="7" t="s">
        <v>220</v>
      </c>
    </row>
    <row r="19" customFormat="false" ht="21.75" hidden="false" customHeight="true" outlineLevel="0" collapsed="false">
      <c r="B19" s="33" t="s">
        <v>159</v>
      </c>
      <c r="C19" s="7" t="s">
        <v>221</v>
      </c>
      <c r="D19" s="7" t="s">
        <v>222</v>
      </c>
      <c r="E19" s="7" t="s">
        <v>223</v>
      </c>
    </row>
    <row r="20" customFormat="false" ht="21.75" hidden="false" customHeight="true" outlineLevel="0" collapsed="false">
      <c r="B20" s="33" t="s">
        <v>224</v>
      </c>
      <c r="C20" s="7" t="s">
        <v>225</v>
      </c>
      <c r="D20" s="7" t="s">
        <v>226</v>
      </c>
      <c r="E20" s="7" t="s">
        <v>227</v>
      </c>
    </row>
    <row r="21" customFormat="false" ht="21.75" hidden="false" customHeight="true" outlineLevel="0" collapsed="false">
      <c r="B21" s="33" t="s">
        <v>228</v>
      </c>
      <c r="C21" s="7" t="s">
        <v>229</v>
      </c>
      <c r="D21" s="7" t="s">
        <v>230</v>
      </c>
      <c r="E21" s="7" t="s">
        <v>231</v>
      </c>
    </row>
    <row r="22" customFormat="false" ht="21.75" hidden="false" customHeight="true" outlineLevel="0" collapsed="false">
      <c r="B22" s="33" t="s">
        <v>232</v>
      </c>
      <c r="C22" s="7" t="s">
        <v>233</v>
      </c>
      <c r="D22" s="7" t="s">
        <v>234</v>
      </c>
      <c r="E22" s="7" t="s">
        <v>235</v>
      </c>
    </row>
    <row r="24" customFormat="false" ht="21.75" hidden="false" customHeight="true" outlineLevel="0" collapsed="false">
      <c r="B24" s="14" t="s">
        <v>236</v>
      </c>
      <c r="C24" s="14"/>
      <c r="D24" s="14"/>
      <c r="E24" s="14"/>
    </row>
    <row r="25" customFormat="false" ht="21.75" hidden="false" customHeight="true" outlineLevel="0" collapsed="false">
      <c r="B25" s="8" t="s">
        <v>237</v>
      </c>
      <c r="C25" s="8" t="s">
        <v>238</v>
      </c>
      <c r="D25" s="8" t="s">
        <v>239</v>
      </c>
      <c r="E25" s="8" t="s">
        <v>240</v>
      </c>
    </row>
    <row r="26" customFormat="false" ht="19.5" hidden="false" customHeight="true" outlineLevel="0" collapsed="false">
      <c r="B26" s="33" t="s">
        <v>241</v>
      </c>
      <c r="C26" s="34" t="s">
        <v>242</v>
      </c>
      <c r="D26" s="34" t="s">
        <v>243</v>
      </c>
      <c r="E26" s="34" t="s">
        <v>244</v>
      </c>
    </row>
    <row r="27" customFormat="false" ht="19.5" hidden="false" customHeight="true" outlineLevel="0" collapsed="false">
      <c r="B27" s="33" t="s">
        <v>245</v>
      </c>
      <c r="C27" s="34" t="s">
        <v>246</v>
      </c>
      <c r="D27" s="34" t="s">
        <v>247</v>
      </c>
      <c r="E27" s="34" t="s">
        <v>248</v>
      </c>
    </row>
    <row r="28" customFormat="false" ht="19.5" hidden="false" customHeight="true" outlineLevel="0" collapsed="false">
      <c r="B28" s="33" t="s">
        <v>249</v>
      </c>
      <c r="C28" s="34" t="s">
        <v>250</v>
      </c>
      <c r="D28" s="34" t="s">
        <v>251</v>
      </c>
      <c r="E28" s="34" t="s">
        <v>252</v>
      </c>
    </row>
    <row r="29" customFormat="false" ht="19.5" hidden="false" customHeight="true" outlineLevel="0" collapsed="false">
      <c r="B29" s="33" t="s">
        <v>253</v>
      </c>
      <c r="C29" s="34" t="s">
        <v>254</v>
      </c>
      <c r="D29" s="34" t="s">
        <v>255</v>
      </c>
      <c r="E29" s="34" t="s">
        <v>242</v>
      </c>
    </row>
    <row r="30" customFormat="false" ht="19.5" hidden="false" customHeight="true" outlineLevel="0" collapsed="false">
      <c r="B30" s="33" t="s">
        <v>256</v>
      </c>
      <c r="C30" s="34" t="s">
        <v>254</v>
      </c>
      <c r="D30" s="34" t="s">
        <v>250</v>
      </c>
      <c r="E30" s="34" t="s">
        <v>257</v>
      </c>
    </row>
    <row r="31" customFormat="false" ht="19.5" hidden="false" customHeight="true" outlineLevel="0" collapsed="false">
      <c r="B31" s="33" t="s">
        <v>258</v>
      </c>
      <c r="C31" s="34" t="s">
        <v>259</v>
      </c>
      <c r="D31" s="34" t="s">
        <v>260</v>
      </c>
      <c r="E31" s="34" t="s">
        <v>246</v>
      </c>
    </row>
    <row r="32" customFormat="false" ht="15" hidden="false" customHeight="true" outlineLevel="0" collapsed="false">
      <c r="B32" s="10" t="s">
        <v>261</v>
      </c>
      <c r="C32" s="10"/>
      <c r="D32" s="10"/>
      <c r="E32" s="10"/>
    </row>
    <row r="34" customFormat="false" ht="21.75" hidden="false" customHeight="true" outlineLevel="0" collapsed="false">
      <c r="B34" s="14" t="s">
        <v>262</v>
      </c>
      <c r="C34" s="14"/>
      <c r="D34" s="14"/>
      <c r="E34" s="14"/>
    </row>
    <row r="35" customFormat="false" ht="21.75" hidden="false" customHeight="true" outlineLevel="0" collapsed="false">
      <c r="B35" s="8" t="s">
        <v>128</v>
      </c>
      <c r="C35" s="8" t="s">
        <v>263</v>
      </c>
      <c r="D35" s="8" t="s">
        <v>264</v>
      </c>
      <c r="E35" s="8" t="s">
        <v>265</v>
      </c>
    </row>
    <row r="36" customFormat="false" ht="31.5" hidden="false" customHeight="true" outlineLevel="0" collapsed="false">
      <c r="B36" s="33" t="s">
        <v>266</v>
      </c>
      <c r="C36" s="7" t="s">
        <v>267</v>
      </c>
      <c r="D36" s="7" t="s">
        <v>268</v>
      </c>
      <c r="E36" s="7" t="s">
        <v>269</v>
      </c>
    </row>
    <row r="37" customFormat="false" ht="31.5" hidden="false" customHeight="true" outlineLevel="0" collapsed="false">
      <c r="B37" s="33" t="s">
        <v>270</v>
      </c>
      <c r="C37" s="7" t="s">
        <v>271</v>
      </c>
      <c r="D37" s="7" t="s">
        <v>272</v>
      </c>
      <c r="E37" s="7" t="s">
        <v>273</v>
      </c>
    </row>
    <row r="38" customFormat="false" ht="31.5" hidden="false" customHeight="true" outlineLevel="0" collapsed="false">
      <c r="B38" s="33" t="s">
        <v>274</v>
      </c>
      <c r="C38" s="7" t="s">
        <v>275</v>
      </c>
      <c r="D38" s="7" t="s">
        <v>276</v>
      </c>
      <c r="E38" s="7" t="s">
        <v>277</v>
      </c>
    </row>
    <row r="39" customFormat="false" ht="31.5" hidden="false" customHeight="true" outlineLevel="0" collapsed="false">
      <c r="B39" s="33" t="s">
        <v>278</v>
      </c>
      <c r="C39" s="7" t="s">
        <v>279</v>
      </c>
      <c r="D39" s="7" t="s">
        <v>280</v>
      </c>
      <c r="E39" s="7" t="s">
        <v>281</v>
      </c>
    </row>
    <row r="41" customFormat="false" ht="21.75" hidden="false" customHeight="true" outlineLevel="0" collapsed="false">
      <c r="B41" s="14" t="s">
        <v>282</v>
      </c>
      <c r="C41" s="14"/>
      <c r="D41" s="14"/>
      <c r="E41" s="14"/>
    </row>
    <row r="42" customFormat="false" ht="21.75" hidden="false" customHeight="true" outlineLevel="0" collapsed="false">
      <c r="B42" s="8" t="s">
        <v>76</v>
      </c>
      <c r="C42" s="8" t="s">
        <v>283</v>
      </c>
      <c r="D42" s="8" t="s">
        <v>128</v>
      </c>
      <c r="E42" s="8" t="s">
        <v>130</v>
      </c>
    </row>
    <row r="43" customFormat="false" ht="21.75" hidden="false" customHeight="true" outlineLevel="0" collapsed="false">
      <c r="B43" s="33" t="s">
        <v>284</v>
      </c>
      <c r="C43" s="7" t="s">
        <v>285</v>
      </c>
      <c r="D43" s="7" t="s">
        <v>286</v>
      </c>
      <c r="E43" s="7" t="s">
        <v>287</v>
      </c>
    </row>
    <row r="44" customFormat="false" ht="21.75" hidden="false" customHeight="true" outlineLevel="0" collapsed="false">
      <c r="B44" s="33" t="s">
        <v>288</v>
      </c>
      <c r="C44" s="7" t="s">
        <v>289</v>
      </c>
      <c r="D44" s="7" t="s">
        <v>290</v>
      </c>
      <c r="E44" s="7" t="s">
        <v>291</v>
      </c>
    </row>
    <row r="45" customFormat="false" ht="21.75" hidden="false" customHeight="true" outlineLevel="0" collapsed="false">
      <c r="B45" s="33" t="s">
        <v>292</v>
      </c>
      <c r="C45" s="7" t="s">
        <v>293</v>
      </c>
      <c r="D45" s="7" t="s">
        <v>294</v>
      </c>
      <c r="E45" s="7" t="s">
        <v>295</v>
      </c>
    </row>
    <row r="46" customFormat="false" ht="21.75" hidden="false" customHeight="true" outlineLevel="0" collapsed="false">
      <c r="B46" s="33" t="s">
        <v>296</v>
      </c>
      <c r="C46" s="7" t="s">
        <v>297</v>
      </c>
      <c r="D46" s="7" t="s">
        <v>298</v>
      </c>
      <c r="E46" s="7" t="s">
        <v>299</v>
      </c>
    </row>
    <row r="47" customFormat="false" ht="21.75" hidden="false" customHeight="true" outlineLevel="0" collapsed="false">
      <c r="B47" s="33" t="s">
        <v>300</v>
      </c>
      <c r="C47" s="7" t="s">
        <v>301</v>
      </c>
      <c r="D47" s="7" t="s">
        <v>302</v>
      </c>
      <c r="E47" s="7" t="s">
        <v>303</v>
      </c>
    </row>
    <row r="49" customFormat="false" ht="21.75" hidden="false" customHeight="true" outlineLevel="0" collapsed="false">
      <c r="B49" s="14" t="s">
        <v>304</v>
      </c>
      <c r="C49" s="14"/>
      <c r="D49" s="14"/>
      <c r="E49" s="14"/>
    </row>
    <row r="50" customFormat="false" ht="21.75" hidden="false" customHeight="true" outlineLevel="0" collapsed="false">
      <c r="B50" s="8" t="s">
        <v>115</v>
      </c>
      <c r="C50" s="8" t="s">
        <v>305</v>
      </c>
      <c r="D50" s="8" t="s">
        <v>306</v>
      </c>
      <c r="E50" s="8" t="s">
        <v>307</v>
      </c>
    </row>
    <row r="51" customFormat="false" ht="31.5" hidden="false" customHeight="true" outlineLevel="0" collapsed="false">
      <c r="B51" s="33" t="s">
        <v>308</v>
      </c>
      <c r="C51" s="7" t="s">
        <v>309</v>
      </c>
      <c r="D51" s="7" t="s">
        <v>310</v>
      </c>
      <c r="E51" s="7" t="s">
        <v>310</v>
      </c>
    </row>
    <row r="52" customFormat="false" ht="31.5" hidden="false" customHeight="true" outlineLevel="0" collapsed="false">
      <c r="B52" s="33" t="s">
        <v>311</v>
      </c>
      <c r="C52" s="7" t="s">
        <v>312</v>
      </c>
      <c r="D52" s="7" t="s">
        <v>313</v>
      </c>
      <c r="E52" s="7" t="s">
        <v>310</v>
      </c>
    </row>
    <row r="53" customFormat="false" ht="31.5" hidden="false" customHeight="true" outlineLevel="0" collapsed="false">
      <c r="B53" s="33" t="s">
        <v>314</v>
      </c>
      <c r="C53" s="7" t="s">
        <v>315</v>
      </c>
      <c r="D53" s="7" t="s">
        <v>316</v>
      </c>
      <c r="E53" s="7" t="s">
        <v>317</v>
      </c>
    </row>
    <row r="55" customFormat="false" ht="21.75" hidden="false" customHeight="true" outlineLevel="0" collapsed="false">
      <c r="B55" s="14" t="s">
        <v>318</v>
      </c>
      <c r="C55" s="14"/>
      <c r="D55" s="14"/>
      <c r="E55" s="14"/>
    </row>
    <row r="56" customFormat="false" ht="21.75" hidden="false" customHeight="true" outlineLevel="0" collapsed="false">
      <c r="B56" s="8" t="s">
        <v>319</v>
      </c>
      <c r="C56" s="8" t="s">
        <v>320</v>
      </c>
      <c r="D56" s="8"/>
      <c r="E56" s="8"/>
    </row>
    <row r="57" customFormat="false" ht="19.5" hidden="false" customHeight="true" outlineLevel="0" collapsed="false">
      <c r="B57" s="33" t="s">
        <v>321</v>
      </c>
      <c r="C57" s="7" t="s">
        <v>322</v>
      </c>
      <c r="D57" s="7"/>
      <c r="E57" s="7"/>
    </row>
    <row r="58" customFormat="false" ht="19.5" hidden="false" customHeight="true" outlineLevel="0" collapsed="false">
      <c r="B58" s="33" t="s">
        <v>323</v>
      </c>
      <c r="C58" s="7" t="s">
        <v>324</v>
      </c>
      <c r="D58" s="7"/>
      <c r="E58" s="7"/>
    </row>
    <row r="59" customFormat="false" ht="19.5" hidden="false" customHeight="true" outlineLevel="0" collapsed="false">
      <c r="B59" s="33" t="s">
        <v>325</v>
      </c>
      <c r="C59" s="7" t="s">
        <v>326</v>
      </c>
      <c r="D59" s="7"/>
      <c r="E59" s="7"/>
    </row>
    <row r="60" customFormat="false" ht="19.5" hidden="false" customHeight="true" outlineLevel="0" collapsed="false">
      <c r="B60" s="33" t="s">
        <v>327</v>
      </c>
      <c r="C60" s="7" t="s">
        <v>328</v>
      </c>
      <c r="D60" s="7"/>
      <c r="E60" s="7"/>
    </row>
    <row r="61" customFormat="false" ht="19.5" hidden="false" customHeight="true" outlineLevel="0" collapsed="false">
      <c r="B61" s="33" t="s">
        <v>329</v>
      </c>
      <c r="C61" s="7" t="s">
        <v>330</v>
      </c>
      <c r="D61" s="7"/>
      <c r="E61" s="7"/>
    </row>
    <row r="62" customFormat="false" ht="19.5" hidden="false" customHeight="true" outlineLevel="0" collapsed="false">
      <c r="B62" s="33" t="s">
        <v>331</v>
      </c>
      <c r="C62" s="7" t="s">
        <v>332</v>
      </c>
      <c r="D62" s="7"/>
      <c r="E62" s="7"/>
    </row>
    <row r="63" customFormat="false" ht="19.5" hidden="false" customHeight="true" outlineLevel="0" collapsed="false">
      <c r="B63" s="33" t="s">
        <v>333</v>
      </c>
      <c r="C63" s="7" t="s">
        <v>334</v>
      </c>
      <c r="D63" s="7"/>
      <c r="E63" s="7"/>
    </row>
    <row r="64" customFormat="false" ht="19.5" hidden="false" customHeight="true" outlineLevel="0" collapsed="false">
      <c r="B64" s="33" t="s">
        <v>335</v>
      </c>
      <c r="C64" s="7" t="s">
        <v>336</v>
      </c>
      <c r="D64" s="7"/>
      <c r="E64" s="7"/>
    </row>
    <row r="65" customFormat="false" ht="15" hidden="false" customHeight="true" outlineLevel="0" collapsed="false">
      <c r="B65" s="10" t="s">
        <v>337</v>
      </c>
      <c r="C65" s="10"/>
      <c r="D65" s="10"/>
      <c r="E65" s="10"/>
    </row>
  </sheetData>
  <mergeCells count="11">
    <mergeCell ref="B1:E1"/>
    <mergeCell ref="B2:E2"/>
    <mergeCell ref="B4:E4"/>
    <mergeCell ref="B14:E14"/>
    <mergeCell ref="B24:E24"/>
    <mergeCell ref="B32:E32"/>
    <mergeCell ref="B34:E34"/>
    <mergeCell ref="B41:E41"/>
    <mergeCell ref="B49:E49"/>
    <mergeCell ref="B55:E55"/>
    <mergeCell ref="B65:E6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338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339</v>
      </c>
      <c r="C2" s="2"/>
      <c r="D2" s="2"/>
      <c r="E2" s="2"/>
      <c r="F2" s="2"/>
    </row>
    <row r="4" customFormat="false" ht="21.75" hidden="false" customHeight="true" outlineLevel="0" collapsed="false">
      <c r="B4" s="15" t="s">
        <v>124</v>
      </c>
      <c r="C4" s="15" t="s">
        <v>340</v>
      </c>
      <c r="D4" s="15" t="s">
        <v>341</v>
      </c>
      <c r="E4" s="15" t="s">
        <v>84</v>
      </c>
      <c r="F4" s="15" t="s">
        <v>130</v>
      </c>
    </row>
    <row r="5" customFormat="false" ht="31.5" hidden="false" customHeight="true" outlineLevel="0" collapsed="false">
      <c r="B5" s="21" t="n">
        <v>1</v>
      </c>
      <c r="C5" s="6" t="s">
        <v>342</v>
      </c>
      <c r="D5" s="7" t="s">
        <v>343</v>
      </c>
      <c r="E5" s="22"/>
      <c r="F5" s="5"/>
    </row>
    <row r="6" customFormat="false" ht="31.5" hidden="false" customHeight="true" outlineLevel="0" collapsed="false">
      <c r="B6" s="21" t="n">
        <v>2</v>
      </c>
      <c r="C6" s="6" t="s">
        <v>74</v>
      </c>
      <c r="D6" s="7" t="s">
        <v>344</v>
      </c>
      <c r="E6" s="22"/>
      <c r="F6" s="5"/>
    </row>
    <row r="7" customFormat="false" ht="19.5" hidden="false" customHeight="true" outlineLevel="0" collapsed="false">
      <c r="B7" s="21" t="n">
        <v>3</v>
      </c>
      <c r="C7" s="6" t="s">
        <v>74</v>
      </c>
      <c r="D7" s="7" t="s">
        <v>345</v>
      </c>
      <c r="E7" s="22"/>
      <c r="F7" s="5"/>
    </row>
    <row r="8" customFormat="false" ht="31.5" hidden="false" customHeight="true" outlineLevel="0" collapsed="false">
      <c r="B8" s="21" t="n">
        <v>4</v>
      </c>
      <c r="C8" s="6" t="s">
        <v>346</v>
      </c>
      <c r="D8" s="7" t="s">
        <v>347</v>
      </c>
      <c r="E8" s="22"/>
      <c r="F8" s="5"/>
    </row>
    <row r="9" customFormat="false" ht="31.5" hidden="false" customHeight="true" outlineLevel="0" collapsed="false">
      <c r="B9" s="21" t="n">
        <v>5</v>
      </c>
      <c r="C9" s="6" t="s">
        <v>346</v>
      </c>
      <c r="D9" s="7" t="s">
        <v>348</v>
      </c>
      <c r="E9" s="22"/>
      <c r="F9" s="5"/>
    </row>
    <row r="10" customFormat="false" ht="31.5" hidden="false" customHeight="true" outlineLevel="0" collapsed="false">
      <c r="B10" s="21" t="n">
        <v>6</v>
      </c>
      <c r="C10" s="6" t="s">
        <v>349</v>
      </c>
      <c r="D10" s="7" t="s">
        <v>350</v>
      </c>
      <c r="E10" s="22"/>
      <c r="F10" s="5"/>
    </row>
    <row r="11" customFormat="false" ht="31.5" hidden="false" customHeight="true" outlineLevel="0" collapsed="false">
      <c r="B11" s="21" t="n">
        <v>7</v>
      </c>
      <c r="C11" s="6" t="s">
        <v>351</v>
      </c>
      <c r="D11" s="7" t="s">
        <v>352</v>
      </c>
      <c r="E11" s="22"/>
      <c r="F11" s="5"/>
    </row>
    <row r="12" customFormat="false" ht="19.5" hidden="false" customHeight="true" outlineLevel="0" collapsed="false">
      <c r="B12" s="21" t="n">
        <v>8</v>
      </c>
      <c r="C12" s="6" t="s">
        <v>351</v>
      </c>
      <c r="D12" s="7" t="s">
        <v>353</v>
      </c>
      <c r="E12" s="22"/>
      <c r="F12" s="5"/>
    </row>
    <row r="13" customFormat="false" ht="31.5" hidden="false" customHeight="true" outlineLevel="0" collapsed="false">
      <c r="B13" s="21" t="n">
        <v>9</v>
      </c>
      <c r="C13" s="6" t="s">
        <v>351</v>
      </c>
      <c r="D13" s="7" t="s">
        <v>354</v>
      </c>
      <c r="E13" s="22"/>
      <c r="F13" s="5"/>
    </row>
    <row r="14" customFormat="false" ht="31.5" hidden="false" customHeight="true" outlineLevel="0" collapsed="false">
      <c r="B14" s="21" t="n">
        <v>10</v>
      </c>
      <c r="C14" s="6" t="s">
        <v>128</v>
      </c>
      <c r="D14" s="7" t="s">
        <v>355</v>
      </c>
      <c r="E14" s="22"/>
      <c r="F14" s="5"/>
    </row>
    <row r="15" customFormat="false" ht="19.5" hidden="false" customHeight="true" outlineLevel="0" collapsed="false">
      <c r="B15" s="21" t="n">
        <v>11</v>
      </c>
      <c r="C15" s="6" t="s">
        <v>128</v>
      </c>
      <c r="D15" s="7" t="s">
        <v>356</v>
      </c>
      <c r="E15" s="22"/>
      <c r="F15" s="5"/>
    </row>
    <row r="16" customFormat="false" ht="31.5" hidden="false" customHeight="true" outlineLevel="0" collapsed="false">
      <c r="B16" s="21" t="n">
        <v>12</v>
      </c>
      <c r="C16" s="6" t="s">
        <v>357</v>
      </c>
      <c r="D16" s="7" t="s">
        <v>358</v>
      </c>
      <c r="E16" s="22"/>
      <c r="F16" s="5"/>
    </row>
    <row r="18" customFormat="false" ht="19.5" hidden="false" customHeight="true" outlineLevel="0" collapsed="false">
      <c r="B18" s="28" t="s">
        <v>359</v>
      </c>
      <c r="C18" s="28"/>
      <c r="D18" s="28"/>
      <c r="E18" s="8" t="n">
        <f aca="false">COUNTA(E5:E16)</f>
        <v>0</v>
      </c>
    </row>
    <row r="19" customFormat="false" ht="19.5" hidden="false" customHeight="true" outlineLevel="0" collapsed="false">
      <c r="B19" s="28" t="s">
        <v>360</v>
      </c>
      <c r="C19" s="28"/>
      <c r="D19" s="28"/>
      <c r="E19" s="31" t="str">
        <f aca="false">IF(COUNTA(E5:E16)=0,"",(COUNTIF(E5:E16,"Sim")+COUNTIF(E5:E16,"Parcial")/2)/COUNTA(E5:E16))</f>
        <v/>
      </c>
    </row>
    <row r="20" customFormat="false" ht="19.5" hidden="false" customHeight="true" outlineLevel="0" collapsed="false">
      <c r="B20" s="28" t="s">
        <v>84</v>
      </c>
      <c r="C20" s="28"/>
      <c r="D20" s="28"/>
      <c r="E20" s="26" t="str">
        <f aca="false">IF(COUNTA(E5:E16)&lt;12,"Incompleto",IF(COUNTIF(E5:E16,"Não")=0,"OK","Há itens a resolver"))</f>
        <v>Incompleto</v>
      </c>
    </row>
  </sheetData>
  <mergeCells count="5">
    <mergeCell ref="B1:F1"/>
    <mergeCell ref="B2:F2"/>
    <mergeCell ref="B18:D18"/>
    <mergeCell ref="B19:D19"/>
    <mergeCell ref="B20:D20"/>
  </mergeCells>
  <conditionalFormatting sqref="E5:E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"Parcial"</formula>
    </cfRule>
    <cfRule type="cellIs" priority="4" operator="equal" aboveAverage="0" equalAverage="0" bottom="0" percent="0" rank="0" text="" dxfId="2">
      <formula>"Não"</formula>
    </cfRule>
  </conditionalFormatting>
  <conditionalFormatting sqref="E20">
    <cfRule type="cellIs" priority="5" operator="equal" aboveAverage="0" equalAverage="0" bottom="0" percent="0" rank="0" text="" dxfId="0">
      <formula>"OK"</formula>
    </cfRule>
    <cfRule type="cellIs" priority="6" operator="notEqual" aboveAverage="0" equalAverage="0" bottom="0" percent="0" rank="0" text="" dxfId="1">
      <formula>"OK"</formula>
    </cfRule>
  </conditionalFormatting>
  <dataValidations count="1">
    <dataValidation allowBlank="true" error="Escolha uma das opções da lista." errorStyle="stop" errorTitle="Valor inválido" operator="between" prompt="Sim, Parcial ou Não." promptTitle="Opções" showDropDown="false" showErrorMessage="true" showInputMessage="true" sqref="E5:E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L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18"/>
    <col collapsed="false" customWidth="true" hidden="false" outlineLevel="0" max="4" min="4" style="0" width="9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19"/>
    <col collapsed="false" customWidth="true" hidden="false" outlineLevel="0" max="11" min="11" style="0" width="50"/>
    <col collapsed="false" customWidth="true" hidden="false" outlineLevel="0" max="12" min="12" style="0" width="26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112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361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1.75" hidden="false" customHeight="true" outlineLevel="0" collapsed="false">
      <c r="B4" s="4" t="s">
        <v>59</v>
      </c>
      <c r="C4" s="4"/>
      <c r="D4" s="35" t="s">
        <v>362</v>
      </c>
      <c r="E4" s="35"/>
      <c r="F4" s="35"/>
      <c r="G4" s="35"/>
      <c r="H4" s="10" t="s">
        <v>114</v>
      </c>
      <c r="I4" s="10"/>
      <c r="J4" s="10"/>
      <c r="K4" s="10"/>
      <c r="L4" s="10"/>
    </row>
    <row r="5" customFormat="false" ht="21.75" hidden="false" customHeight="true" outlineLevel="0" collapsed="false">
      <c r="B5" s="4" t="s">
        <v>65</v>
      </c>
      <c r="C5" s="4"/>
      <c r="D5" s="36" t="n">
        <v>46299</v>
      </c>
      <c r="E5" s="36"/>
      <c r="F5" s="36"/>
      <c r="G5" s="36"/>
      <c r="H5" s="10"/>
      <c r="I5" s="10"/>
      <c r="J5" s="10"/>
      <c r="K5" s="10"/>
      <c r="L5" s="10"/>
    </row>
    <row r="6" customFormat="false" ht="21.75" hidden="false" customHeight="true" outlineLevel="0" collapsed="false">
      <c r="B6" s="4" t="s">
        <v>68</v>
      </c>
      <c r="C6" s="4"/>
      <c r="D6" s="35" t="s">
        <v>363</v>
      </c>
      <c r="E6" s="35"/>
      <c r="F6" s="35"/>
      <c r="G6" s="35"/>
      <c r="H6" s="10"/>
      <c r="I6" s="10"/>
      <c r="J6" s="10"/>
      <c r="K6" s="10"/>
      <c r="L6" s="10"/>
    </row>
    <row r="8" customFormat="false" ht="21.75" hidden="false" customHeight="true" outlineLevel="0" collapsed="false">
      <c r="B8" s="14" t="s">
        <v>115</v>
      </c>
      <c r="C8" s="14"/>
      <c r="D8" s="14"/>
      <c r="E8" s="14"/>
      <c r="F8" s="14"/>
      <c r="G8" s="14"/>
      <c r="H8" s="14"/>
      <c r="I8" s="14"/>
      <c r="J8" s="14"/>
      <c r="K8" s="14"/>
      <c r="L8" s="14"/>
    </row>
    <row r="9" customFormat="false" ht="21.75" hidden="false" customHeight="true" outlineLevel="0" collapsed="false">
      <c r="B9" s="15" t="s">
        <v>73</v>
      </c>
      <c r="C9" s="15" t="s">
        <v>74</v>
      </c>
      <c r="D9" s="15"/>
      <c r="E9" s="15"/>
      <c r="F9" s="15" t="s">
        <v>76</v>
      </c>
      <c r="G9" s="15"/>
      <c r="H9" s="15" t="s">
        <v>77</v>
      </c>
      <c r="I9" s="15"/>
      <c r="J9" s="15" t="s">
        <v>116</v>
      </c>
      <c r="K9" s="15" t="s">
        <v>117</v>
      </c>
      <c r="L9" s="15"/>
    </row>
    <row r="10" customFormat="false" ht="21.75" hidden="false" customHeight="true" outlineLevel="0" collapsed="false">
      <c r="B10" s="21" t="n">
        <v>1</v>
      </c>
      <c r="C10" s="35" t="s">
        <v>364</v>
      </c>
      <c r="D10" s="35"/>
      <c r="E10" s="35"/>
      <c r="F10" s="37" t="s">
        <v>98</v>
      </c>
      <c r="G10" s="37"/>
      <c r="H10" s="35" t="s">
        <v>99</v>
      </c>
      <c r="I10" s="35"/>
      <c r="J10" s="8" t="n">
        <f aca="false">IF(AND(C10="",F10=""),"",COUNTIF($D$30:$D$65,B10))</f>
        <v>5</v>
      </c>
      <c r="K10" s="26" t="n">
        <f aca="false">IF(AND(C10="",F10=""),"",COUNTIFS($D$30:$D$65,B10,$F$30:$F$65,"PP")+COUNTIFS($D$30:$D$65,B10,$F$30:$F$65,"Close")+COUNTIFS($D$30:$D$65,B10,$F$30:$F$65,"Detalhe"))</f>
        <v>0</v>
      </c>
      <c r="L10" s="26"/>
    </row>
    <row r="11" customFormat="false" ht="21.75" hidden="false" customHeight="true" outlineLevel="0" collapsed="false">
      <c r="B11" s="21" t="n">
        <v>2</v>
      </c>
      <c r="C11" s="35" t="s">
        <v>365</v>
      </c>
      <c r="D11" s="35"/>
      <c r="E11" s="35"/>
      <c r="F11" s="37" t="s">
        <v>98</v>
      </c>
      <c r="G11" s="37"/>
      <c r="H11" s="35" t="s">
        <v>366</v>
      </c>
      <c r="I11" s="35"/>
      <c r="J11" s="8" t="n">
        <f aca="false">IF(AND(C11="",F11=""),"",COUNTIF($D$30:$D$65,B11))</f>
        <v>5</v>
      </c>
      <c r="K11" s="26" t="n">
        <f aca="false">IF(AND(C11="",F11=""),"",COUNTIFS($D$30:$D$65,B11,$F$30:$F$65,"PP")+COUNTIFS($D$30:$D$65,B11,$F$30:$F$65,"Close")+COUNTIFS($D$30:$D$65,B11,$F$30:$F$65,"Detalhe"))</f>
        <v>1</v>
      </c>
      <c r="L11" s="26"/>
    </row>
    <row r="12" customFormat="false" ht="21.75" hidden="false" customHeight="true" outlineLevel="0" collapsed="false">
      <c r="B12" s="21" t="n">
        <v>3</v>
      </c>
      <c r="C12" s="35" t="s">
        <v>367</v>
      </c>
      <c r="D12" s="35"/>
      <c r="E12" s="35"/>
      <c r="F12" s="37" t="s">
        <v>368</v>
      </c>
      <c r="G12" s="37"/>
      <c r="H12" s="35" t="s">
        <v>369</v>
      </c>
      <c r="I12" s="35"/>
      <c r="J12" s="8" t="n">
        <f aca="false">IF(AND(C12="",F12=""),"",COUNTIF($D$30:$D$65,B12))</f>
        <v>4</v>
      </c>
      <c r="K12" s="26" t="n">
        <f aca="false">IF(AND(C12="",F12=""),"",COUNTIFS($D$30:$D$65,B12,$F$30:$F$65,"PP")+COUNTIFS($D$30:$D$65,B12,$F$30:$F$65,"Close")+COUNTIFS($D$30:$D$65,B12,$F$30:$F$65,"Detalhe"))</f>
        <v>2</v>
      </c>
      <c r="L12" s="26"/>
    </row>
    <row r="13" customFormat="false" ht="21.75" hidden="false" customHeight="true" outlineLevel="0" collapsed="false">
      <c r="B13" s="21" t="n">
        <v>4</v>
      </c>
      <c r="C13" s="35"/>
      <c r="D13" s="35"/>
      <c r="E13" s="35"/>
      <c r="F13" s="37"/>
      <c r="G13" s="37"/>
      <c r="H13" s="35"/>
      <c r="I13" s="35"/>
      <c r="J13" s="8" t="str">
        <f aca="false">IF(AND(C13="",F13=""),"",COUNTIF($D$30:$D$65,B13))</f>
        <v/>
      </c>
      <c r="K13" s="26" t="str">
        <f aca="false">IF(AND(C13="",F13=""),"",COUNTIFS($D$30:$D$65,B13,$F$30:$F$65,"PP")+COUNTIFS($D$30:$D$65,B13,$F$30:$F$65,"Close")+COUNTIFS($D$30:$D$65,B13,$F$30:$F$65,"Detalhe"))</f>
        <v/>
      </c>
      <c r="L13" s="26"/>
    </row>
    <row r="15" customFormat="false" ht="21.75" hidden="false" customHeight="true" outlineLevel="0" collapsed="false">
      <c r="B15" s="14" t="s">
        <v>118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customFormat="false" ht="21.75" hidden="false" customHeight="true" outlineLevel="0" collapsed="false">
      <c r="B16" s="15" t="s">
        <v>86</v>
      </c>
      <c r="C16" s="15" t="s">
        <v>119</v>
      </c>
      <c r="D16" s="15"/>
      <c r="E16" s="15"/>
      <c r="F16" s="17" t="s">
        <v>120</v>
      </c>
      <c r="G16" s="17" t="s">
        <v>121</v>
      </c>
      <c r="H16" s="17" t="s">
        <v>122</v>
      </c>
      <c r="I16" s="17" t="s">
        <v>84</v>
      </c>
      <c r="J16" s="17"/>
      <c r="K16" s="17" t="s">
        <v>85</v>
      </c>
      <c r="L16" s="17"/>
    </row>
    <row r="17" customFormat="false" ht="21.75" hidden="false" customHeight="true" outlineLevel="0" collapsed="false">
      <c r="B17" s="21" t="n">
        <v>1</v>
      </c>
      <c r="C17" s="35" t="s">
        <v>370</v>
      </c>
      <c r="D17" s="35"/>
      <c r="E17" s="35"/>
      <c r="F17" s="8" t="n">
        <f aca="false">IF(C17="","",COUNTIF($C$30:$C$65,C17))</f>
        <v>3</v>
      </c>
      <c r="G17" s="8" t="n">
        <f aca="false">IF(C17="","",COUNTIFS($C$30:$C$65,C17,$I$30:$I$65,"Sim"))</f>
        <v>2</v>
      </c>
      <c r="H17" s="8" t="n">
        <f aca="false">IF(C17="","",COUNTIFS($C$30:$C$65,C17,$J$30:$J$65,"Plano repetido"))</f>
        <v>0</v>
      </c>
      <c r="I17" s="26" t="str">
        <f aca="false">IF(C17="","",IF(F17=0,"Sem planos",IF(G17=0,"Sem plano aberto",IF(H17&gt;0,"Plano repetido","OK"))))</f>
        <v>OK</v>
      </c>
      <c r="J17" s="26"/>
      <c r="K17" s="27" t="str">
        <f aca="false">IF(I17="","",IF(I17="Sem planos","Inclua os planos deste momento na lista",IF(I17="Sem plano aberto","Deixe uma câmera em PG ou PC: é o plano de segurança",IF(I17="Plano repetido","Duas câmeras com o mesmo assunto e plano: mude uma delas","Manter"))))</f>
        <v>Manter</v>
      </c>
      <c r="L17" s="27"/>
    </row>
    <row r="18" customFormat="false" ht="21.75" hidden="false" customHeight="true" outlineLevel="0" collapsed="false">
      <c r="B18" s="21" t="n">
        <v>2</v>
      </c>
      <c r="C18" s="35" t="s">
        <v>371</v>
      </c>
      <c r="D18" s="35"/>
      <c r="E18" s="35"/>
      <c r="F18" s="8" t="n">
        <f aca="false">IF(C18="","",COUNTIF($C$30:$C$65,C18))</f>
        <v>3</v>
      </c>
      <c r="G18" s="8" t="n">
        <f aca="false">IF(C18="","",COUNTIFS($C$30:$C$65,C18,$I$30:$I$65,"Sim"))</f>
        <v>2</v>
      </c>
      <c r="H18" s="8" t="n">
        <f aca="false">IF(C18="","",COUNTIFS($C$30:$C$65,C18,$J$30:$J$65,"Plano repetido"))</f>
        <v>0</v>
      </c>
      <c r="I18" s="26" t="str">
        <f aca="false">IF(C18="","",IF(F18=0,"Sem planos",IF(G18=0,"Sem plano aberto",IF(H18&gt;0,"Plano repetido","OK"))))</f>
        <v>OK</v>
      </c>
      <c r="J18" s="26"/>
      <c r="K18" s="27" t="str">
        <f aca="false">IF(I18="","",IF(I18="Sem planos","Inclua os planos deste momento na lista",IF(I18="Sem plano aberto","Deixe uma câmera em PG ou PC: é o plano de segurança",IF(I18="Plano repetido","Duas câmeras com o mesmo assunto e plano: mude uma delas","Manter"))))</f>
        <v>Manter</v>
      </c>
      <c r="L18" s="27"/>
    </row>
    <row r="19" customFormat="false" ht="21.75" hidden="false" customHeight="true" outlineLevel="0" collapsed="false">
      <c r="B19" s="21" t="n">
        <v>3</v>
      </c>
      <c r="C19" s="35" t="s">
        <v>83</v>
      </c>
      <c r="D19" s="35"/>
      <c r="E19" s="35"/>
      <c r="F19" s="8" t="n">
        <f aca="false">IF(C19="","",COUNTIF($C$30:$C$65,C19))</f>
        <v>3</v>
      </c>
      <c r="G19" s="8" t="n">
        <f aca="false">IF(C19="","",COUNTIFS($C$30:$C$65,C19,$I$30:$I$65,"Sim"))</f>
        <v>0</v>
      </c>
      <c r="H19" s="8" t="n">
        <f aca="false">IF(C19="","",COUNTIFS($C$30:$C$65,C19,$J$30:$J$65,"Plano repetido"))</f>
        <v>2</v>
      </c>
      <c r="I19" s="26" t="str">
        <f aca="false">IF(C19="","",IF(F19=0,"Sem planos",IF(G19=0,"Sem plano aberto",IF(H19&gt;0,"Plano repetido","OK"))))</f>
        <v>Sem plano aberto</v>
      </c>
      <c r="J19" s="26"/>
      <c r="K19" s="27" t="str">
        <f aca="false">IF(I19="","",IF(I19="Sem planos","Inclua os planos deste momento na lista",IF(I19="Sem plano aberto","Deixe uma câmera em PG ou PC: é o plano de segurança",IF(I19="Plano repetido","Duas câmeras com o mesmo assunto e plano: mude uma delas","Manter"))))</f>
        <v>Deixe uma câmera em PG ou PC: é o plano de segurança</v>
      </c>
      <c r="L19" s="27"/>
    </row>
    <row r="20" customFormat="false" ht="21.75" hidden="false" customHeight="true" outlineLevel="0" collapsed="false">
      <c r="B20" s="21" t="n">
        <v>4</v>
      </c>
      <c r="C20" s="35" t="s">
        <v>135</v>
      </c>
      <c r="D20" s="35"/>
      <c r="E20" s="35"/>
      <c r="F20" s="8" t="n">
        <f aca="false">IF(C20="","",COUNTIF($C$30:$C$65,C20))</f>
        <v>3</v>
      </c>
      <c r="G20" s="8" t="n">
        <f aca="false">IF(C20="","",COUNTIFS($C$30:$C$65,C20,$I$30:$I$65,"Sim"))</f>
        <v>0</v>
      </c>
      <c r="H20" s="8" t="n">
        <f aca="false">IF(C20="","",COUNTIFS($C$30:$C$65,C20,$J$30:$J$65,"Plano repetido"))</f>
        <v>2</v>
      </c>
      <c r="I20" s="26" t="str">
        <f aca="false">IF(C20="","",IF(F20=0,"Sem planos",IF(G20=0,"Sem plano aberto",IF(H20&gt;0,"Plano repetido","OK"))))</f>
        <v>Sem plano aberto</v>
      </c>
      <c r="J20" s="26"/>
      <c r="K20" s="27" t="str">
        <f aca="false">IF(I20="","",IF(I20="Sem planos","Inclua os planos deste momento na lista",IF(I20="Sem plano aberto","Deixe uma câmera em PG ou PC: é o plano de segurança",IF(I20="Plano repetido","Duas câmeras com o mesmo assunto e plano: mude uma delas","Manter"))))</f>
        <v>Deixe uma câmera em PG ou PC: é o plano de segurança</v>
      </c>
      <c r="L20" s="27"/>
    </row>
    <row r="21" customFormat="false" ht="21.75" hidden="false" customHeight="true" outlineLevel="0" collapsed="false">
      <c r="B21" s="21" t="n">
        <v>5</v>
      </c>
      <c r="C21" s="35" t="s">
        <v>372</v>
      </c>
      <c r="D21" s="35"/>
      <c r="E21" s="35"/>
      <c r="F21" s="8" t="n">
        <f aca="false">IF(C21="","",COUNTIF($C$30:$C$65,C21))</f>
        <v>2</v>
      </c>
      <c r="G21" s="8" t="n">
        <f aca="false">IF(C21="","",COUNTIFS($C$30:$C$65,C21,$I$30:$I$65,"Sim"))</f>
        <v>1</v>
      </c>
      <c r="H21" s="8" t="n">
        <f aca="false">IF(C21="","",COUNTIFS($C$30:$C$65,C21,$J$30:$J$65,"Plano repetido"))</f>
        <v>0</v>
      </c>
      <c r="I21" s="26" t="str">
        <f aca="false">IF(C21="","",IF(F21=0,"Sem planos",IF(G21=0,"Sem plano aberto",IF(H21&gt;0,"Plano repetido","OK"))))</f>
        <v>OK</v>
      </c>
      <c r="J21" s="26"/>
      <c r="K21" s="27" t="str">
        <f aca="false">IF(I21="","",IF(I21="Sem planos","Inclua os planos deste momento na lista",IF(I21="Sem plano aberto","Deixe uma câmera em PG ou PC: é o plano de segurança",IF(I21="Plano repetido","Duas câmeras com o mesmo assunto e plano: mude uma delas","Manter"))))</f>
        <v>Manter</v>
      </c>
      <c r="L21" s="27"/>
    </row>
    <row r="22" customFormat="false" ht="21.75" hidden="false" customHeight="true" outlineLevel="0" collapsed="false">
      <c r="B22" s="21" t="n">
        <v>6</v>
      </c>
      <c r="C22" s="35"/>
      <c r="D22" s="35"/>
      <c r="E22" s="35"/>
      <c r="F22" s="8" t="str">
        <f aca="false">IF(C22="","",COUNTIF($C$30:$C$65,C22))</f>
        <v/>
      </c>
      <c r="G22" s="8" t="str">
        <f aca="false">IF(C22="","",COUNTIFS($C$30:$C$65,C22,$I$30:$I$65,"Sim"))</f>
        <v/>
      </c>
      <c r="H22" s="8" t="str">
        <f aca="false">IF(C22="","",COUNTIFS($C$30:$C$65,C22,$J$30:$J$65,"Plano repetido"))</f>
        <v/>
      </c>
      <c r="I22" s="26" t="str">
        <f aca="false">IF(C22="","",IF(F22=0,"Sem planos",IF(G22=0,"Sem plano aberto",IF(H22&gt;0,"Plano repetido","OK"))))</f>
        <v/>
      </c>
      <c r="J22" s="26"/>
      <c r="K22" s="27" t="str">
        <f aca="false">IF(I22="","",IF(I22="Sem planos","Inclua os planos deste momento na lista",IF(I22="Sem plano aberto","Deixe uma câmera em PG ou PC: é o plano de segurança",IF(I22="Plano repetido","Duas câmeras com o mesmo assunto e plano: mude uma delas","Manter"))))</f>
        <v/>
      </c>
      <c r="L22" s="27"/>
    </row>
    <row r="23" customFormat="false" ht="21.75" hidden="false" customHeight="true" outlineLevel="0" collapsed="false">
      <c r="B23" s="21" t="n">
        <v>7</v>
      </c>
      <c r="C23" s="35"/>
      <c r="D23" s="35"/>
      <c r="E23" s="35"/>
      <c r="F23" s="8" t="str">
        <f aca="false">IF(C23="","",COUNTIF($C$30:$C$65,C23))</f>
        <v/>
      </c>
      <c r="G23" s="8" t="str">
        <f aca="false">IF(C23="","",COUNTIFS($C$30:$C$65,C23,$I$30:$I$65,"Sim"))</f>
        <v/>
      </c>
      <c r="H23" s="8" t="str">
        <f aca="false">IF(C23="","",COUNTIFS($C$30:$C$65,C23,$J$30:$J$65,"Plano repetido"))</f>
        <v/>
      </c>
      <c r="I23" s="26" t="str">
        <f aca="false">IF(C23="","",IF(F23=0,"Sem planos",IF(G23=0,"Sem plano aberto",IF(H23&gt;0,"Plano repetido","OK"))))</f>
        <v/>
      </c>
      <c r="J23" s="26"/>
      <c r="K23" s="27" t="str">
        <f aca="false">IF(I23="","",IF(I23="Sem planos","Inclua os planos deste momento na lista",IF(I23="Sem plano aberto","Deixe uma câmera em PG ou PC: é o plano de segurança",IF(I23="Plano repetido","Duas câmeras com o mesmo assunto e plano: mude uma delas","Manter"))))</f>
        <v/>
      </c>
      <c r="L23" s="27"/>
    </row>
    <row r="24" customFormat="false" ht="21.75" hidden="false" customHeight="true" outlineLevel="0" collapsed="false">
      <c r="B24" s="21" t="n">
        <v>8</v>
      </c>
      <c r="C24" s="35"/>
      <c r="D24" s="35"/>
      <c r="E24" s="35"/>
      <c r="F24" s="8" t="str">
        <f aca="false">IF(C24="","",COUNTIF($C$30:$C$65,C24))</f>
        <v/>
      </c>
      <c r="G24" s="8" t="str">
        <f aca="false">IF(C24="","",COUNTIFS($C$30:$C$65,C24,$I$30:$I$65,"Sim"))</f>
        <v/>
      </c>
      <c r="H24" s="8" t="str">
        <f aca="false">IF(C24="","",COUNTIFS($C$30:$C$65,C24,$J$30:$J$65,"Plano repetido"))</f>
        <v/>
      </c>
      <c r="I24" s="26" t="str">
        <f aca="false">IF(C24="","",IF(F24=0,"Sem planos",IF(G24=0,"Sem plano aberto",IF(H24&gt;0,"Plano repetido","OK"))))</f>
        <v/>
      </c>
      <c r="J24" s="26"/>
      <c r="K24" s="27" t="str">
        <f aca="false">IF(I24="","",IF(I24="Sem planos","Inclua os planos deste momento na lista",IF(I24="Sem plano aberto","Deixe uma câmera em PG ou PC: é o plano de segurança",IF(I24="Plano repetido","Duas câmeras com o mesmo assunto e plano: mude uma delas","Manter"))))</f>
        <v/>
      </c>
      <c r="L24" s="27"/>
    </row>
    <row r="26" customFormat="false" ht="21.75" hidden="false" customHeight="true" outlineLevel="0" collapsed="false">
      <c r="B26" s="14" t="s">
        <v>123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27" customFormat="false" ht="30" hidden="false" customHeight="true" outlineLevel="0" collapsed="false">
      <c r="B27" s="15" t="s">
        <v>124</v>
      </c>
      <c r="C27" s="15" t="s">
        <v>119</v>
      </c>
      <c r="D27" s="15" t="s">
        <v>125</v>
      </c>
      <c r="E27" s="15" t="s">
        <v>126</v>
      </c>
      <c r="F27" s="16" t="s">
        <v>127</v>
      </c>
      <c r="G27" s="16" t="s">
        <v>128</v>
      </c>
      <c r="H27" s="17" t="s">
        <v>76</v>
      </c>
      <c r="I27" s="17" t="s">
        <v>129</v>
      </c>
      <c r="J27" s="17" t="s">
        <v>84</v>
      </c>
      <c r="K27" s="17" t="s">
        <v>85</v>
      </c>
      <c r="L27" s="15" t="s">
        <v>130</v>
      </c>
    </row>
    <row r="28" customFormat="false" ht="21.75" hidden="false" customHeight="true" outlineLevel="0" collapsed="false">
      <c r="B28" s="18"/>
      <c r="C28" s="18" t="s">
        <v>88</v>
      </c>
      <c r="D28" s="18" t="s">
        <v>131</v>
      </c>
      <c r="E28" s="18" t="s">
        <v>132</v>
      </c>
      <c r="F28" s="18" t="s">
        <v>88</v>
      </c>
      <c r="G28" s="18" t="s">
        <v>88</v>
      </c>
      <c r="H28" s="18" t="s">
        <v>133</v>
      </c>
      <c r="I28" s="18" t="s">
        <v>134</v>
      </c>
      <c r="J28" s="18"/>
      <c r="K28" s="18"/>
      <c r="L28" s="18"/>
    </row>
    <row r="29" customFormat="false" ht="21.75" hidden="false" customHeight="true" outlineLevel="0" collapsed="false">
      <c r="B29" s="10" t="s">
        <v>373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customFormat="false" ht="21.75" hidden="false" customHeight="true" outlineLevel="0" collapsed="false">
      <c r="B30" s="21" t="n">
        <v>1</v>
      </c>
      <c r="C30" s="35" t="s">
        <v>370</v>
      </c>
      <c r="D30" s="37" t="n">
        <v>1</v>
      </c>
      <c r="E30" s="35" t="s">
        <v>374</v>
      </c>
      <c r="F30" s="37" t="s">
        <v>375</v>
      </c>
      <c r="G30" s="37" t="s">
        <v>376</v>
      </c>
      <c r="H30" s="25" t="str">
        <f aca="false">IF(D30="","",IFERROR(IF(VLOOKUP(D30,$B$10:$F$13,5,FALSE())&amp;""="","Sem suporte",VLOOKUP(D30,$B$10:$F$13,5,FALSE())&amp;""),"Câmera não listada"))</f>
        <v>Tripé fluido</v>
      </c>
      <c r="I30" s="25" t="str">
        <f aca="false">IF(F30="","",IF(OR(F30="PG",F30="PC"),"Sim","Não"))</f>
        <v>Sim</v>
      </c>
      <c r="J30" s="26" t="str">
        <f aca="false">IF(AND(C30="",D30="",E30="",F30=""),"",IF(OR(C30="",D30="",E30="",F30=""),"Incompleto",IF(COUNTIFS($C$30:$C$65,C30,$E$30:$E$65,E30,$F$30:$F$65,F30)&gt;1,"Plano repetido",IF(AND(OR(H30="Mão",H30="Monopé",H30="Estabilizador"),OR(F30="PP",F30="Close",F30="Detalhe")),"Fechado na mão",IF(COUNTIFS($C$30:$C$65,C30,$I$30:$I$65,"Sim")=0,"Sem plano aberto","OK")))))</f>
        <v>OK</v>
      </c>
      <c r="K30" s="27" t="str">
        <f aca="false">IF(J30="","",IF(J30="Incompleto","Preencha momento, câmera, assunto e plano",IF(J30="Plano repetido","Outra câmera tem o mesmo assunto e plano neste momento: mude o plano ou o assunto",IF(J30="Fechado na mão","Este suporte não sustenta plano fechado: abra o plano ou use tripé",IF(J30="Sem plano aberto","Nenhuma câmera em PG ou PC neste momento: abra uma delas","Manter")))))</f>
        <v>Manter</v>
      </c>
      <c r="L30" s="35"/>
    </row>
    <row r="31" customFormat="false" ht="21.75" hidden="false" customHeight="true" outlineLevel="0" collapsed="false">
      <c r="B31" s="21" t="n">
        <v>2</v>
      </c>
      <c r="C31" s="35" t="s">
        <v>370</v>
      </c>
      <c r="D31" s="37" t="n">
        <v>2</v>
      </c>
      <c r="E31" s="35" t="s">
        <v>377</v>
      </c>
      <c r="F31" s="37" t="s">
        <v>137</v>
      </c>
      <c r="G31" s="37" t="s">
        <v>376</v>
      </c>
      <c r="H31" s="25" t="str">
        <f aca="false">IF(D31="","",IFERROR(IF(VLOOKUP(D31,$B$10:$F$13,5,FALSE())&amp;""="","Sem suporte",VLOOKUP(D31,$B$10:$F$13,5,FALSE())&amp;""),"Câmera não listada"))</f>
        <v>Tripé fluido</v>
      </c>
      <c r="I31" s="25" t="str">
        <f aca="false">IF(F31="","",IF(OR(F31="PG",F31="PC"),"Sim","Não"))</f>
        <v>Não</v>
      </c>
      <c r="J31" s="26" t="str">
        <f aca="false">IF(AND(C31="",D31="",E31="",F31=""),"",IF(OR(C31="",D31="",E31="",F31=""),"Incompleto",IF(COUNTIFS($C$30:$C$65,C31,$E$30:$E$65,E31,$F$30:$F$65,F31)&gt;1,"Plano repetido",IF(AND(OR(H31="Mão",H31="Monopé",H31="Estabilizador"),OR(F31="PP",F31="Close",F31="Detalhe")),"Fechado na mão",IF(COUNTIFS($C$30:$C$65,C31,$I$30:$I$65,"Sim")=0,"Sem plano aberto","OK")))))</f>
        <v>OK</v>
      </c>
      <c r="K31" s="27" t="str">
        <f aca="false">IF(J31="","",IF(J31="Incompleto","Preencha momento, câmera, assunto e plano",IF(J31="Plano repetido","Outra câmera tem o mesmo assunto e plano neste momento: mude o plano ou o assunto",IF(J31="Fechado na mão","Este suporte não sustenta plano fechado: abra o plano ou use tripé",IF(J31="Sem plano aberto","Nenhuma câmera em PG ou PC neste momento: abra uma delas","Manter")))))</f>
        <v>Manter</v>
      </c>
      <c r="L31" s="35"/>
    </row>
    <row r="32" customFormat="false" ht="21.75" hidden="false" customHeight="true" outlineLevel="0" collapsed="false">
      <c r="B32" s="21" t="n">
        <v>3</v>
      </c>
      <c r="C32" s="35" t="s">
        <v>370</v>
      </c>
      <c r="D32" s="37" t="n">
        <v>3</v>
      </c>
      <c r="E32" s="35" t="s">
        <v>378</v>
      </c>
      <c r="F32" s="37" t="s">
        <v>379</v>
      </c>
      <c r="G32" s="37" t="s">
        <v>278</v>
      </c>
      <c r="H32" s="25" t="str">
        <f aca="false">IF(D32="","",IFERROR(IF(VLOOKUP(D32,$B$10:$F$13,5,FALSE())&amp;""="","Sem suporte",VLOOKUP(D32,$B$10:$F$13,5,FALSE())&amp;""),"Câmera não listada"))</f>
        <v>Mão</v>
      </c>
      <c r="I32" s="25" t="str">
        <f aca="false">IF(F32="","",IF(OR(F32="PG",F32="PC"),"Sim","Não"))</f>
        <v>Sim</v>
      </c>
      <c r="J32" s="26" t="str">
        <f aca="false">IF(AND(C32="",D32="",E32="",F32=""),"",IF(OR(C32="",D32="",E32="",F32=""),"Incompleto",IF(COUNTIFS($C$30:$C$65,C32,$E$30:$E$65,E32,$F$30:$F$65,F32)&gt;1,"Plano repetido",IF(AND(OR(H32="Mão",H32="Monopé",H32="Estabilizador"),OR(F32="PP",F32="Close",F32="Detalhe")),"Fechado na mão",IF(COUNTIFS($C$30:$C$65,C32,$I$30:$I$65,"Sim")=0,"Sem plano aberto","OK")))))</f>
        <v>OK</v>
      </c>
      <c r="K32" s="27" t="str">
        <f aca="false">IF(J32="","",IF(J32="Incompleto","Preencha momento, câmera, assunto e plano",IF(J32="Plano repetido","Outra câmera tem o mesmo assunto e plano neste momento: mude o plano ou o assunto",IF(J32="Fechado na mão","Este suporte não sustenta plano fechado: abra o plano ou use tripé",IF(J32="Sem plano aberto","Nenhuma câmera em PG ou PC neste momento: abra uma delas","Manter")))))</f>
        <v>Manter</v>
      </c>
      <c r="L32" s="35"/>
    </row>
    <row r="33" customFormat="false" ht="21.75" hidden="false" customHeight="true" outlineLevel="0" collapsed="false">
      <c r="B33" s="21" t="n">
        <v>4</v>
      </c>
      <c r="C33" s="35" t="s">
        <v>371</v>
      </c>
      <c r="D33" s="37" t="n">
        <v>1</v>
      </c>
      <c r="E33" s="35" t="s">
        <v>380</v>
      </c>
      <c r="F33" s="37" t="s">
        <v>375</v>
      </c>
      <c r="G33" s="37" t="s">
        <v>376</v>
      </c>
      <c r="H33" s="25" t="str">
        <f aca="false">IF(D33="","",IFERROR(IF(VLOOKUP(D33,$B$10:$F$13,5,FALSE())&amp;""="","Sem suporte",VLOOKUP(D33,$B$10:$F$13,5,FALSE())&amp;""),"Câmera não listada"))</f>
        <v>Tripé fluido</v>
      </c>
      <c r="I33" s="25" t="str">
        <f aca="false">IF(F33="","",IF(OR(F33="PG",F33="PC"),"Sim","Não"))</f>
        <v>Sim</v>
      </c>
      <c r="J33" s="26" t="str">
        <f aca="false">IF(AND(C33="",D33="",E33="",F33=""),"",IF(OR(C33="",D33="",E33="",F33=""),"Incompleto",IF(COUNTIFS($C$30:$C$65,C33,$E$30:$E$65,E33,$F$30:$F$65,F33)&gt;1,"Plano repetido",IF(AND(OR(H33="Mão",H33="Monopé",H33="Estabilizador"),OR(F33="PP",F33="Close",F33="Detalhe")),"Fechado na mão",IF(COUNTIFS($C$30:$C$65,C33,$I$30:$I$65,"Sim")=0,"Sem plano aberto","OK")))))</f>
        <v>OK</v>
      </c>
      <c r="K33" s="27" t="str">
        <f aca="false">IF(J33="","",IF(J33="Incompleto","Preencha momento, câmera, assunto e plano",IF(J33="Plano repetido","Outra câmera tem o mesmo assunto e plano neste momento: mude o plano ou o assunto",IF(J33="Fechado na mão","Este suporte não sustenta plano fechado: abra o plano ou use tripé",IF(J33="Sem plano aberto","Nenhuma câmera em PG ou PC neste momento: abra uma delas","Manter")))))</f>
        <v>Manter</v>
      </c>
      <c r="L33" s="35"/>
    </row>
    <row r="34" customFormat="false" ht="21.75" hidden="false" customHeight="true" outlineLevel="0" collapsed="false">
      <c r="B34" s="21" t="n">
        <v>5</v>
      </c>
      <c r="C34" s="35" t="s">
        <v>371</v>
      </c>
      <c r="D34" s="37" t="n">
        <v>2</v>
      </c>
      <c r="E34" s="35" t="s">
        <v>381</v>
      </c>
      <c r="F34" s="37" t="s">
        <v>382</v>
      </c>
      <c r="G34" s="37" t="s">
        <v>376</v>
      </c>
      <c r="H34" s="25" t="str">
        <f aca="false">IF(D34="","",IFERROR(IF(VLOOKUP(D34,$B$10:$F$13,5,FALSE())&amp;""="","Sem suporte",VLOOKUP(D34,$B$10:$F$13,5,FALSE())&amp;""),"Câmera não listada"))</f>
        <v>Tripé fluido</v>
      </c>
      <c r="I34" s="25" t="str">
        <f aca="false">IF(F34="","",IF(OR(F34="PG",F34="PC"),"Sim","Não"))</f>
        <v>Não</v>
      </c>
      <c r="J34" s="26" t="str">
        <f aca="false">IF(AND(C34="",D34="",E34="",F34=""),"",IF(OR(C34="",D34="",E34="",F34=""),"Incompleto",IF(COUNTIFS($C$30:$C$65,C34,$E$30:$E$65,E34,$F$30:$F$65,F34)&gt;1,"Plano repetido",IF(AND(OR(H34="Mão",H34="Monopé",H34="Estabilizador"),OR(F34="PP",F34="Close",F34="Detalhe")),"Fechado na mão",IF(COUNTIFS($C$30:$C$65,C34,$I$30:$I$65,"Sim")=0,"Sem plano aberto","OK")))))</f>
        <v>OK</v>
      </c>
      <c r="K34" s="27" t="str">
        <f aca="false">IF(J34="","",IF(J34="Incompleto","Preencha momento, câmera, assunto e plano",IF(J34="Plano repetido","Outra câmera tem o mesmo assunto e plano neste momento: mude o plano ou o assunto",IF(J34="Fechado na mão","Este suporte não sustenta plano fechado: abra o plano ou use tripé",IF(J34="Sem plano aberto","Nenhuma câmera em PG ou PC neste momento: abra uma delas","Manter")))))</f>
        <v>Manter</v>
      </c>
      <c r="L34" s="35"/>
    </row>
    <row r="35" customFormat="false" ht="21.75" hidden="false" customHeight="true" outlineLevel="0" collapsed="false">
      <c r="B35" s="21" t="n">
        <v>6</v>
      </c>
      <c r="C35" s="35" t="s">
        <v>371</v>
      </c>
      <c r="D35" s="37" t="n">
        <v>3</v>
      </c>
      <c r="E35" s="35" t="s">
        <v>383</v>
      </c>
      <c r="F35" s="37" t="s">
        <v>379</v>
      </c>
      <c r="G35" s="37" t="s">
        <v>138</v>
      </c>
      <c r="H35" s="25" t="str">
        <f aca="false">IF(D35="","",IFERROR(IF(VLOOKUP(D35,$B$10:$F$13,5,FALSE())&amp;""="","Sem suporte",VLOOKUP(D35,$B$10:$F$13,5,FALSE())&amp;""),"Câmera não listada"))</f>
        <v>Mão</v>
      </c>
      <c r="I35" s="25" t="str">
        <f aca="false">IF(F35="","",IF(OR(F35="PG",F35="PC"),"Sim","Não"))</f>
        <v>Sim</v>
      </c>
      <c r="J35" s="26" t="str">
        <f aca="false">IF(AND(C35="",D35="",E35="",F35=""),"",IF(OR(C35="",D35="",E35="",F35=""),"Incompleto",IF(COUNTIFS($C$30:$C$65,C35,$E$30:$E$65,E35,$F$30:$F$65,F35)&gt;1,"Plano repetido",IF(AND(OR(H35="Mão",H35="Monopé",H35="Estabilizador"),OR(F35="PP",F35="Close",F35="Detalhe")),"Fechado na mão",IF(COUNTIFS($C$30:$C$65,C35,$I$30:$I$65,"Sim")=0,"Sem plano aberto","OK")))))</f>
        <v>OK</v>
      </c>
      <c r="K35" s="27" t="str">
        <f aca="false">IF(J35="","",IF(J35="Incompleto","Preencha momento, câmera, assunto e plano",IF(J35="Plano repetido","Outra câmera tem o mesmo assunto e plano neste momento: mude o plano ou o assunto",IF(J35="Fechado na mão","Este suporte não sustenta plano fechado: abra o plano ou use tripé",IF(J35="Sem plano aberto","Nenhuma câmera em PG ou PC neste momento: abra uma delas","Manter")))))</f>
        <v>Manter</v>
      </c>
      <c r="L35" s="35"/>
    </row>
    <row r="36" customFormat="false" ht="21.75" hidden="false" customHeight="true" outlineLevel="0" collapsed="false">
      <c r="B36" s="21" t="n">
        <v>7</v>
      </c>
      <c r="C36" s="35" t="s">
        <v>83</v>
      </c>
      <c r="D36" s="37" t="n">
        <v>1</v>
      </c>
      <c r="E36" s="35" t="s">
        <v>384</v>
      </c>
      <c r="F36" s="37" t="s">
        <v>137</v>
      </c>
      <c r="G36" s="37" t="s">
        <v>376</v>
      </c>
      <c r="H36" s="25" t="str">
        <f aca="false">IF(D36="","",IFERROR(IF(VLOOKUP(D36,$B$10:$F$13,5,FALSE())&amp;""="","Sem suporte",VLOOKUP(D36,$B$10:$F$13,5,FALSE())&amp;""),"Câmera não listada"))</f>
        <v>Tripé fluido</v>
      </c>
      <c r="I36" s="25" t="str">
        <f aca="false">IF(F36="","",IF(OR(F36="PG",F36="PC"),"Sim","Não"))</f>
        <v>Não</v>
      </c>
      <c r="J36" s="26" t="str">
        <f aca="false">IF(AND(C36="",D36="",E36="",F36=""),"",IF(OR(C36="",D36="",E36="",F36=""),"Incompleto",IF(COUNTIFS($C$30:$C$65,C36,$E$30:$E$65,E36,$F$30:$F$65,F36)&gt;1,"Plano repetido",IF(AND(OR(H36="Mão",H36="Monopé",H36="Estabilizador"),OR(F36="PP",F36="Close",F36="Detalhe")),"Fechado na mão",IF(COUNTIFS($C$30:$C$65,C36,$I$30:$I$65,"Sim")=0,"Sem plano aberto","OK")))))</f>
        <v>Plano repetido</v>
      </c>
      <c r="K36" s="27" t="str">
        <f aca="false">IF(J36="","",IF(J36="Incompleto","Preencha momento, câmera, assunto e plano",IF(J36="Plano repetido","Outra câmera tem o mesmo assunto e plano neste momento: mude o plano ou o assunto",IF(J36="Fechado na mão","Este suporte não sustenta plano fechado: abra o plano ou use tripé",IF(J36="Sem plano aberto","Nenhuma câmera em PG ou PC neste momento: abra uma delas","Manter")))))</f>
        <v>Outra câmera tem o mesmo assunto e plano neste momento: mude o plano ou o assunto</v>
      </c>
      <c r="L36" s="35"/>
    </row>
    <row r="37" customFormat="false" ht="21.75" hidden="false" customHeight="true" outlineLevel="0" collapsed="false">
      <c r="B37" s="21" t="n">
        <v>8</v>
      </c>
      <c r="C37" s="35" t="s">
        <v>83</v>
      </c>
      <c r="D37" s="37" t="n">
        <v>2</v>
      </c>
      <c r="E37" s="35" t="s">
        <v>384</v>
      </c>
      <c r="F37" s="37" t="s">
        <v>137</v>
      </c>
      <c r="G37" s="37" t="s">
        <v>376</v>
      </c>
      <c r="H37" s="25" t="str">
        <f aca="false">IF(D37="","",IFERROR(IF(VLOOKUP(D37,$B$10:$F$13,5,FALSE())&amp;""="","Sem suporte",VLOOKUP(D37,$B$10:$F$13,5,FALSE())&amp;""),"Câmera não listada"))</f>
        <v>Tripé fluido</v>
      </c>
      <c r="I37" s="25" t="str">
        <f aca="false">IF(F37="","",IF(OR(F37="PG",F37="PC"),"Sim","Não"))</f>
        <v>Não</v>
      </c>
      <c r="J37" s="26" t="str">
        <f aca="false">IF(AND(C37="",D37="",E37="",F37=""),"",IF(OR(C37="",D37="",E37="",F37=""),"Incompleto",IF(COUNTIFS($C$30:$C$65,C37,$E$30:$E$65,E37,$F$30:$F$65,F37)&gt;1,"Plano repetido",IF(AND(OR(H37="Mão",H37="Monopé",H37="Estabilizador"),OR(F37="PP",F37="Close",F37="Detalhe")),"Fechado na mão",IF(COUNTIFS($C$30:$C$65,C37,$I$30:$I$65,"Sim")=0,"Sem plano aberto","OK")))))</f>
        <v>Plano repetido</v>
      </c>
      <c r="K37" s="27" t="str">
        <f aca="false">IF(J37="","",IF(J37="Incompleto","Preencha momento, câmera, assunto e plano",IF(J37="Plano repetido","Outra câmera tem o mesmo assunto e plano neste momento: mude o plano ou o assunto",IF(J37="Fechado na mão","Este suporte não sustenta plano fechado: abra o plano ou use tripé",IF(J37="Sem plano aberto","Nenhuma câmera em PG ou PC neste momento: abra uma delas","Manter")))))</f>
        <v>Outra câmera tem o mesmo assunto e plano neste momento: mude o plano ou o assunto</v>
      </c>
      <c r="L37" s="35"/>
    </row>
    <row r="38" customFormat="false" ht="21.75" hidden="false" customHeight="true" outlineLevel="0" collapsed="false">
      <c r="B38" s="21" t="n">
        <v>9</v>
      </c>
      <c r="C38" s="35" t="s">
        <v>83</v>
      </c>
      <c r="D38" s="37" t="n">
        <v>3</v>
      </c>
      <c r="E38" s="35" t="s">
        <v>385</v>
      </c>
      <c r="F38" s="37" t="s">
        <v>201</v>
      </c>
      <c r="G38" s="37" t="s">
        <v>376</v>
      </c>
      <c r="H38" s="25" t="str">
        <f aca="false">IF(D38="","",IFERROR(IF(VLOOKUP(D38,$B$10:$F$13,5,FALSE())&amp;""="","Sem suporte",VLOOKUP(D38,$B$10:$F$13,5,FALSE())&amp;""),"Câmera não listada"))</f>
        <v>Mão</v>
      </c>
      <c r="I38" s="25" t="str">
        <f aca="false">IF(F38="","",IF(OR(F38="PG",F38="PC"),"Sim","Não"))</f>
        <v>Não</v>
      </c>
      <c r="J38" s="26" t="str">
        <f aca="false">IF(AND(C38="",D38="",E38="",F38=""),"",IF(OR(C38="",D38="",E38="",F38=""),"Incompleto",IF(COUNTIFS($C$30:$C$65,C38,$E$30:$E$65,E38,$F$30:$F$65,F38)&gt;1,"Plano repetido",IF(AND(OR(H38="Mão",H38="Monopé",H38="Estabilizador"),OR(F38="PP",F38="Close",F38="Detalhe")),"Fechado na mão",IF(COUNTIFS($C$30:$C$65,C38,$I$30:$I$65,"Sim")=0,"Sem plano aberto","OK")))))</f>
        <v>Fechado na mão</v>
      </c>
      <c r="K38" s="27" t="str">
        <f aca="false">IF(J38="","",IF(J38="Incompleto","Preencha momento, câmera, assunto e plano",IF(J38="Plano repetido","Outra câmera tem o mesmo assunto e plano neste momento: mude o plano ou o assunto",IF(J38="Fechado na mão","Este suporte não sustenta plano fechado: abra o plano ou use tripé",IF(J38="Sem plano aberto","Nenhuma câmera em PG ou PC neste momento: abra uma delas","Manter")))))</f>
        <v>Este suporte não sustenta plano fechado: abra o plano ou use tripé</v>
      </c>
      <c r="L38" s="35"/>
    </row>
    <row r="39" customFormat="false" ht="21.75" hidden="false" customHeight="true" outlineLevel="0" collapsed="false">
      <c r="B39" s="21" t="n">
        <v>10</v>
      </c>
      <c r="C39" s="35" t="s">
        <v>135</v>
      </c>
      <c r="D39" s="37" t="n">
        <v>1</v>
      </c>
      <c r="E39" s="35" t="s">
        <v>136</v>
      </c>
      <c r="F39" s="37" t="s">
        <v>137</v>
      </c>
      <c r="G39" s="37" t="s">
        <v>376</v>
      </c>
      <c r="H39" s="25" t="str">
        <f aca="false">IF(D39="","",IFERROR(IF(VLOOKUP(D39,$B$10:$F$13,5,FALSE())&amp;""="","Sem suporte",VLOOKUP(D39,$B$10:$F$13,5,FALSE())&amp;""),"Câmera não listada"))</f>
        <v>Tripé fluido</v>
      </c>
      <c r="I39" s="25" t="str">
        <f aca="false">IF(F39="","",IF(OR(F39="PG",F39="PC"),"Sim","Não"))</f>
        <v>Não</v>
      </c>
      <c r="J39" s="26" t="str">
        <f aca="false">IF(AND(C39="",D39="",E39="",F39=""),"",IF(OR(C39="",D39="",E39="",F39=""),"Incompleto",IF(COUNTIFS($C$30:$C$65,C39,$E$30:$E$65,E39,$F$30:$F$65,F39)&gt;1,"Plano repetido",IF(AND(OR(H39="Mão",H39="Monopé",H39="Estabilizador"),OR(F39="PP",F39="Close",F39="Detalhe")),"Fechado na mão",IF(COUNTIFS($C$30:$C$65,C39,$I$30:$I$65,"Sim")=0,"Sem plano aberto","OK")))))</f>
        <v>Plano repetido</v>
      </c>
      <c r="K39" s="27" t="str">
        <f aca="false">IF(J39="","",IF(J39="Incompleto","Preencha momento, câmera, assunto e plano",IF(J39="Plano repetido","Outra câmera tem o mesmo assunto e plano neste momento: mude o plano ou o assunto",IF(J39="Fechado na mão","Este suporte não sustenta plano fechado: abra o plano ou use tripé",IF(J39="Sem plano aberto","Nenhuma câmera em PG ou PC neste momento: abra uma delas","Manter")))))</f>
        <v>Outra câmera tem o mesmo assunto e plano neste momento: mude o plano ou o assunto</v>
      </c>
      <c r="L39" s="35"/>
    </row>
    <row r="40" customFormat="false" ht="21.75" hidden="false" customHeight="true" outlineLevel="0" collapsed="false">
      <c r="B40" s="21" t="n">
        <v>11</v>
      </c>
      <c r="C40" s="35" t="s">
        <v>135</v>
      </c>
      <c r="D40" s="37" t="n">
        <v>2</v>
      </c>
      <c r="E40" s="35" t="s">
        <v>136</v>
      </c>
      <c r="F40" s="37" t="s">
        <v>137</v>
      </c>
      <c r="G40" s="37" t="s">
        <v>138</v>
      </c>
      <c r="H40" s="25" t="str">
        <f aca="false">IF(D40="","",IFERROR(IF(VLOOKUP(D40,$B$10:$F$13,5,FALSE())&amp;""="","Sem suporte",VLOOKUP(D40,$B$10:$F$13,5,FALSE())&amp;""),"Câmera não listada"))</f>
        <v>Tripé fluido</v>
      </c>
      <c r="I40" s="25" t="str">
        <f aca="false">IF(F40="","",IF(OR(F40="PG",F40="PC"),"Sim","Não"))</f>
        <v>Não</v>
      </c>
      <c r="J40" s="26" t="str">
        <f aca="false">IF(AND(C40="",D40="",E40="",F40=""),"",IF(OR(C40="",D40="",E40="",F40=""),"Incompleto",IF(COUNTIFS($C$30:$C$65,C40,$E$30:$E$65,E40,$F$30:$F$65,F40)&gt;1,"Plano repetido",IF(AND(OR(H40="Mão",H40="Monopé",H40="Estabilizador"),OR(F40="PP",F40="Close",F40="Detalhe")),"Fechado na mão",IF(COUNTIFS($C$30:$C$65,C40,$I$30:$I$65,"Sim")=0,"Sem plano aberto","OK")))))</f>
        <v>Plano repetido</v>
      </c>
      <c r="K40" s="27" t="str">
        <f aca="false">IF(J40="","",IF(J40="Incompleto","Preencha momento, câmera, assunto e plano",IF(J40="Plano repetido","Outra câmera tem o mesmo assunto e plano neste momento: mude o plano ou o assunto",IF(J40="Fechado na mão","Este suporte não sustenta plano fechado: abra o plano ou use tripé",IF(J40="Sem plano aberto","Nenhuma câmera em PG ou PC neste momento: abra uma delas","Manter")))))</f>
        <v>Outra câmera tem o mesmo assunto e plano neste momento: mude o plano ou o assunto</v>
      </c>
      <c r="L40" s="35"/>
    </row>
    <row r="41" customFormat="false" ht="21.75" hidden="false" customHeight="true" outlineLevel="0" collapsed="false">
      <c r="B41" s="21" t="n">
        <v>12</v>
      </c>
      <c r="C41" s="35" t="s">
        <v>135</v>
      </c>
      <c r="D41" s="37" t="n">
        <v>3</v>
      </c>
      <c r="E41" s="35" t="s">
        <v>136</v>
      </c>
      <c r="F41" s="37" t="s">
        <v>382</v>
      </c>
      <c r="G41" s="37" t="s">
        <v>138</v>
      </c>
      <c r="H41" s="25" t="str">
        <f aca="false">IF(D41="","",IFERROR(IF(VLOOKUP(D41,$B$10:$F$13,5,FALSE())&amp;""="","Sem suporte",VLOOKUP(D41,$B$10:$F$13,5,FALSE())&amp;""),"Câmera não listada"))</f>
        <v>Mão</v>
      </c>
      <c r="I41" s="25" t="str">
        <f aca="false">IF(F41="","",IF(OR(F41="PG",F41="PC"),"Sim","Não"))</f>
        <v>Não</v>
      </c>
      <c r="J41" s="26" t="str">
        <f aca="false">IF(AND(C41="",D41="",E41="",F41=""),"",IF(OR(C41="",D41="",E41="",F41=""),"Incompleto",IF(COUNTIFS($C$30:$C$65,C41,$E$30:$E$65,E41,$F$30:$F$65,F41)&gt;1,"Plano repetido",IF(AND(OR(H41="Mão",H41="Monopé",H41="Estabilizador"),OR(F41="PP",F41="Close",F41="Detalhe")),"Fechado na mão",IF(COUNTIFS($C$30:$C$65,C41,$I$30:$I$65,"Sim")=0,"Sem plano aberto","OK")))))</f>
        <v>Fechado na mão</v>
      </c>
      <c r="K41" s="27" t="str">
        <f aca="false">IF(J41="","",IF(J41="Incompleto","Preencha momento, câmera, assunto e plano",IF(J41="Plano repetido","Outra câmera tem o mesmo assunto e plano neste momento: mude o plano ou o assunto",IF(J41="Fechado na mão","Este suporte não sustenta plano fechado: abra o plano ou use tripé",IF(J41="Sem plano aberto","Nenhuma câmera em PG ou PC neste momento: abra uma delas","Manter")))))</f>
        <v>Este suporte não sustenta plano fechado: abra o plano ou use tripé</v>
      </c>
      <c r="L41" s="35"/>
    </row>
    <row r="42" customFormat="false" ht="21.75" hidden="false" customHeight="true" outlineLevel="0" collapsed="false">
      <c r="B42" s="21" t="n">
        <v>13</v>
      </c>
      <c r="C42" s="35" t="s">
        <v>372</v>
      </c>
      <c r="D42" s="37" t="n">
        <v>1</v>
      </c>
      <c r="E42" s="35" t="s">
        <v>374</v>
      </c>
      <c r="F42" s="37" t="s">
        <v>375</v>
      </c>
      <c r="G42" s="37" t="s">
        <v>376</v>
      </c>
      <c r="H42" s="25" t="str">
        <f aca="false">IF(D42="","",IFERROR(IF(VLOOKUP(D42,$B$10:$F$13,5,FALSE())&amp;""="","Sem suporte",VLOOKUP(D42,$B$10:$F$13,5,FALSE())&amp;""),"Câmera não listada"))</f>
        <v>Tripé fluido</v>
      </c>
      <c r="I42" s="25" t="str">
        <f aca="false">IF(F42="","",IF(OR(F42="PG",F42="PC"),"Sim","Não"))</f>
        <v>Sim</v>
      </c>
      <c r="J42" s="26" t="str">
        <f aca="false">IF(AND(C42="",D42="",E42="",F42=""),"",IF(OR(C42="",D42="",E42="",F42=""),"Incompleto",IF(COUNTIFS($C$30:$C$65,C42,$E$30:$E$65,E42,$F$30:$F$65,F42)&gt;1,"Plano repetido",IF(AND(OR(H42="Mão",H42="Monopé",H42="Estabilizador"),OR(F42="PP",F42="Close",F42="Detalhe")),"Fechado na mão",IF(COUNTIFS($C$30:$C$65,C42,$I$30:$I$65,"Sim")=0,"Sem plano aberto","OK")))))</f>
        <v>OK</v>
      </c>
      <c r="K42" s="27" t="str">
        <f aca="false">IF(J42="","",IF(J42="Incompleto","Preencha momento, câmera, assunto e plano",IF(J42="Plano repetido","Outra câmera tem o mesmo assunto e plano neste momento: mude o plano ou o assunto",IF(J42="Fechado na mão","Este suporte não sustenta plano fechado: abra o plano ou use tripé",IF(J42="Sem plano aberto","Nenhuma câmera em PG ou PC neste momento: abra uma delas","Manter")))))</f>
        <v>Manter</v>
      </c>
      <c r="L42" s="35"/>
    </row>
    <row r="43" customFormat="false" ht="21.75" hidden="false" customHeight="true" outlineLevel="0" collapsed="false">
      <c r="B43" s="21" t="n">
        <v>14</v>
      </c>
      <c r="C43" s="35" t="s">
        <v>372</v>
      </c>
      <c r="D43" s="37" t="n">
        <v>2</v>
      </c>
      <c r="E43" s="35" t="s">
        <v>136</v>
      </c>
      <c r="F43" s="37" t="s">
        <v>137</v>
      </c>
      <c r="G43" s="37" t="s">
        <v>376</v>
      </c>
      <c r="H43" s="25" t="str">
        <f aca="false">IF(D43="","",IFERROR(IF(VLOOKUP(D43,$B$10:$F$13,5,FALSE())&amp;""="","Sem suporte",VLOOKUP(D43,$B$10:$F$13,5,FALSE())&amp;""),"Câmera não listada"))</f>
        <v>Tripé fluido</v>
      </c>
      <c r="I43" s="25" t="str">
        <f aca="false">IF(F43="","",IF(OR(F43="PG",F43="PC"),"Sim","Não"))</f>
        <v>Não</v>
      </c>
      <c r="J43" s="26" t="str">
        <f aca="false">IF(AND(C43="",D43="",E43="",F43=""),"",IF(OR(C43="",D43="",E43="",F43=""),"Incompleto",IF(COUNTIFS($C$30:$C$65,C43,$E$30:$E$65,E43,$F$30:$F$65,F43)&gt;1,"Plano repetido",IF(AND(OR(H43="Mão",H43="Monopé",H43="Estabilizador"),OR(F43="PP",F43="Close",F43="Detalhe")),"Fechado na mão",IF(COUNTIFS($C$30:$C$65,C43,$I$30:$I$65,"Sim")=0,"Sem plano aberto","OK")))))</f>
        <v>OK</v>
      </c>
      <c r="K43" s="27" t="str">
        <f aca="false">IF(J43="","",IF(J43="Incompleto","Preencha momento, câmera, assunto e plano",IF(J43="Plano repetido","Outra câmera tem o mesmo assunto e plano neste momento: mude o plano ou o assunto",IF(J43="Fechado na mão","Este suporte não sustenta plano fechado: abra o plano ou use tripé",IF(J43="Sem plano aberto","Nenhuma câmera em PG ou PC neste momento: abra uma delas","Manter")))))</f>
        <v>Manter</v>
      </c>
      <c r="L43" s="35"/>
    </row>
    <row r="44" customFormat="false" ht="21.75" hidden="false" customHeight="true" outlineLevel="0" collapsed="false">
      <c r="B44" s="21" t="n">
        <v>15</v>
      </c>
      <c r="C44" s="35"/>
      <c r="D44" s="37"/>
      <c r="E44" s="35"/>
      <c r="F44" s="37"/>
      <c r="G44" s="37"/>
      <c r="H44" s="25" t="str">
        <f aca="false">IF(D44="","",IFERROR(IF(VLOOKUP(D44,$B$10:$F$13,5,FALSE())&amp;""="","Sem suporte",VLOOKUP(D44,$B$10:$F$13,5,FALSE())&amp;""),"Câmera não listada"))</f>
        <v/>
      </c>
      <c r="I44" s="25" t="str">
        <f aca="false">IF(F44="","",IF(OR(F44="PG",F44="PC"),"Sim","Não"))</f>
        <v/>
      </c>
      <c r="J44" s="26" t="str">
        <f aca="false">IF(AND(C44="",D44="",E44="",F44=""),"",IF(OR(C44="",D44="",E44="",F44=""),"Incompleto",IF(COUNTIFS($C$30:$C$65,C44,$E$30:$E$65,E44,$F$30:$F$65,F44)&gt;1,"Plano repetido",IF(AND(OR(H44="Mão",H44="Monopé",H44="Estabilizador"),OR(F44="PP",F44="Close",F44="Detalhe")),"Fechado na mão",IF(COUNTIFS($C$30:$C$65,C44,$I$30:$I$65,"Sim")=0,"Sem plano aberto","OK")))))</f>
        <v/>
      </c>
      <c r="K44" s="27" t="str">
        <f aca="false">IF(J44="","",IF(J44="Incompleto","Preencha momento, câmera, assunto e plano",IF(J44="Plano repetido","Outra câmera tem o mesmo assunto e plano neste momento: mude o plano ou o assunto",IF(J44="Fechado na mão","Este suporte não sustenta plano fechado: abra o plano ou use tripé",IF(J44="Sem plano aberto","Nenhuma câmera em PG ou PC neste momento: abra uma delas","Manter")))))</f>
        <v/>
      </c>
      <c r="L44" s="35"/>
    </row>
    <row r="45" customFormat="false" ht="21.75" hidden="false" customHeight="true" outlineLevel="0" collapsed="false">
      <c r="B45" s="21" t="n">
        <v>16</v>
      </c>
      <c r="C45" s="35"/>
      <c r="D45" s="37"/>
      <c r="E45" s="35"/>
      <c r="F45" s="37"/>
      <c r="G45" s="37"/>
      <c r="H45" s="25" t="str">
        <f aca="false">IF(D45="","",IFERROR(IF(VLOOKUP(D45,$B$10:$F$13,5,FALSE())&amp;""="","Sem suporte",VLOOKUP(D45,$B$10:$F$13,5,FALSE())&amp;""),"Câmera não listada"))</f>
        <v/>
      </c>
      <c r="I45" s="25" t="str">
        <f aca="false">IF(F45="","",IF(OR(F45="PG",F45="PC"),"Sim","Não"))</f>
        <v/>
      </c>
      <c r="J45" s="26" t="str">
        <f aca="false">IF(AND(C45="",D45="",E45="",F45=""),"",IF(OR(C45="",D45="",E45="",F45=""),"Incompleto",IF(COUNTIFS($C$30:$C$65,C45,$E$30:$E$65,E45,$F$30:$F$65,F45)&gt;1,"Plano repetido",IF(AND(OR(H45="Mão",H45="Monopé",H45="Estabilizador"),OR(F45="PP",F45="Close",F45="Detalhe")),"Fechado na mão",IF(COUNTIFS($C$30:$C$65,C45,$I$30:$I$65,"Sim")=0,"Sem plano aberto","OK")))))</f>
        <v/>
      </c>
      <c r="K45" s="27" t="str">
        <f aca="false">IF(J45="","",IF(J45="Incompleto","Preencha momento, câmera, assunto e plano",IF(J45="Plano repetido","Outra câmera tem o mesmo assunto e plano neste momento: mude o plano ou o assunto",IF(J45="Fechado na mão","Este suporte não sustenta plano fechado: abra o plano ou use tripé",IF(J45="Sem plano aberto","Nenhuma câmera em PG ou PC neste momento: abra uma delas","Manter")))))</f>
        <v/>
      </c>
      <c r="L45" s="35"/>
    </row>
    <row r="46" customFormat="false" ht="21.75" hidden="false" customHeight="true" outlineLevel="0" collapsed="false">
      <c r="B46" s="21" t="n">
        <v>17</v>
      </c>
      <c r="C46" s="35"/>
      <c r="D46" s="37"/>
      <c r="E46" s="35"/>
      <c r="F46" s="37"/>
      <c r="G46" s="37"/>
      <c r="H46" s="25" t="str">
        <f aca="false">IF(D46="","",IFERROR(IF(VLOOKUP(D46,$B$10:$F$13,5,FALSE())&amp;""="","Sem suporte",VLOOKUP(D46,$B$10:$F$13,5,FALSE())&amp;""),"Câmera não listada"))</f>
        <v/>
      </c>
      <c r="I46" s="25" t="str">
        <f aca="false">IF(F46="","",IF(OR(F46="PG",F46="PC"),"Sim","Não"))</f>
        <v/>
      </c>
      <c r="J46" s="26" t="str">
        <f aca="false">IF(AND(C46="",D46="",E46="",F46=""),"",IF(OR(C46="",D46="",E46="",F46=""),"Incompleto",IF(COUNTIFS($C$30:$C$65,C46,$E$30:$E$65,E46,$F$30:$F$65,F46)&gt;1,"Plano repetido",IF(AND(OR(H46="Mão",H46="Monopé",H46="Estabilizador"),OR(F46="PP",F46="Close",F46="Detalhe")),"Fechado na mão",IF(COUNTIFS($C$30:$C$65,C46,$I$30:$I$65,"Sim")=0,"Sem plano aberto","OK")))))</f>
        <v/>
      </c>
      <c r="K46" s="27" t="str">
        <f aca="false">IF(J46="","",IF(J46="Incompleto","Preencha momento, câmera, assunto e plano",IF(J46="Plano repetido","Outra câmera tem o mesmo assunto e plano neste momento: mude o plano ou o assunto",IF(J46="Fechado na mão","Este suporte não sustenta plano fechado: abra o plano ou use tripé",IF(J46="Sem plano aberto","Nenhuma câmera em PG ou PC neste momento: abra uma delas","Manter")))))</f>
        <v/>
      </c>
      <c r="L46" s="35"/>
    </row>
    <row r="47" customFormat="false" ht="21.75" hidden="false" customHeight="true" outlineLevel="0" collapsed="false">
      <c r="B47" s="21" t="n">
        <v>18</v>
      </c>
      <c r="C47" s="35"/>
      <c r="D47" s="37"/>
      <c r="E47" s="35"/>
      <c r="F47" s="37"/>
      <c r="G47" s="37"/>
      <c r="H47" s="25" t="str">
        <f aca="false">IF(D47="","",IFERROR(IF(VLOOKUP(D47,$B$10:$F$13,5,FALSE())&amp;""="","Sem suporte",VLOOKUP(D47,$B$10:$F$13,5,FALSE())&amp;""),"Câmera não listada"))</f>
        <v/>
      </c>
      <c r="I47" s="25" t="str">
        <f aca="false">IF(F47="","",IF(OR(F47="PG",F47="PC"),"Sim","Não"))</f>
        <v/>
      </c>
      <c r="J47" s="26" t="str">
        <f aca="false">IF(AND(C47="",D47="",E47="",F47=""),"",IF(OR(C47="",D47="",E47="",F47=""),"Incompleto",IF(COUNTIFS($C$30:$C$65,C47,$E$30:$E$65,E47,$F$30:$F$65,F47)&gt;1,"Plano repetido",IF(AND(OR(H47="Mão",H47="Monopé",H47="Estabilizador"),OR(F47="PP",F47="Close",F47="Detalhe")),"Fechado na mão",IF(COUNTIFS($C$30:$C$65,C47,$I$30:$I$65,"Sim")=0,"Sem plano aberto","OK")))))</f>
        <v/>
      </c>
      <c r="K47" s="27" t="str">
        <f aca="false">IF(J47="","",IF(J47="Incompleto","Preencha momento, câmera, assunto e plano",IF(J47="Plano repetido","Outra câmera tem o mesmo assunto e plano neste momento: mude o plano ou o assunto",IF(J47="Fechado na mão","Este suporte não sustenta plano fechado: abra o plano ou use tripé",IF(J47="Sem plano aberto","Nenhuma câmera em PG ou PC neste momento: abra uma delas","Manter")))))</f>
        <v/>
      </c>
      <c r="L47" s="35"/>
    </row>
    <row r="48" customFormat="false" ht="21.75" hidden="false" customHeight="true" outlineLevel="0" collapsed="false">
      <c r="B48" s="21" t="n">
        <v>19</v>
      </c>
      <c r="C48" s="35"/>
      <c r="D48" s="37"/>
      <c r="E48" s="35"/>
      <c r="F48" s="37"/>
      <c r="G48" s="37"/>
      <c r="H48" s="25" t="str">
        <f aca="false">IF(D48="","",IFERROR(IF(VLOOKUP(D48,$B$10:$F$13,5,FALSE())&amp;""="","Sem suporte",VLOOKUP(D48,$B$10:$F$13,5,FALSE())&amp;""),"Câmera não listada"))</f>
        <v/>
      </c>
      <c r="I48" s="25" t="str">
        <f aca="false">IF(F48="","",IF(OR(F48="PG",F48="PC"),"Sim","Não"))</f>
        <v/>
      </c>
      <c r="J48" s="26" t="str">
        <f aca="false">IF(AND(C48="",D48="",E48="",F48=""),"",IF(OR(C48="",D48="",E48="",F48=""),"Incompleto",IF(COUNTIFS($C$30:$C$65,C48,$E$30:$E$65,E48,$F$30:$F$65,F48)&gt;1,"Plano repetido",IF(AND(OR(H48="Mão",H48="Monopé",H48="Estabilizador"),OR(F48="PP",F48="Close",F48="Detalhe")),"Fechado na mão",IF(COUNTIFS($C$30:$C$65,C48,$I$30:$I$65,"Sim")=0,"Sem plano aberto","OK")))))</f>
        <v/>
      </c>
      <c r="K48" s="27" t="str">
        <f aca="false">IF(J48="","",IF(J48="Incompleto","Preencha momento, câmera, assunto e plano",IF(J48="Plano repetido","Outra câmera tem o mesmo assunto e plano neste momento: mude o plano ou o assunto",IF(J48="Fechado na mão","Este suporte não sustenta plano fechado: abra o plano ou use tripé",IF(J48="Sem plano aberto","Nenhuma câmera em PG ou PC neste momento: abra uma delas","Manter")))))</f>
        <v/>
      </c>
      <c r="L48" s="35"/>
    </row>
    <row r="49" customFormat="false" ht="21.75" hidden="false" customHeight="true" outlineLevel="0" collapsed="false">
      <c r="B49" s="21" t="n">
        <v>20</v>
      </c>
      <c r="C49" s="35"/>
      <c r="D49" s="37"/>
      <c r="E49" s="35"/>
      <c r="F49" s="37"/>
      <c r="G49" s="37"/>
      <c r="H49" s="25" t="str">
        <f aca="false">IF(D49="","",IFERROR(IF(VLOOKUP(D49,$B$10:$F$13,5,FALSE())&amp;""="","Sem suporte",VLOOKUP(D49,$B$10:$F$13,5,FALSE())&amp;""),"Câmera não listada"))</f>
        <v/>
      </c>
      <c r="I49" s="25" t="str">
        <f aca="false">IF(F49="","",IF(OR(F49="PG",F49="PC"),"Sim","Não"))</f>
        <v/>
      </c>
      <c r="J49" s="26" t="str">
        <f aca="false">IF(AND(C49="",D49="",E49="",F49=""),"",IF(OR(C49="",D49="",E49="",F49=""),"Incompleto",IF(COUNTIFS($C$30:$C$65,C49,$E$30:$E$65,E49,$F$30:$F$65,F49)&gt;1,"Plano repetido",IF(AND(OR(H49="Mão",H49="Monopé",H49="Estabilizador"),OR(F49="PP",F49="Close",F49="Detalhe")),"Fechado na mão",IF(COUNTIFS($C$30:$C$65,C49,$I$30:$I$65,"Sim")=0,"Sem plano aberto","OK")))))</f>
        <v/>
      </c>
      <c r="K49" s="27" t="str">
        <f aca="false">IF(J49="","",IF(J49="Incompleto","Preencha momento, câmera, assunto e plano",IF(J49="Plano repetido","Outra câmera tem o mesmo assunto e plano neste momento: mude o plano ou o assunto",IF(J49="Fechado na mão","Este suporte não sustenta plano fechado: abra o plano ou use tripé",IF(J49="Sem plano aberto","Nenhuma câmera em PG ou PC neste momento: abra uma delas","Manter")))))</f>
        <v/>
      </c>
      <c r="L49" s="35"/>
    </row>
    <row r="50" customFormat="false" ht="21.75" hidden="false" customHeight="true" outlineLevel="0" collapsed="false">
      <c r="B50" s="21" t="n">
        <v>21</v>
      </c>
      <c r="C50" s="35"/>
      <c r="D50" s="37"/>
      <c r="E50" s="35"/>
      <c r="F50" s="37"/>
      <c r="G50" s="37"/>
      <c r="H50" s="25" t="str">
        <f aca="false">IF(D50="","",IFERROR(IF(VLOOKUP(D50,$B$10:$F$13,5,FALSE())&amp;""="","Sem suporte",VLOOKUP(D50,$B$10:$F$13,5,FALSE())&amp;""),"Câmera não listada"))</f>
        <v/>
      </c>
      <c r="I50" s="25" t="str">
        <f aca="false">IF(F50="","",IF(OR(F50="PG",F50="PC"),"Sim","Não"))</f>
        <v/>
      </c>
      <c r="J50" s="26" t="str">
        <f aca="false">IF(AND(C50="",D50="",E50="",F50=""),"",IF(OR(C50="",D50="",E50="",F50=""),"Incompleto",IF(COUNTIFS($C$30:$C$65,C50,$E$30:$E$65,E50,$F$30:$F$65,F50)&gt;1,"Plano repetido",IF(AND(OR(H50="Mão",H50="Monopé",H50="Estabilizador"),OR(F50="PP",F50="Close",F50="Detalhe")),"Fechado na mão",IF(COUNTIFS($C$30:$C$65,C50,$I$30:$I$65,"Sim")=0,"Sem plano aberto","OK")))))</f>
        <v/>
      </c>
      <c r="K50" s="27" t="str">
        <f aca="false">IF(J50="","",IF(J50="Incompleto","Preencha momento, câmera, assunto e plano",IF(J50="Plano repetido","Outra câmera tem o mesmo assunto e plano neste momento: mude o plano ou o assunto",IF(J50="Fechado na mão","Este suporte não sustenta plano fechado: abra o plano ou use tripé",IF(J50="Sem plano aberto","Nenhuma câmera em PG ou PC neste momento: abra uma delas","Manter")))))</f>
        <v/>
      </c>
      <c r="L50" s="35"/>
    </row>
    <row r="51" customFormat="false" ht="21.75" hidden="false" customHeight="true" outlineLevel="0" collapsed="false">
      <c r="B51" s="21" t="n">
        <v>22</v>
      </c>
      <c r="C51" s="35"/>
      <c r="D51" s="37"/>
      <c r="E51" s="35"/>
      <c r="F51" s="37"/>
      <c r="G51" s="37"/>
      <c r="H51" s="25" t="str">
        <f aca="false">IF(D51="","",IFERROR(IF(VLOOKUP(D51,$B$10:$F$13,5,FALSE())&amp;""="","Sem suporte",VLOOKUP(D51,$B$10:$F$13,5,FALSE())&amp;""),"Câmera não listada"))</f>
        <v/>
      </c>
      <c r="I51" s="25" t="str">
        <f aca="false">IF(F51="","",IF(OR(F51="PG",F51="PC"),"Sim","Não"))</f>
        <v/>
      </c>
      <c r="J51" s="26" t="str">
        <f aca="false">IF(AND(C51="",D51="",E51="",F51=""),"",IF(OR(C51="",D51="",E51="",F51=""),"Incompleto",IF(COUNTIFS($C$30:$C$65,C51,$E$30:$E$65,E51,$F$30:$F$65,F51)&gt;1,"Plano repetido",IF(AND(OR(H51="Mão",H51="Monopé",H51="Estabilizador"),OR(F51="PP",F51="Close",F51="Detalhe")),"Fechado na mão",IF(COUNTIFS($C$30:$C$65,C51,$I$30:$I$65,"Sim")=0,"Sem plano aberto","OK")))))</f>
        <v/>
      </c>
      <c r="K51" s="27" t="str">
        <f aca="false">IF(J51="","",IF(J51="Incompleto","Preencha momento, câmera, assunto e plano",IF(J51="Plano repetido","Outra câmera tem o mesmo assunto e plano neste momento: mude o plano ou o assunto",IF(J51="Fechado na mão","Este suporte não sustenta plano fechado: abra o plano ou use tripé",IF(J51="Sem plano aberto","Nenhuma câmera em PG ou PC neste momento: abra uma delas","Manter")))))</f>
        <v/>
      </c>
      <c r="L51" s="35"/>
    </row>
    <row r="52" customFormat="false" ht="21.75" hidden="false" customHeight="true" outlineLevel="0" collapsed="false">
      <c r="B52" s="21" t="n">
        <v>23</v>
      </c>
      <c r="C52" s="35"/>
      <c r="D52" s="37"/>
      <c r="E52" s="35"/>
      <c r="F52" s="37"/>
      <c r="G52" s="37"/>
      <c r="H52" s="25" t="str">
        <f aca="false">IF(D52="","",IFERROR(IF(VLOOKUP(D52,$B$10:$F$13,5,FALSE())&amp;""="","Sem suporte",VLOOKUP(D52,$B$10:$F$13,5,FALSE())&amp;""),"Câmera não listada"))</f>
        <v/>
      </c>
      <c r="I52" s="25" t="str">
        <f aca="false">IF(F52="","",IF(OR(F52="PG",F52="PC"),"Sim","Não"))</f>
        <v/>
      </c>
      <c r="J52" s="26" t="str">
        <f aca="false">IF(AND(C52="",D52="",E52="",F52=""),"",IF(OR(C52="",D52="",E52="",F52=""),"Incompleto",IF(COUNTIFS($C$30:$C$65,C52,$E$30:$E$65,E52,$F$30:$F$65,F52)&gt;1,"Plano repetido",IF(AND(OR(H52="Mão",H52="Monopé",H52="Estabilizador"),OR(F52="PP",F52="Close",F52="Detalhe")),"Fechado na mão",IF(COUNTIFS($C$30:$C$65,C52,$I$30:$I$65,"Sim")=0,"Sem plano aberto","OK")))))</f>
        <v/>
      </c>
      <c r="K52" s="27" t="str">
        <f aca="false">IF(J52="","",IF(J52="Incompleto","Preencha momento, câmera, assunto e plano",IF(J52="Plano repetido","Outra câmera tem o mesmo assunto e plano neste momento: mude o plano ou o assunto",IF(J52="Fechado na mão","Este suporte não sustenta plano fechado: abra o plano ou use tripé",IF(J52="Sem plano aberto","Nenhuma câmera em PG ou PC neste momento: abra uma delas","Manter")))))</f>
        <v/>
      </c>
      <c r="L52" s="35"/>
    </row>
    <row r="53" customFormat="false" ht="21.75" hidden="false" customHeight="true" outlineLevel="0" collapsed="false">
      <c r="B53" s="21" t="n">
        <v>24</v>
      </c>
      <c r="C53" s="35"/>
      <c r="D53" s="37"/>
      <c r="E53" s="35"/>
      <c r="F53" s="37"/>
      <c r="G53" s="37"/>
      <c r="H53" s="25" t="str">
        <f aca="false">IF(D53="","",IFERROR(IF(VLOOKUP(D53,$B$10:$F$13,5,FALSE())&amp;""="","Sem suporte",VLOOKUP(D53,$B$10:$F$13,5,FALSE())&amp;""),"Câmera não listada"))</f>
        <v/>
      </c>
      <c r="I53" s="25" t="str">
        <f aca="false">IF(F53="","",IF(OR(F53="PG",F53="PC"),"Sim","Não"))</f>
        <v/>
      </c>
      <c r="J53" s="26" t="str">
        <f aca="false">IF(AND(C53="",D53="",E53="",F53=""),"",IF(OR(C53="",D53="",E53="",F53=""),"Incompleto",IF(COUNTIFS($C$30:$C$65,C53,$E$30:$E$65,E53,$F$30:$F$65,F53)&gt;1,"Plano repetido",IF(AND(OR(H53="Mão",H53="Monopé",H53="Estabilizador"),OR(F53="PP",F53="Close",F53="Detalhe")),"Fechado na mão",IF(COUNTIFS($C$30:$C$65,C53,$I$30:$I$65,"Sim")=0,"Sem plano aberto","OK")))))</f>
        <v/>
      </c>
      <c r="K53" s="27" t="str">
        <f aca="false">IF(J53="","",IF(J53="Incompleto","Preencha momento, câmera, assunto e plano",IF(J53="Plano repetido","Outra câmera tem o mesmo assunto e plano neste momento: mude o plano ou o assunto",IF(J53="Fechado na mão","Este suporte não sustenta plano fechado: abra o plano ou use tripé",IF(J53="Sem plano aberto","Nenhuma câmera em PG ou PC neste momento: abra uma delas","Manter")))))</f>
        <v/>
      </c>
      <c r="L53" s="35"/>
    </row>
    <row r="54" customFormat="false" ht="21.75" hidden="false" customHeight="true" outlineLevel="0" collapsed="false">
      <c r="B54" s="21" t="n">
        <v>25</v>
      </c>
      <c r="C54" s="35"/>
      <c r="D54" s="37"/>
      <c r="E54" s="35"/>
      <c r="F54" s="37"/>
      <c r="G54" s="37"/>
      <c r="H54" s="25" t="str">
        <f aca="false">IF(D54="","",IFERROR(IF(VLOOKUP(D54,$B$10:$F$13,5,FALSE())&amp;""="","Sem suporte",VLOOKUP(D54,$B$10:$F$13,5,FALSE())&amp;""),"Câmera não listada"))</f>
        <v/>
      </c>
      <c r="I54" s="25" t="str">
        <f aca="false">IF(F54="","",IF(OR(F54="PG",F54="PC"),"Sim","Não"))</f>
        <v/>
      </c>
      <c r="J54" s="26" t="str">
        <f aca="false">IF(AND(C54="",D54="",E54="",F54=""),"",IF(OR(C54="",D54="",E54="",F54=""),"Incompleto",IF(COUNTIFS($C$30:$C$65,C54,$E$30:$E$65,E54,$F$30:$F$65,F54)&gt;1,"Plano repetido",IF(AND(OR(H54="Mão",H54="Monopé",H54="Estabilizador"),OR(F54="PP",F54="Close",F54="Detalhe")),"Fechado na mão",IF(COUNTIFS($C$30:$C$65,C54,$I$30:$I$65,"Sim")=0,"Sem plano aberto","OK")))))</f>
        <v/>
      </c>
      <c r="K54" s="27" t="str">
        <f aca="false">IF(J54="","",IF(J54="Incompleto","Preencha momento, câmera, assunto e plano",IF(J54="Plano repetido","Outra câmera tem o mesmo assunto e plano neste momento: mude o plano ou o assunto",IF(J54="Fechado na mão","Este suporte não sustenta plano fechado: abra o plano ou use tripé",IF(J54="Sem plano aberto","Nenhuma câmera em PG ou PC neste momento: abra uma delas","Manter")))))</f>
        <v/>
      </c>
      <c r="L54" s="35"/>
    </row>
    <row r="55" customFormat="false" ht="21.75" hidden="false" customHeight="true" outlineLevel="0" collapsed="false">
      <c r="B55" s="21" t="n">
        <v>26</v>
      </c>
      <c r="C55" s="35"/>
      <c r="D55" s="37"/>
      <c r="E55" s="35"/>
      <c r="F55" s="37"/>
      <c r="G55" s="37"/>
      <c r="H55" s="25" t="str">
        <f aca="false">IF(D55="","",IFERROR(IF(VLOOKUP(D55,$B$10:$F$13,5,FALSE())&amp;""="","Sem suporte",VLOOKUP(D55,$B$10:$F$13,5,FALSE())&amp;""),"Câmera não listada"))</f>
        <v/>
      </c>
      <c r="I55" s="25" t="str">
        <f aca="false">IF(F55="","",IF(OR(F55="PG",F55="PC"),"Sim","Não"))</f>
        <v/>
      </c>
      <c r="J55" s="26" t="str">
        <f aca="false">IF(AND(C55="",D55="",E55="",F55=""),"",IF(OR(C55="",D55="",E55="",F55=""),"Incompleto",IF(COUNTIFS($C$30:$C$65,C55,$E$30:$E$65,E55,$F$30:$F$65,F55)&gt;1,"Plano repetido",IF(AND(OR(H55="Mão",H55="Monopé",H55="Estabilizador"),OR(F55="PP",F55="Close",F55="Detalhe")),"Fechado na mão",IF(COUNTIFS($C$30:$C$65,C55,$I$30:$I$65,"Sim")=0,"Sem plano aberto","OK")))))</f>
        <v/>
      </c>
      <c r="K55" s="27" t="str">
        <f aca="false">IF(J55="","",IF(J55="Incompleto","Preencha momento, câmera, assunto e plano",IF(J55="Plano repetido","Outra câmera tem o mesmo assunto e plano neste momento: mude o plano ou o assunto",IF(J55="Fechado na mão","Este suporte não sustenta plano fechado: abra o plano ou use tripé",IF(J55="Sem plano aberto","Nenhuma câmera em PG ou PC neste momento: abra uma delas","Manter")))))</f>
        <v/>
      </c>
      <c r="L55" s="35"/>
    </row>
    <row r="56" customFormat="false" ht="21.75" hidden="false" customHeight="true" outlineLevel="0" collapsed="false">
      <c r="B56" s="21" t="n">
        <v>27</v>
      </c>
      <c r="C56" s="35"/>
      <c r="D56" s="37"/>
      <c r="E56" s="35"/>
      <c r="F56" s="37"/>
      <c r="G56" s="37"/>
      <c r="H56" s="25" t="str">
        <f aca="false">IF(D56="","",IFERROR(IF(VLOOKUP(D56,$B$10:$F$13,5,FALSE())&amp;""="","Sem suporte",VLOOKUP(D56,$B$10:$F$13,5,FALSE())&amp;""),"Câmera não listada"))</f>
        <v/>
      </c>
      <c r="I56" s="25" t="str">
        <f aca="false">IF(F56="","",IF(OR(F56="PG",F56="PC"),"Sim","Não"))</f>
        <v/>
      </c>
      <c r="J56" s="26" t="str">
        <f aca="false">IF(AND(C56="",D56="",E56="",F56=""),"",IF(OR(C56="",D56="",E56="",F56=""),"Incompleto",IF(COUNTIFS($C$30:$C$65,C56,$E$30:$E$65,E56,$F$30:$F$65,F56)&gt;1,"Plano repetido",IF(AND(OR(H56="Mão",H56="Monopé",H56="Estabilizador"),OR(F56="PP",F56="Close",F56="Detalhe")),"Fechado na mão",IF(COUNTIFS($C$30:$C$65,C56,$I$30:$I$65,"Sim")=0,"Sem plano aberto","OK")))))</f>
        <v/>
      </c>
      <c r="K56" s="27" t="str">
        <f aca="false">IF(J56="","",IF(J56="Incompleto","Preencha momento, câmera, assunto e plano",IF(J56="Plano repetido","Outra câmera tem o mesmo assunto e plano neste momento: mude o plano ou o assunto",IF(J56="Fechado na mão","Este suporte não sustenta plano fechado: abra o plano ou use tripé",IF(J56="Sem plano aberto","Nenhuma câmera em PG ou PC neste momento: abra uma delas","Manter")))))</f>
        <v/>
      </c>
      <c r="L56" s="35"/>
    </row>
    <row r="57" customFormat="false" ht="21.75" hidden="false" customHeight="true" outlineLevel="0" collapsed="false">
      <c r="B57" s="21" t="n">
        <v>28</v>
      </c>
      <c r="C57" s="35"/>
      <c r="D57" s="37"/>
      <c r="E57" s="35"/>
      <c r="F57" s="37"/>
      <c r="G57" s="37"/>
      <c r="H57" s="25" t="str">
        <f aca="false">IF(D57="","",IFERROR(IF(VLOOKUP(D57,$B$10:$F$13,5,FALSE())&amp;""="","Sem suporte",VLOOKUP(D57,$B$10:$F$13,5,FALSE())&amp;""),"Câmera não listada"))</f>
        <v/>
      </c>
      <c r="I57" s="25" t="str">
        <f aca="false">IF(F57="","",IF(OR(F57="PG",F57="PC"),"Sim","Não"))</f>
        <v/>
      </c>
      <c r="J57" s="26" t="str">
        <f aca="false">IF(AND(C57="",D57="",E57="",F57=""),"",IF(OR(C57="",D57="",E57="",F57=""),"Incompleto",IF(COUNTIFS($C$30:$C$65,C57,$E$30:$E$65,E57,$F$30:$F$65,F57)&gt;1,"Plano repetido",IF(AND(OR(H57="Mão",H57="Monopé",H57="Estabilizador"),OR(F57="PP",F57="Close",F57="Detalhe")),"Fechado na mão",IF(COUNTIFS($C$30:$C$65,C57,$I$30:$I$65,"Sim")=0,"Sem plano aberto","OK")))))</f>
        <v/>
      </c>
      <c r="K57" s="27" t="str">
        <f aca="false">IF(J57="","",IF(J57="Incompleto","Preencha momento, câmera, assunto e plano",IF(J57="Plano repetido","Outra câmera tem o mesmo assunto e plano neste momento: mude o plano ou o assunto",IF(J57="Fechado na mão","Este suporte não sustenta plano fechado: abra o plano ou use tripé",IF(J57="Sem plano aberto","Nenhuma câmera em PG ou PC neste momento: abra uma delas","Manter")))))</f>
        <v/>
      </c>
      <c r="L57" s="35"/>
    </row>
    <row r="58" customFormat="false" ht="21.75" hidden="false" customHeight="true" outlineLevel="0" collapsed="false">
      <c r="B58" s="21" t="n">
        <v>29</v>
      </c>
      <c r="C58" s="35"/>
      <c r="D58" s="37"/>
      <c r="E58" s="35"/>
      <c r="F58" s="37"/>
      <c r="G58" s="37"/>
      <c r="H58" s="25" t="str">
        <f aca="false">IF(D58="","",IFERROR(IF(VLOOKUP(D58,$B$10:$F$13,5,FALSE())&amp;""="","Sem suporte",VLOOKUP(D58,$B$10:$F$13,5,FALSE())&amp;""),"Câmera não listada"))</f>
        <v/>
      </c>
      <c r="I58" s="25" t="str">
        <f aca="false">IF(F58="","",IF(OR(F58="PG",F58="PC"),"Sim","Não"))</f>
        <v/>
      </c>
      <c r="J58" s="26" t="str">
        <f aca="false">IF(AND(C58="",D58="",E58="",F58=""),"",IF(OR(C58="",D58="",E58="",F58=""),"Incompleto",IF(COUNTIFS($C$30:$C$65,C58,$E$30:$E$65,E58,$F$30:$F$65,F58)&gt;1,"Plano repetido",IF(AND(OR(H58="Mão",H58="Monopé",H58="Estabilizador"),OR(F58="PP",F58="Close",F58="Detalhe")),"Fechado na mão",IF(COUNTIFS($C$30:$C$65,C58,$I$30:$I$65,"Sim")=0,"Sem plano aberto","OK")))))</f>
        <v/>
      </c>
      <c r="K58" s="27" t="str">
        <f aca="false">IF(J58="","",IF(J58="Incompleto","Preencha momento, câmera, assunto e plano",IF(J58="Plano repetido","Outra câmera tem o mesmo assunto e plano neste momento: mude o plano ou o assunto",IF(J58="Fechado na mão","Este suporte não sustenta plano fechado: abra o plano ou use tripé",IF(J58="Sem plano aberto","Nenhuma câmera em PG ou PC neste momento: abra uma delas","Manter")))))</f>
        <v/>
      </c>
      <c r="L58" s="35"/>
    </row>
    <row r="59" customFormat="false" ht="21.75" hidden="false" customHeight="true" outlineLevel="0" collapsed="false">
      <c r="B59" s="21" t="n">
        <v>30</v>
      </c>
      <c r="C59" s="35"/>
      <c r="D59" s="37"/>
      <c r="E59" s="35"/>
      <c r="F59" s="37"/>
      <c r="G59" s="37"/>
      <c r="H59" s="25" t="str">
        <f aca="false">IF(D59="","",IFERROR(IF(VLOOKUP(D59,$B$10:$F$13,5,FALSE())&amp;""="","Sem suporte",VLOOKUP(D59,$B$10:$F$13,5,FALSE())&amp;""),"Câmera não listada"))</f>
        <v/>
      </c>
      <c r="I59" s="25" t="str">
        <f aca="false">IF(F59="","",IF(OR(F59="PG",F59="PC"),"Sim","Não"))</f>
        <v/>
      </c>
      <c r="J59" s="26" t="str">
        <f aca="false">IF(AND(C59="",D59="",E59="",F59=""),"",IF(OR(C59="",D59="",E59="",F59=""),"Incompleto",IF(COUNTIFS($C$30:$C$65,C59,$E$30:$E$65,E59,$F$30:$F$65,F59)&gt;1,"Plano repetido",IF(AND(OR(H59="Mão",H59="Monopé",H59="Estabilizador"),OR(F59="PP",F59="Close",F59="Detalhe")),"Fechado na mão",IF(COUNTIFS($C$30:$C$65,C59,$I$30:$I$65,"Sim")=0,"Sem plano aberto","OK")))))</f>
        <v/>
      </c>
      <c r="K59" s="27" t="str">
        <f aca="false">IF(J59="","",IF(J59="Incompleto","Preencha momento, câmera, assunto e plano",IF(J59="Plano repetido","Outra câmera tem o mesmo assunto e plano neste momento: mude o plano ou o assunto",IF(J59="Fechado na mão","Este suporte não sustenta plano fechado: abra o plano ou use tripé",IF(J59="Sem plano aberto","Nenhuma câmera em PG ou PC neste momento: abra uma delas","Manter")))))</f>
        <v/>
      </c>
      <c r="L59" s="35"/>
    </row>
    <row r="60" customFormat="false" ht="21.75" hidden="false" customHeight="true" outlineLevel="0" collapsed="false">
      <c r="B60" s="21" t="n">
        <v>31</v>
      </c>
      <c r="C60" s="35"/>
      <c r="D60" s="37"/>
      <c r="E60" s="35"/>
      <c r="F60" s="37"/>
      <c r="G60" s="37"/>
      <c r="H60" s="25" t="str">
        <f aca="false">IF(D60="","",IFERROR(IF(VLOOKUP(D60,$B$10:$F$13,5,FALSE())&amp;""="","Sem suporte",VLOOKUP(D60,$B$10:$F$13,5,FALSE())&amp;""),"Câmera não listada"))</f>
        <v/>
      </c>
      <c r="I60" s="25" t="str">
        <f aca="false">IF(F60="","",IF(OR(F60="PG",F60="PC"),"Sim","Não"))</f>
        <v/>
      </c>
      <c r="J60" s="26" t="str">
        <f aca="false">IF(AND(C60="",D60="",E60="",F60=""),"",IF(OR(C60="",D60="",E60="",F60=""),"Incompleto",IF(COUNTIFS($C$30:$C$65,C60,$E$30:$E$65,E60,$F$30:$F$65,F60)&gt;1,"Plano repetido",IF(AND(OR(H60="Mão",H60="Monopé",H60="Estabilizador"),OR(F60="PP",F60="Close",F60="Detalhe")),"Fechado na mão",IF(COUNTIFS($C$30:$C$65,C60,$I$30:$I$65,"Sim")=0,"Sem plano aberto","OK")))))</f>
        <v/>
      </c>
      <c r="K60" s="27" t="str">
        <f aca="false">IF(J60="","",IF(J60="Incompleto","Preencha momento, câmera, assunto e plano",IF(J60="Plano repetido","Outra câmera tem o mesmo assunto e plano neste momento: mude o plano ou o assunto",IF(J60="Fechado na mão","Este suporte não sustenta plano fechado: abra o plano ou use tripé",IF(J60="Sem plano aberto","Nenhuma câmera em PG ou PC neste momento: abra uma delas","Manter")))))</f>
        <v/>
      </c>
      <c r="L60" s="35"/>
    </row>
    <row r="61" customFormat="false" ht="21.75" hidden="false" customHeight="true" outlineLevel="0" collapsed="false">
      <c r="B61" s="21" t="n">
        <v>32</v>
      </c>
      <c r="C61" s="35"/>
      <c r="D61" s="37"/>
      <c r="E61" s="35"/>
      <c r="F61" s="37"/>
      <c r="G61" s="37"/>
      <c r="H61" s="25" t="str">
        <f aca="false">IF(D61="","",IFERROR(IF(VLOOKUP(D61,$B$10:$F$13,5,FALSE())&amp;""="","Sem suporte",VLOOKUP(D61,$B$10:$F$13,5,FALSE())&amp;""),"Câmera não listada"))</f>
        <v/>
      </c>
      <c r="I61" s="25" t="str">
        <f aca="false">IF(F61="","",IF(OR(F61="PG",F61="PC"),"Sim","Não"))</f>
        <v/>
      </c>
      <c r="J61" s="26" t="str">
        <f aca="false">IF(AND(C61="",D61="",E61="",F61=""),"",IF(OR(C61="",D61="",E61="",F61=""),"Incompleto",IF(COUNTIFS($C$30:$C$65,C61,$E$30:$E$65,E61,$F$30:$F$65,F61)&gt;1,"Plano repetido",IF(AND(OR(H61="Mão",H61="Monopé",H61="Estabilizador"),OR(F61="PP",F61="Close",F61="Detalhe")),"Fechado na mão",IF(COUNTIFS($C$30:$C$65,C61,$I$30:$I$65,"Sim")=0,"Sem plano aberto","OK")))))</f>
        <v/>
      </c>
      <c r="K61" s="27" t="str">
        <f aca="false">IF(J61="","",IF(J61="Incompleto","Preencha momento, câmera, assunto e plano",IF(J61="Plano repetido","Outra câmera tem o mesmo assunto e plano neste momento: mude o plano ou o assunto",IF(J61="Fechado na mão","Este suporte não sustenta plano fechado: abra o plano ou use tripé",IF(J61="Sem plano aberto","Nenhuma câmera em PG ou PC neste momento: abra uma delas","Manter")))))</f>
        <v/>
      </c>
      <c r="L61" s="35"/>
    </row>
    <row r="62" customFormat="false" ht="21.75" hidden="false" customHeight="true" outlineLevel="0" collapsed="false">
      <c r="B62" s="21" t="n">
        <v>33</v>
      </c>
      <c r="C62" s="35"/>
      <c r="D62" s="37"/>
      <c r="E62" s="35"/>
      <c r="F62" s="37"/>
      <c r="G62" s="37"/>
      <c r="H62" s="25" t="str">
        <f aca="false">IF(D62="","",IFERROR(IF(VLOOKUP(D62,$B$10:$F$13,5,FALSE())&amp;""="","Sem suporte",VLOOKUP(D62,$B$10:$F$13,5,FALSE())&amp;""),"Câmera não listada"))</f>
        <v/>
      </c>
      <c r="I62" s="25" t="str">
        <f aca="false">IF(F62="","",IF(OR(F62="PG",F62="PC"),"Sim","Não"))</f>
        <v/>
      </c>
      <c r="J62" s="26" t="str">
        <f aca="false">IF(AND(C62="",D62="",E62="",F62=""),"",IF(OR(C62="",D62="",E62="",F62=""),"Incompleto",IF(COUNTIFS($C$30:$C$65,C62,$E$30:$E$65,E62,$F$30:$F$65,F62)&gt;1,"Plano repetido",IF(AND(OR(H62="Mão",H62="Monopé",H62="Estabilizador"),OR(F62="PP",F62="Close",F62="Detalhe")),"Fechado na mão",IF(COUNTIFS($C$30:$C$65,C62,$I$30:$I$65,"Sim")=0,"Sem plano aberto","OK")))))</f>
        <v/>
      </c>
      <c r="K62" s="27" t="str">
        <f aca="false">IF(J62="","",IF(J62="Incompleto","Preencha momento, câmera, assunto e plano",IF(J62="Plano repetido","Outra câmera tem o mesmo assunto e plano neste momento: mude o plano ou o assunto",IF(J62="Fechado na mão","Este suporte não sustenta plano fechado: abra o plano ou use tripé",IF(J62="Sem plano aberto","Nenhuma câmera em PG ou PC neste momento: abra uma delas","Manter")))))</f>
        <v/>
      </c>
      <c r="L62" s="35"/>
    </row>
    <row r="63" customFormat="false" ht="21.75" hidden="false" customHeight="true" outlineLevel="0" collapsed="false">
      <c r="B63" s="21" t="n">
        <v>34</v>
      </c>
      <c r="C63" s="35"/>
      <c r="D63" s="37"/>
      <c r="E63" s="35"/>
      <c r="F63" s="37"/>
      <c r="G63" s="37"/>
      <c r="H63" s="25" t="str">
        <f aca="false">IF(D63="","",IFERROR(IF(VLOOKUP(D63,$B$10:$F$13,5,FALSE())&amp;""="","Sem suporte",VLOOKUP(D63,$B$10:$F$13,5,FALSE())&amp;""),"Câmera não listada"))</f>
        <v/>
      </c>
      <c r="I63" s="25" t="str">
        <f aca="false">IF(F63="","",IF(OR(F63="PG",F63="PC"),"Sim","Não"))</f>
        <v/>
      </c>
      <c r="J63" s="26" t="str">
        <f aca="false">IF(AND(C63="",D63="",E63="",F63=""),"",IF(OR(C63="",D63="",E63="",F63=""),"Incompleto",IF(COUNTIFS($C$30:$C$65,C63,$E$30:$E$65,E63,$F$30:$F$65,F63)&gt;1,"Plano repetido",IF(AND(OR(H63="Mão",H63="Monopé",H63="Estabilizador"),OR(F63="PP",F63="Close",F63="Detalhe")),"Fechado na mão",IF(COUNTIFS($C$30:$C$65,C63,$I$30:$I$65,"Sim")=0,"Sem plano aberto","OK")))))</f>
        <v/>
      </c>
      <c r="K63" s="27" t="str">
        <f aca="false">IF(J63="","",IF(J63="Incompleto","Preencha momento, câmera, assunto e plano",IF(J63="Plano repetido","Outra câmera tem o mesmo assunto e plano neste momento: mude o plano ou o assunto",IF(J63="Fechado na mão","Este suporte não sustenta plano fechado: abra o plano ou use tripé",IF(J63="Sem plano aberto","Nenhuma câmera em PG ou PC neste momento: abra uma delas","Manter")))))</f>
        <v/>
      </c>
      <c r="L63" s="35"/>
    </row>
    <row r="64" customFormat="false" ht="21.75" hidden="false" customHeight="true" outlineLevel="0" collapsed="false">
      <c r="B64" s="21" t="n">
        <v>35</v>
      </c>
      <c r="C64" s="35"/>
      <c r="D64" s="37"/>
      <c r="E64" s="35"/>
      <c r="F64" s="37"/>
      <c r="G64" s="37"/>
      <c r="H64" s="25" t="str">
        <f aca="false">IF(D64="","",IFERROR(IF(VLOOKUP(D64,$B$10:$F$13,5,FALSE())&amp;""="","Sem suporte",VLOOKUP(D64,$B$10:$F$13,5,FALSE())&amp;""),"Câmera não listada"))</f>
        <v/>
      </c>
      <c r="I64" s="25" t="str">
        <f aca="false">IF(F64="","",IF(OR(F64="PG",F64="PC"),"Sim","Não"))</f>
        <v/>
      </c>
      <c r="J64" s="26" t="str">
        <f aca="false">IF(AND(C64="",D64="",E64="",F64=""),"",IF(OR(C64="",D64="",E64="",F64=""),"Incompleto",IF(COUNTIFS($C$30:$C$65,C64,$E$30:$E$65,E64,$F$30:$F$65,F64)&gt;1,"Plano repetido",IF(AND(OR(H64="Mão",H64="Monopé",H64="Estabilizador"),OR(F64="PP",F64="Close",F64="Detalhe")),"Fechado na mão",IF(COUNTIFS($C$30:$C$65,C64,$I$30:$I$65,"Sim")=0,"Sem plano aberto","OK")))))</f>
        <v/>
      </c>
      <c r="K64" s="27" t="str">
        <f aca="false">IF(J64="","",IF(J64="Incompleto","Preencha momento, câmera, assunto e plano",IF(J64="Plano repetido","Outra câmera tem o mesmo assunto e plano neste momento: mude o plano ou o assunto",IF(J64="Fechado na mão","Este suporte não sustenta plano fechado: abra o plano ou use tripé",IF(J64="Sem plano aberto","Nenhuma câmera em PG ou PC neste momento: abra uma delas","Manter")))))</f>
        <v/>
      </c>
      <c r="L64" s="35"/>
    </row>
    <row r="65" customFormat="false" ht="21.75" hidden="false" customHeight="true" outlineLevel="0" collapsed="false">
      <c r="B65" s="21" t="n">
        <v>36</v>
      </c>
      <c r="C65" s="35"/>
      <c r="D65" s="37"/>
      <c r="E65" s="35"/>
      <c r="F65" s="37"/>
      <c r="G65" s="37"/>
      <c r="H65" s="25" t="str">
        <f aca="false">IF(D65="","",IFERROR(IF(VLOOKUP(D65,$B$10:$F$13,5,FALSE())&amp;""="","Sem suporte",VLOOKUP(D65,$B$10:$F$13,5,FALSE())&amp;""),"Câmera não listada"))</f>
        <v/>
      </c>
      <c r="I65" s="25" t="str">
        <f aca="false">IF(F65="","",IF(OR(F65="PG",F65="PC"),"Sim","Não"))</f>
        <v/>
      </c>
      <c r="J65" s="26" t="str">
        <f aca="false">IF(AND(C65="",D65="",E65="",F65=""),"",IF(OR(C65="",D65="",E65="",F65=""),"Incompleto",IF(COUNTIFS($C$30:$C$65,C65,$E$30:$E$65,E65,$F$30:$F$65,F65)&gt;1,"Plano repetido",IF(AND(OR(H65="Mão",H65="Monopé",H65="Estabilizador"),OR(F65="PP",F65="Close",F65="Detalhe")),"Fechado na mão",IF(COUNTIFS($C$30:$C$65,C65,$I$30:$I$65,"Sim")=0,"Sem plano aberto","OK")))))</f>
        <v/>
      </c>
      <c r="K65" s="27" t="str">
        <f aca="false">IF(J65="","",IF(J65="Incompleto","Preencha momento, câmera, assunto e plano",IF(J65="Plano repetido","Outra câmera tem o mesmo assunto e plano neste momento: mude o plano ou o assunto",IF(J65="Fechado na mão","Este suporte não sustenta plano fechado: abra o plano ou use tripé",IF(J65="Sem plano aberto","Nenhuma câmera em PG ou PC neste momento: abra uma delas","Manter")))))</f>
        <v/>
      </c>
      <c r="L65" s="35"/>
    </row>
    <row r="67" customFormat="false" ht="21.75" hidden="false" customHeight="true" outlineLevel="0" collapsed="false">
      <c r="B67" s="14" t="s">
        <v>104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</row>
    <row r="68" customFormat="false" ht="19.5" hidden="false" customHeight="true" outlineLevel="0" collapsed="false">
      <c r="B68" s="28" t="s">
        <v>116</v>
      </c>
      <c r="C68" s="28"/>
      <c r="D68" s="28"/>
      <c r="E68" s="28"/>
      <c r="F68" s="8" t="n">
        <f aca="false">COUNTA(F30:F65)</f>
        <v>14</v>
      </c>
    </row>
    <row r="69" customFormat="false" ht="19.5" hidden="false" customHeight="true" outlineLevel="0" collapsed="false">
      <c r="B69" s="28" t="s">
        <v>140</v>
      </c>
      <c r="C69" s="28"/>
      <c r="D69" s="28"/>
      <c r="E69" s="28"/>
      <c r="F69" s="8" t="n">
        <f aca="false">COUNTIF($J$30:$J$65,"OK")</f>
        <v>8</v>
      </c>
    </row>
    <row r="70" customFormat="false" ht="19.5" hidden="false" customHeight="true" outlineLevel="0" collapsed="false">
      <c r="B70" s="28" t="s">
        <v>141</v>
      </c>
      <c r="C70" s="28"/>
      <c r="D70" s="28"/>
      <c r="E70" s="28"/>
      <c r="F70" s="8" t="n">
        <f aca="false">COUNTIF($J$30:$J$65,"Plano repetido")</f>
        <v>4</v>
      </c>
    </row>
    <row r="71" customFormat="false" ht="19.5" hidden="false" customHeight="true" outlineLevel="0" collapsed="false">
      <c r="B71" s="28" t="s">
        <v>142</v>
      </c>
      <c r="C71" s="28"/>
      <c r="D71" s="28"/>
      <c r="E71" s="28"/>
      <c r="F71" s="8" t="n">
        <f aca="false">COUNTIF($J$30:$J$65,"Fechado na mão")</f>
        <v>2</v>
      </c>
    </row>
    <row r="72" customFormat="false" ht="19.5" hidden="false" customHeight="true" outlineLevel="0" collapsed="false">
      <c r="B72" s="28" t="s">
        <v>143</v>
      </c>
      <c r="C72" s="28"/>
      <c r="D72" s="28"/>
      <c r="E72" s="28"/>
      <c r="F72" s="8" t="n">
        <f aca="false">COUNTA(F30:F65)-COUNTIF($J$30:$J$65,"OK")</f>
        <v>6</v>
      </c>
    </row>
    <row r="73" customFormat="false" ht="19.5" hidden="false" customHeight="true" outlineLevel="0" collapsed="false">
      <c r="B73" s="28" t="s">
        <v>144</v>
      </c>
      <c r="C73" s="28"/>
      <c r="D73" s="28"/>
      <c r="E73" s="28"/>
      <c r="F73" s="8" t="n">
        <f aca="false">COUNTIF(I17:I24,"Sem plano aberto")</f>
        <v>2</v>
      </c>
    </row>
    <row r="74" customFormat="false" ht="21.75" hidden="false" customHeight="true" outlineLevel="0" collapsed="false">
      <c r="B74" s="28" t="s">
        <v>110</v>
      </c>
      <c r="C74" s="28"/>
      <c r="D74" s="28"/>
      <c r="E74" s="28"/>
      <c r="F74" s="29" t="str">
        <f aca="false">IF(F68=0,"Preencha a lista de planos",IF(COUNTIF($J$30:$J$65,"Incompleto")&gt;0,"Há linha incompleta",IF(F73&gt;0,"Há momento sem plano aberto: o diretor fica sem plano de segurança",IF(F70&gt;0,"Há planos repetidos: não dão corte",IF(F71&gt;0,"Há plano fechado em suporte de mão","OK")))))</f>
        <v>Há momento sem plano aberto: o diretor fica sem plano de segurança</v>
      </c>
      <c r="G74" s="29"/>
      <c r="H74" s="29"/>
      <c r="I74" s="29"/>
      <c r="J74" s="29"/>
      <c r="K74" s="29"/>
      <c r="L74" s="29"/>
    </row>
    <row r="76" customFormat="false" ht="21.75" hidden="false" customHeight="true" outlineLevel="0" collapsed="false">
      <c r="B76" s="14" t="s">
        <v>386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</row>
    <row r="77" customFormat="false" ht="21.75" hidden="false" customHeight="true" outlineLevel="0" collapsed="false">
      <c r="B77" s="8" t="s">
        <v>387</v>
      </c>
      <c r="C77" s="8"/>
      <c r="D77" s="8"/>
      <c r="E77" s="8" t="s">
        <v>388</v>
      </c>
      <c r="F77" s="8"/>
      <c r="G77" s="8"/>
      <c r="H77" s="8"/>
      <c r="I77" s="8" t="s">
        <v>389</v>
      </c>
      <c r="J77" s="8"/>
      <c r="K77" s="8"/>
      <c r="L77" s="8"/>
    </row>
    <row r="78" customFormat="false" ht="21.75" hidden="false" customHeight="true" outlineLevel="0" collapsed="false">
      <c r="B78" s="4" t="s">
        <v>390</v>
      </c>
      <c r="C78" s="4"/>
      <c r="D78" s="4"/>
      <c r="E78" s="7" t="s">
        <v>391</v>
      </c>
      <c r="F78" s="7"/>
      <c r="G78" s="7"/>
      <c r="H78" s="7"/>
      <c r="I78" s="7" t="s">
        <v>392</v>
      </c>
      <c r="J78" s="7"/>
      <c r="K78" s="7"/>
      <c r="L78" s="7"/>
    </row>
    <row r="79" customFormat="false" ht="21.75" hidden="false" customHeight="true" outlineLevel="0" collapsed="false">
      <c r="B79" s="4" t="s">
        <v>393</v>
      </c>
      <c r="C79" s="4"/>
      <c r="D79" s="4"/>
      <c r="E79" s="7" t="s">
        <v>394</v>
      </c>
      <c r="F79" s="7"/>
      <c r="G79" s="7"/>
      <c r="H79" s="7"/>
      <c r="I79" s="7" t="s">
        <v>395</v>
      </c>
      <c r="J79" s="7"/>
      <c r="K79" s="7"/>
      <c r="L79" s="7"/>
    </row>
    <row r="80" customFormat="false" ht="21.75" hidden="false" customHeight="true" outlineLevel="0" collapsed="false">
      <c r="B80" s="4" t="s">
        <v>396</v>
      </c>
      <c r="C80" s="4"/>
      <c r="D80" s="4"/>
      <c r="E80" s="7" t="s">
        <v>397</v>
      </c>
      <c r="F80" s="7"/>
      <c r="G80" s="7"/>
      <c r="H80" s="7"/>
      <c r="I80" s="7" t="s">
        <v>398</v>
      </c>
      <c r="J80" s="7"/>
      <c r="K80" s="7"/>
      <c r="L80" s="7"/>
    </row>
    <row r="81" customFormat="false" ht="21.75" hidden="false" customHeight="true" outlineLevel="0" collapsed="false">
      <c r="B81" s="4" t="s">
        <v>399</v>
      </c>
      <c r="C81" s="4"/>
      <c r="D81" s="4"/>
      <c r="E81" s="7" t="s">
        <v>400</v>
      </c>
      <c r="F81" s="7"/>
      <c r="G81" s="7"/>
      <c r="H81" s="7"/>
      <c r="I81" s="7" t="s">
        <v>401</v>
      </c>
      <c r="J81" s="7"/>
      <c r="K81" s="7"/>
      <c r="L81" s="7"/>
    </row>
    <row r="82" customFormat="false" ht="21.75" hidden="false" customHeight="true" outlineLevel="0" collapsed="false">
      <c r="B82" s="4" t="s">
        <v>402</v>
      </c>
      <c r="C82" s="4"/>
      <c r="D82" s="4"/>
      <c r="E82" s="7" t="s">
        <v>403</v>
      </c>
      <c r="F82" s="7"/>
      <c r="G82" s="7"/>
      <c r="H82" s="7"/>
      <c r="I82" s="7" t="s">
        <v>404</v>
      </c>
      <c r="J82" s="7"/>
      <c r="K82" s="7"/>
      <c r="L82" s="7"/>
    </row>
  </sheetData>
  <mergeCells count="88">
    <mergeCell ref="B1:L1"/>
    <mergeCell ref="B2:L2"/>
    <mergeCell ref="B4:C4"/>
    <mergeCell ref="D4:G4"/>
    <mergeCell ref="H4:L6"/>
    <mergeCell ref="B5:C5"/>
    <mergeCell ref="D5:G5"/>
    <mergeCell ref="B6:C6"/>
    <mergeCell ref="D6:G6"/>
    <mergeCell ref="B8:L8"/>
    <mergeCell ref="C9:E9"/>
    <mergeCell ref="F9:G9"/>
    <mergeCell ref="H9:I9"/>
    <mergeCell ref="K9:L9"/>
    <mergeCell ref="C10:E10"/>
    <mergeCell ref="F10:G10"/>
    <mergeCell ref="H10:I10"/>
    <mergeCell ref="K10:L10"/>
    <mergeCell ref="C11:E11"/>
    <mergeCell ref="F11:G11"/>
    <mergeCell ref="H11:I11"/>
    <mergeCell ref="K11:L11"/>
    <mergeCell ref="C12:E12"/>
    <mergeCell ref="F12:G12"/>
    <mergeCell ref="H12:I12"/>
    <mergeCell ref="K12:L12"/>
    <mergeCell ref="C13:E13"/>
    <mergeCell ref="F13:G13"/>
    <mergeCell ref="H13:I13"/>
    <mergeCell ref="K13:L13"/>
    <mergeCell ref="B15:L15"/>
    <mergeCell ref="C16:E16"/>
    <mergeCell ref="I16:J16"/>
    <mergeCell ref="K16:L16"/>
    <mergeCell ref="C17:E17"/>
    <mergeCell ref="I17:J17"/>
    <mergeCell ref="K17:L17"/>
    <mergeCell ref="C18:E18"/>
    <mergeCell ref="I18:J18"/>
    <mergeCell ref="K18:L18"/>
    <mergeCell ref="C19:E19"/>
    <mergeCell ref="I19:J19"/>
    <mergeCell ref="K19:L19"/>
    <mergeCell ref="C20:E20"/>
    <mergeCell ref="I20:J20"/>
    <mergeCell ref="K20:L20"/>
    <mergeCell ref="C21:E21"/>
    <mergeCell ref="I21:J21"/>
    <mergeCell ref="K21:L21"/>
    <mergeCell ref="C22:E22"/>
    <mergeCell ref="I22:J22"/>
    <mergeCell ref="K22:L22"/>
    <mergeCell ref="C23:E23"/>
    <mergeCell ref="I23:J23"/>
    <mergeCell ref="K23:L23"/>
    <mergeCell ref="C24:E24"/>
    <mergeCell ref="I24:J24"/>
    <mergeCell ref="K24:L24"/>
    <mergeCell ref="B26:L26"/>
    <mergeCell ref="B29:L29"/>
    <mergeCell ref="B67:L67"/>
    <mergeCell ref="B68:E68"/>
    <mergeCell ref="B69:E69"/>
    <mergeCell ref="B70:E70"/>
    <mergeCell ref="B71:E71"/>
    <mergeCell ref="B72:E72"/>
    <mergeCell ref="B73:E73"/>
    <mergeCell ref="B74:E74"/>
    <mergeCell ref="F74:L74"/>
    <mergeCell ref="B76:L76"/>
    <mergeCell ref="B77:D77"/>
    <mergeCell ref="E77:H77"/>
    <mergeCell ref="I77:L77"/>
    <mergeCell ref="B78:D78"/>
    <mergeCell ref="E78:H78"/>
    <mergeCell ref="I78:L78"/>
    <mergeCell ref="B79:D79"/>
    <mergeCell ref="E79:H79"/>
    <mergeCell ref="I79:L79"/>
    <mergeCell ref="B80:D80"/>
    <mergeCell ref="E80:H80"/>
    <mergeCell ref="I80:L80"/>
    <mergeCell ref="B81:D81"/>
    <mergeCell ref="E81:H81"/>
    <mergeCell ref="I81:L81"/>
    <mergeCell ref="B82:D82"/>
    <mergeCell ref="E82:H82"/>
    <mergeCell ref="I82:L82"/>
  </mergeCells>
  <conditionalFormatting sqref="I17:I2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"Sem planos"</formula>
    </cfRule>
    <cfRule type="cellIs" priority="4" operator="equal" aboveAverage="0" equalAverage="0" bottom="0" percent="0" rank="0" text="" dxfId="2">
      <formula>"Plano repetido"</formula>
    </cfRule>
    <cfRule type="cellIs" priority="5" operator="equal" aboveAverage="0" equalAverage="0" bottom="0" percent="0" rank="0" text="" dxfId="2">
      <formula>"Sem plano aberto"</formula>
    </cfRule>
  </conditionalFormatting>
  <conditionalFormatting sqref="J30:J65">
    <cfRule type="cellIs" priority="6" operator="equal" aboveAverage="0" equalAverage="0" bottom="0" percent="0" rank="0" text="" dxfId="0">
      <formula>"OK"</formula>
    </cfRule>
    <cfRule type="cellIs" priority="7" operator="equal" aboveAverage="0" equalAverage="0" bottom="0" percent="0" rank="0" text="" dxfId="1">
      <formula>"Incompleto"</formula>
    </cfRule>
    <cfRule type="cellIs" priority="8" operator="equal" aboveAverage="0" equalAverage="0" bottom="0" percent="0" rank="0" text="" dxfId="1">
      <formula>"Sem plano aberto"</formula>
    </cfRule>
    <cfRule type="cellIs" priority="9" operator="equal" aboveAverage="0" equalAverage="0" bottom="0" percent="0" rank="0" text="" dxfId="1">
      <formula>"Fechado na mão"</formula>
    </cfRule>
    <cfRule type="cellIs" priority="10" operator="equal" aboveAverage="0" equalAverage="0" bottom="0" percent="0" rank="0" text="" dxfId="2">
      <formula>"Plano repetido"</formula>
    </cfRule>
  </conditionalFormatting>
  <conditionalFormatting sqref="F74:L74">
    <cfRule type="cellIs" priority="11" operator="equal" aboveAverage="0" equalAverage="0" bottom="0" percent="0" rank="0" text="" dxfId="0">
      <formula>"OK"</formula>
    </cfRule>
    <cfRule type="cellIs" priority="12" operator="notEqual" aboveAverage="0" equalAverage="0" bottom="0" percent="0" rank="0" text="" dxfId="1">
      <formula>"OK"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5" type="date">
      <formula1>36526</formula1>
      <formula2>0</formula2>
    </dataValidation>
    <dataValidation allowBlank="true" error="Escolha uma das opções da lista." errorStyle="stop" errorTitle="Valor inválido" operator="between" prompt="Tipo de suporte da câmera." promptTitle="Opções" showDropDown="false" showErrorMessage="true" showInputMessage="true" sqref="F10:F13" type="list">
      <formula1>"Tripé fluido,Tripé foto,Monopé,Mão,Estabilizador,PTZ"</formula1>
      <formula2>0</formula2>
    </dataValidation>
    <dataValidation allowBlank="true" error="Escolha um dos momentos listados no alto da aba." errorStyle="stop" errorTitle="Valor inválido" operator="between" prompt="Um dos momentos listados no alto da aba." promptTitle="Opções" showDropDown="false" showErrorMessage="true" showInputMessage="true" sqref="C30:C65" type="list">
      <formula1>$C$17:$C$24</formula1>
      <formula2>0</formula2>
    </dataValidation>
    <dataValidation allowBlank="true" error="Escolha uma das opções da lista." errorStyle="stop" errorTitle="Valor inválido" operator="between" prompt="Número da câmera, de 1 a 4." promptTitle="Opções" showDropDown="false" showErrorMessage="true" showInputMessage="true" sqref="D30:D65" type="list">
      <formula1>"1,2,3,4"</formula1>
      <formula2>0</formula2>
    </dataValidation>
    <dataValidation allowBlank="true" error="Escolha uma das opções da lista." errorStyle="stop" errorTitle="Valor inválido" operator="between" prompt="PG, PC, PA, PM, PP, Close ou Detalhe." promptTitle="Opções" showDropDown="false" showErrorMessage="true" showInputMessage="true" sqref="F30:F65" type="list">
      <formula1>"PG,PC,PA,PM,PP,Close,Detalhe"</formula1>
      <formula2>0</formula2>
    </dataValidation>
    <dataValidation allowBlank="true" error="Escolha uma das opções da lista." errorStyle="stop" errorTitle="Valor inválido" operator="between" prompt="Fixo, Pan, Tilt, Zoom, Travelling ou Acompanha." promptTitle="Opções" showDropDown="false" showErrorMessage="true" showInputMessage="true" sqref="G30:G65" type="list">
      <formula1>"Fixo,Pan,Tilt,Zoom,Travelling,Acompanha"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2026-10-01T12:59:24Z</dcterms:created>
  <dc:creator>Estudos: Técnico em áudio e vídeo</dc:creator>
  <dc:description/>
  <dc:language>pt-BR</dc:language>
  <cp:lastModifiedBy/>
  <dcterms:modified xsi:type="dcterms:W3CDTF">2026-10-01T12:59:25Z</dcterms:modified>
  <cp:revision>0</cp:revision>
  <dc:subject/>
  <dc:title>Enquadramento e movimento — modelo de plano de câmeras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