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truções" sheetId="1" state="visible" r:id="rId3"/>
    <sheet name="Ring-out" sheetId="2" state="visible" r:id="rId4"/>
    <sheet name="Ocorrências" sheetId="3" state="visible" r:id="rId5"/>
    <sheet name="Margem" sheetId="4" state="visible" r:id="rId6"/>
    <sheet name="Referência" sheetId="5" state="visible" r:id="rId7"/>
    <sheet name="Checklist" sheetId="6" state="visible" r:id="rId8"/>
    <sheet name="Exemplo - Ring-out" sheetId="7" state="visible" r:id="rId9"/>
  </sheets>
  <definedNames>
    <definedName function="false" hidden="false" localSheetId="5" name="_xlnm.Print_Area" vbProcedure="false">Checklist!$B$1:$F$20</definedName>
    <definedName function="false" hidden="false" localSheetId="6" name="_xlnm.Print_Area" vbProcedure="false">'Exemplo - Ring-out'!$B$1:$N$72</definedName>
    <definedName function="false" hidden="false" localSheetId="0" name="_xlnm.Print_Area" vbProcedure="false">Instruções!$B$1:$C$38</definedName>
    <definedName function="false" hidden="false" localSheetId="3" name="_xlnm.Print_Area" vbProcedure="false">Margem!$B$1:$H$35</definedName>
    <definedName function="false" hidden="false" localSheetId="2" name="_xlnm.Print_Area" vbProcedure="false">Ocorrências!$B$1:$O$46</definedName>
    <definedName function="false" hidden="false" localSheetId="4" name="_xlnm.Print_Area" vbProcedure="false">Referência!$B$1:$E$56</definedName>
    <definedName function="false" hidden="false" localSheetId="1" name="_xlnm.Print_Area" vbProcedure="false">'Ring-out'!$B$1:$N$66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C11" authorId="0">
      <text>
        <r>
          <rPr>
            <sz val="10"/>
            <rFont val="Arial"/>
            <family val="2"/>
          </rPr>
          <t xml:space="preserve">Nome único de cada saída (retorno 1, frente...).
A tabela de cortes usa esse nome para somar os cortes de cada saída.</t>
        </r>
      </text>
    </comment>
    <comment ref="F11" authorId="0">
      <text>
        <r>
          <rPr>
            <sz val="10"/>
            <rFont val="Arial"/>
            <family val="2"/>
          </rPr>
          <t xml:space="preserve">Posição do master da saída, em dB, quando a primeira nota começou a soar, antes de qualquer corte.</t>
        </r>
      </text>
    </comment>
    <comment ref="G11" authorId="0">
      <text>
        <r>
          <rPr>
            <sz val="10"/>
            <rFont val="Arial"/>
            <family val="2"/>
          </rPr>
          <t xml:space="preserve">O mesmo ponto, medido de novo depois dos cortes.</t>
        </r>
      </text>
    </comment>
    <comment ref="G24" authorId="0">
      <text>
        <r>
          <rPr>
            <sz val="10"/>
            <rFont val="Arial"/>
            <family val="2"/>
          </rPr>
          <t xml:space="preserve">Largura do filtro no equalizador paramétrico. Quanto maior, mais estreito.
No gráfico, deixe em branco: cada controle tem cerca de 1/3 de oitava.</t>
        </r>
      </text>
    </comment>
    <comment ref="H11" authorId="0">
      <text>
        <r>
          <rPr>
            <sz val="10"/>
            <rFont val="Arial"/>
            <family val="2"/>
          </rPr>
          <t xml:space="preserve">Posição do master em que a saída vai trabalhar no evento.</t>
        </r>
      </text>
    </comment>
    <comment ref="J24" authorId="0">
      <text>
        <r>
          <rPr>
            <sz val="10"/>
            <rFont val="Arial"/>
            <family val="2"/>
          </rPr>
          <t xml:space="preserve">Largura aproximada do corte, em oitavas, calculada pelo Q (no gráfico, 1/3 de oitava).</t>
        </r>
      </text>
    </comment>
    <comment ref="K11" authorId="0">
      <text>
        <r>
          <rPr>
            <sz val="10"/>
            <rFont val="Arial"/>
            <family val="2"/>
          </rPr>
          <t xml:space="preserve">Distância entre o ponto do apito (depois dos cortes) e o nível de operação.
Regra prática: pelo menos 6 dB.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G5" authorId="0">
      <text>
        <r>
          <rPr>
            <sz val="10"/>
            <rFont val="Arial"/>
            <family val="2"/>
          </rPr>
          <t xml:space="preserve">Grave: ronco. Médio-grave: uivo. Médio: buzina, som de cano. Médio-agudo: apito claro. Agudo: silvo fino.</t>
        </r>
      </text>
    </comment>
    <comment ref="I5" authorId="0">
      <text>
        <r>
          <rPr>
            <sz val="10"/>
            <rFont val="Arial"/>
            <family val="2"/>
          </rPr>
          <t xml:space="preserve">A causa que você encontrou. Se não deu para saber, escolha Não identificada.</t>
        </r>
      </text>
    </comment>
  </commentList>
</comments>
</file>

<file path=xl/sharedStrings.xml><?xml version="1.0" encoding="utf-8"?>
<sst xmlns="http://schemas.openxmlformats.org/spreadsheetml/2006/main" count="518" uniqueCount="347">
  <si>
    <t xml:space="preserve">Microfonia — como usar esta planilha</t>
  </si>
  <si>
    <t xml:space="preserve">Registro do ring-out, diagnóstico dos apitos e estimativa da margem, para usar na montagem e depois do evento.</t>
  </si>
  <si>
    <t xml:space="preserve">Legenda: onde preencher</t>
  </si>
  <si>
    <t xml:space="preserve">Amarelo-claro</t>
  </si>
  <si>
    <t xml:space="preserve">Células de entrada. É aqui que você digita.</t>
  </si>
  <si>
    <t xml:space="preserve">Cinza</t>
  </si>
  <si>
    <t xml:space="preserve">Células calculadas ou fixas (rótulos, contas, avisos). Não altere.</t>
  </si>
  <si>
    <t xml:space="preserve">Cinza em itálico</t>
  </si>
  <si>
    <t xml:space="preserve">Linha de exemplo (marcada com “Ex.”) e dicas de preenchimento. Não entram nas contas.</t>
  </si>
  <si>
    <t xml:space="preserve">Listas suspensas</t>
  </si>
  <si>
    <t xml:space="preserve">Tipo de saída, equalizador, saída do corte, som do apito, causa e Sim / Não aceitam só as opções da lista.</t>
  </si>
  <si>
    <t xml:space="preserve">Números</t>
  </si>
  <si>
    <t xml:space="preserve">Digite só o número, com o sinal de menos quando houver: -6, e não “-6 dB”. Frequência em Hz: 2500, e não 2,5k.</t>
  </si>
  <si>
    <t xml:space="preserve">Comentários</t>
  </si>
  <si>
    <t xml:space="preserve">Células com triângulo vermelho no canto trazem uma dica. Passe o mouse sobre elas.</t>
  </si>
  <si>
    <t xml:space="preserve">Ordem de preenchimento</t>
  </si>
  <si>
    <t xml:space="preserve">1</t>
  </si>
  <si>
    <t xml:space="preserve">Antes do ring-out: posição das caixas, microfones perto da fonte e ganho pelo medidor (módulo 4 do treinamento).</t>
  </si>
  <si>
    <t xml:space="preserve">2</t>
  </si>
  <si>
    <t xml:space="preserve">Aba Ring-out: preencha o cabeçalho, confira os quatro parâmetros e liste as saídas, com nomes únicos.</t>
  </si>
  <si>
    <t xml:space="preserve">3</t>
  </si>
  <si>
    <t xml:space="preserve">Para cada saída: anote o nível do primeiro apito antes dos cortes. Registre cada corte na tabela de baixo.</t>
  </si>
  <si>
    <t xml:space="preserve">4</t>
  </si>
  <si>
    <t xml:space="preserve">Anote o apito depois dos cortes e o nível de operação. Veja a margem, a situação e o que fazer.</t>
  </si>
  <si>
    <t xml:space="preserve">5</t>
  </si>
  <si>
    <t xml:space="preserve">Aba Margem: com a margem do ring-out, estime a margem em cada momento do evento pelos microfones abertos.</t>
  </si>
  <si>
    <t xml:space="preserve">6</t>
  </si>
  <si>
    <t xml:space="preserve">Aba Checklist: confira os doze itens antes da passagem de som.</t>
  </si>
  <si>
    <t xml:space="preserve">7</t>
  </si>
  <si>
    <t xml:space="preserve">Depois do evento, aba Ocorrências: anote cada apito, a causa e o que foi feito. Aplique a medida definitiva.</t>
  </si>
  <si>
    <t xml:space="preserve">Abas da planilha</t>
  </si>
  <si>
    <t xml:space="preserve">Ring-out</t>
  </si>
  <si>
    <t xml:space="preserve">Até 8 saídas e 30 cortes, com ganho obtido, margem, situação de cada saída e de cada corte.</t>
  </si>
  <si>
    <t xml:space="preserve">Ocorrências</t>
  </si>
  <si>
    <t xml:space="preserve">Até 20 apitos, com a medida definitiva sugerida para cada causa e a contagem por causa.</t>
  </si>
  <si>
    <t xml:space="preserve">Margem</t>
  </si>
  <si>
    <t xml:space="preserve">Margem estimada por microfones abertos em cada momento do evento, e calculadora de distância.</t>
  </si>
  <si>
    <t xml:space="preserve">Referência</t>
  </si>
  <si>
    <t xml:space="preserve">Faixas do apito, Q e largura, microfones abertos, medidas, posição do retorno e causas.</t>
  </si>
  <si>
    <t xml:space="preserve">Checklist</t>
  </si>
  <si>
    <t xml:space="preserve">Os doze itens do treinamento, com percentual atendido.</t>
  </si>
  <si>
    <t xml:space="preserve">Exemplo - Ring-out</t>
  </si>
  <si>
    <t xml:space="preserve">O ring-out de um culto com três saídas e nove cortes (exemplo 1 do treinamento).</t>
  </si>
  <si>
    <t xml:space="preserve">Regras e premissas do modelo</t>
  </si>
  <si>
    <t xml:space="preserve">Níveis</t>
  </si>
  <si>
    <t xml:space="preserve">Os níveis da aba Ring-out são a posição do master de cada saída, em dB. Use sempre o mesmo controle para medir e para operar.</t>
  </si>
  <si>
    <t xml:space="preserve">Apito depois dos cortes menos o nível de operação. Sem margem: abaixo de 3 dB. Margem curta: abaixo da margem mínima (6 dB).</t>
  </si>
  <si>
    <t xml:space="preserve">Cortes</t>
  </si>
  <si>
    <t xml:space="preserve">Corte fundo: além do corte mais fundo aceito (−9 dB). Corte largo: Q abaixo do mínimo (4). Realce: valor positivo.</t>
  </si>
  <si>
    <t xml:space="preserve">Largura</t>
  </si>
  <si>
    <t xml:space="preserve">Largura em oitavas calculada pelo Q do paramétrico. No gráfico de 31 bandas, cerca de 1/3 de oitava.</t>
  </si>
  <si>
    <t xml:space="preserve">Microfones abertos</t>
  </si>
  <si>
    <t xml:space="preserve">Cada vez que o número dobra, a margem cai cerca de 3 dB (10 × log da razão). É uma estimativa, e não uma medida.</t>
  </si>
  <si>
    <t xml:space="preserve">Distância</t>
  </si>
  <si>
    <t xml:space="preserve">Metade da distância: +6 dB (20 × log da razão). Na caixa, o valor cheio só aparece ao ar livre.</t>
  </si>
  <si>
    <t xml:space="preserve">Exemplos</t>
  </si>
  <si>
    <t xml:space="preserve">Os dados do exemplo são ilustrativos, criados para este material. As regras são práticas, e não norma.</t>
  </si>
  <si>
    <t xml:space="preserve">Ring-out — registro por saída e por corte</t>
  </si>
  <si>
    <t xml:space="preserve">Preencha as células em amarelo-claro durante o ring-out. As células cinza são calculadas.</t>
  </si>
  <si>
    <t xml:space="preserve">Evento ou sistema</t>
  </si>
  <si>
    <t xml:space="preserve">Margem mínima (dB)</t>
  </si>
  <si>
    <t xml:space="preserve">Regra prática: pelo menos 6 dB entre a operação e o primeiro apito.</t>
  </si>
  <si>
    <t xml:space="preserve">Local</t>
  </si>
  <si>
    <t xml:space="preserve">Corte mais fundo aceito (dB)</t>
  </si>
  <si>
    <t xml:space="preserve">Corte além disso indica problema de posição, e não de equalização.</t>
  </si>
  <si>
    <t xml:space="preserve">Data</t>
  </si>
  <si>
    <t xml:space="preserve">Q mínimo do corte</t>
  </si>
  <si>
    <t xml:space="preserve">Q perto de 4 = 1/3 de oitava. Corte de microfonia: Q de 5 a 10.</t>
  </si>
  <si>
    <t xml:space="preserve">Operador</t>
  </si>
  <si>
    <t xml:space="preserve">Máximo de cortes por saída</t>
  </si>
  <si>
    <t xml:space="preserve">Mais cortes que isso deixam o som oco.</t>
  </si>
  <si>
    <t xml:space="preserve">Mesa e equalizador</t>
  </si>
  <si>
    <t xml:space="preserve">Níveis em dB, na posição do master de cada saída. O ponto de apito é onde a primeira nota começa a soar.</t>
  </si>
  <si>
    <t xml:space="preserve">Saídas: nível do primeiro apito e nível de operação</t>
  </si>
  <si>
    <t xml:space="preserve">#</t>
  </si>
  <si>
    <t xml:space="preserve">Saída</t>
  </si>
  <si>
    <t xml:space="preserve">Tipo</t>
  </si>
  <si>
    <t xml:space="preserve">Apito antes dos cortes</t>
  </si>
  <si>
    <t xml:space="preserve">Apito depois dos cortes</t>
  </si>
  <si>
    <t xml:space="preserve">Nível de operação</t>
  </si>
  <si>
    <t xml:space="preserve">Ganho obtido</t>
  </si>
  <si>
    <t xml:space="preserve">Situação</t>
  </si>
  <si>
    <t xml:space="preserve">O que fazer</t>
  </si>
  <si>
    <t xml:space="preserve">Observação</t>
  </si>
  <si>
    <t xml:space="preserve">nome único</t>
  </si>
  <si>
    <t xml:space="preserve">no ring-out</t>
  </si>
  <si>
    <t xml:space="preserve">dB</t>
  </si>
  <si>
    <t xml:space="preserve">na tabela abaixo</t>
  </si>
  <si>
    <t xml:space="preserve">depois − antes</t>
  </si>
  <si>
    <t xml:space="preserve">apito − operação</t>
  </si>
  <si>
    <t xml:space="preserve">Ex.</t>
  </si>
  <si>
    <t xml:space="preserve">Retorno da cantora</t>
  </si>
  <si>
    <t xml:space="preserve">Retorno</t>
  </si>
  <si>
    <t xml:space="preserve">OK</t>
  </si>
  <si>
    <t xml:space="preserve">Manter</t>
  </si>
  <si>
    <t xml:space="preserve">Cortes de equalizador, na ordem em que foram feitos</t>
  </si>
  <si>
    <t xml:space="preserve">Ordem na saída</t>
  </si>
  <si>
    <t xml:space="preserve">Frequência</t>
  </si>
  <si>
    <t xml:space="preserve">Corte</t>
  </si>
  <si>
    <t xml:space="preserve">Q</t>
  </si>
  <si>
    <t xml:space="preserve">Equalizador</t>
  </si>
  <si>
    <t xml:space="preserve">Faixa</t>
  </si>
  <si>
    <t xml:space="preserve">da lista</t>
  </si>
  <si>
    <t xml:space="preserve">Hz</t>
  </si>
  <si>
    <t xml:space="preserve">dB, negativo</t>
  </si>
  <si>
    <t xml:space="preserve">no paramétrico</t>
  </si>
  <si>
    <t xml:space="preserve">pelo som</t>
  </si>
  <si>
    <t xml:space="preserve">oitava</t>
  </si>
  <si>
    <t xml:space="preserve">Hz, aprox.</t>
  </si>
  <si>
    <t xml:space="preserve">Paramétrico</t>
  </si>
  <si>
    <t xml:space="preserve">Médio-agudo</t>
  </si>
  <si>
    <t xml:space="preserve">Resumo automático</t>
  </si>
  <si>
    <t xml:space="preserve">Saídas registradas</t>
  </si>
  <si>
    <t xml:space="preserve">Saídas OK</t>
  </si>
  <si>
    <t xml:space="preserve">Saídas sem margem ou com margem curta</t>
  </si>
  <si>
    <t xml:space="preserve">Menor margem (dB)</t>
  </si>
  <si>
    <t xml:space="preserve">Cortes registrados</t>
  </si>
  <si>
    <t xml:space="preserve">Cortes a rever</t>
  </si>
  <si>
    <t xml:space="preserve">Aviso</t>
  </si>
  <si>
    <t xml:space="preserve">Margem mínima, corte mais fundo, Q mínimo e número de cortes são regras práticas deste material, e não norma. Troque no alto da aba.</t>
  </si>
  <si>
    <t xml:space="preserve">Ocorrências — diagnóstico de cada apito durante os eventos</t>
  </si>
  <si>
    <t xml:space="preserve">Anote cada apito logo depois do evento: o que aconteceu, a causa e o que foi feito na hora. A medida definitiva é sugerida.</t>
  </si>
  <si>
    <t xml:space="preserve">Registro de ocorrências</t>
  </si>
  <si>
    <t xml:space="preserve">Momento do evento</t>
  </si>
  <si>
    <t xml:space="preserve">Canal</t>
  </si>
  <si>
    <t xml:space="preserve">Som do apito</t>
  </si>
  <si>
    <t xml:space="preserve">Causa</t>
  </si>
  <si>
    <t xml:space="preserve">Medida na hora</t>
  </si>
  <si>
    <t xml:space="preserve">Resolvido?</t>
  </si>
  <si>
    <t xml:space="preserve">Faixa pela frequência</t>
  </si>
  <si>
    <t xml:space="preserve">Medida definitiva sugerida</t>
  </si>
  <si>
    <t xml:space="preserve">dd/mm/aaaa</t>
  </si>
  <si>
    <t xml:space="preserve">pelo ouvido</t>
  </si>
  <si>
    <t xml:space="preserve">Hz, se medida</t>
  </si>
  <si>
    <t xml:space="preserve">Sim / Não</t>
  </si>
  <si>
    <t xml:space="preserve">Pregação</t>
  </si>
  <si>
    <t xml:space="preserve">Frente</t>
  </si>
  <si>
    <t xml:space="preserve">Pastor (púlpito)</t>
  </si>
  <si>
    <t xml:space="preserve">Microfones abertos sem uso</t>
  </si>
  <si>
    <t xml:space="preserve">Fader do pastor −3 dB; mute nos microfones da banda</t>
  </si>
  <si>
    <t xml:space="preserve">Sim</t>
  </si>
  <si>
    <t xml:space="preserve">Mute em tudo o que não está em uso; criar grupos de mute por momento do evento.</t>
  </si>
  <si>
    <t xml:space="preserve">Resolvida</t>
  </si>
  <si>
    <t xml:space="preserve">A linha Ex. reproduz o exemplo 3 do treinamento.</t>
  </si>
  <si>
    <t xml:space="preserve">Ocorrências por causa</t>
  </si>
  <si>
    <t xml:space="preserve">Caixa mal posicionada</t>
  </si>
  <si>
    <t xml:space="preserve">Microfone longe da fonte</t>
  </si>
  <si>
    <t xml:space="preserve">Mão na cápsula</t>
  </si>
  <si>
    <t xml:space="preserve">Microfone virado para a caixa</t>
  </si>
  <si>
    <t xml:space="preserve">Retorno alto</t>
  </si>
  <si>
    <t xml:space="preserve">Volume da sala alto</t>
  </si>
  <si>
    <t xml:space="preserve">Realce de EQ ou compressor</t>
  </si>
  <si>
    <t xml:space="preserve">Pessoa na frente da caixa</t>
  </si>
  <si>
    <t xml:space="preserve">Sala reflexiva</t>
  </si>
  <si>
    <t xml:space="preserve">Não identificada</t>
  </si>
  <si>
    <t xml:space="preserve">Ocorrências registradas</t>
  </si>
  <si>
    <t xml:space="preserve">Abertas</t>
  </si>
  <si>
    <t xml:space="preserve">Causa mais frequente</t>
  </si>
  <si>
    <t xml:space="preserve">Margem — microfones abertos e distância</t>
  </si>
  <si>
    <t xml:space="preserve">Estimativa da margem antes da microfonia em cada momento do evento, e calculadora de distância.</t>
  </si>
  <si>
    <t xml:space="preserve">Ponto de partida: o ring-out</t>
  </si>
  <si>
    <t xml:space="preserve">Margem medida no ring-out (dB)</t>
  </si>
  <si>
    <t xml:space="preserve">Da aba Ring-out: apito depois dos cortes menos o nível de operação.</t>
  </si>
  <si>
    <t xml:space="preserve">Microfones abertos no ring-out</t>
  </si>
  <si>
    <t xml:space="preserve">Quantos microfones estavam abertos quando a margem foi medida.</t>
  </si>
  <si>
    <t xml:space="preserve">Regra prática: 6 dB.</t>
  </si>
  <si>
    <t xml:space="preserve">Máximo de microfones abertos com a margem mínima</t>
  </si>
  <si>
    <t xml:space="preserve">Regra: cada vez que o número de microfones abertos dobra, a margem cai cerca de 3 dB.</t>
  </si>
  <si>
    <t xml:space="preserve">Margem em cada momento do evento</t>
  </si>
  <si>
    <t xml:space="preserve">Mudança da margem</t>
  </si>
  <si>
    <t xml:space="preserve">Margem estimada</t>
  </si>
  <si>
    <t xml:space="preserve">ao mesmo tempo</t>
  </si>
  <si>
    <t xml:space="preserve">Pregação com a banda aberta (ring-out: 7 dB com 2)</t>
  </si>
  <si>
    <t xml:space="preserve">Sem margem</t>
  </si>
  <si>
    <t xml:space="preserve">Feche microfones sem uso: com a margem mínima, até 2 abertos</t>
  </si>
  <si>
    <t xml:space="preserve">Calculadora de distância</t>
  </si>
  <si>
    <t xml:space="preserve">Fonte–microfone</t>
  </si>
  <si>
    <t xml:space="preserve">Distância atual da boca ao microfone (cm)</t>
  </si>
  <si>
    <t xml:space="preserve">Positivo: a voz chega mais forte, e o sistema precisa amplificar menos. Essa diferença vira margem.</t>
  </si>
  <si>
    <t xml:space="preserve">Nova distância (cm)</t>
  </si>
  <si>
    <t xml:space="preserve">Mudança na voz captada (dB)</t>
  </si>
  <si>
    <t xml:space="preserve">Caixa–microfone</t>
  </si>
  <si>
    <t xml:space="preserve">Distância atual da caixa ao microfone (m)</t>
  </si>
  <si>
    <t xml:space="preserve">Valor ao ar livre. Em sala reflexiva, o som volta pelas paredes, e o ganho real é menor.</t>
  </si>
  <si>
    <t xml:space="preserve">Nova distância (m)</t>
  </si>
  <si>
    <t xml:space="preserve">Ganho de margem, no máximo (dB)</t>
  </si>
  <si>
    <t xml:space="preserve">Estimativas pela lei do inverso do quadrado e pela regra dos 3 dB por dobro de microfones abertos. A medida real vem do ring-out.</t>
  </si>
  <si>
    <t xml:space="preserve">Referência — microfonia</t>
  </si>
  <si>
    <t xml:space="preserve">Valores de referência, para servir de ponto de partida. Confira o manual do seu equipamento.</t>
  </si>
  <si>
    <t xml:space="preserve">Faixas do apito</t>
  </si>
  <si>
    <t xml:space="preserve">Como soa</t>
  </si>
  <si>
    <t xml:space="preserve">Onde costuma aparecer</t>
  </si>
  <si>
    <t xml:space="preserve">Grave</t>
  </si>
  <si>
    <t xml:space="preserve">até 250 Hz</t>
  </si>
  <si>
    <t xml:space="preserve">ronco</t>
  </si>
  <si>
    <t xml:space="preserve">Lapela, microfone de violão ou de bumbo, microfone perto do subwoofer. Ligue o filtro passa-altas.</t>
  </si>
  <si>
    <t xml:space="preserve">Médio-grave</t>
  </si>
  <si>
    <t xml:space="preserve">250 a 500 Hz</t>
  </si>
  <si>
    <t xml:space="preserve">uivo, embolado</t>
  </si>
  <si>
    <t xml:space="preserve">Púlpito e coral captados de longe, sala reverberante, caixa atrás de quem fala.</t>
  </si>
  <si>
    <t xml:space="preserve">Médio</t>
  </si>
  <si>
    <t xml:space="preserve">500 Hz a 2 kHz</t>
  </si>
  <si>
    <t xml:space="preserve">buzina, som de cano</t>
  </si>
  <si>
    <t xml:space="preserve">Retorno de chão alto, mão em volta da cápsula.</t>
  </si>
  <si>
    <t xml:space="preserve">2 a 5 kHz</t>
  </si>
  <si>
    <t xml:space="preserve">apito claro</t>
  </si>
  <si>
    <t xml:space="preserve">Microfone de voz com retorno de chão, microfone apontado para a caixa.</t>
  </si>
  <si>
    <t xml:space="preserve">Agudo</t>
  </si>
  <si>
    <t xml:space="preserve">acima de 5 kHz</t>
  </si>
  <si>
    <t xml:space="preserve">silvo fino</t>
  </si>
  <si>
    <t xml:space="preserve">Condensador, lapela ou headset que passa perto de uma caixa.</t>
  </si>
  <si>
    <t xml:space="preserve">Q e largura do corte (equalizador paramétrico)</t>
  </si>
  <si>
    <t xml:space="preserve">Uso</t>
  </si>
  <si>
    <t xml:space="preserve">1,4</t>
  </si>
  <si>
    <t xml:space="preserve">1 oitava</t>
  </si>
  <si>
    <t xml:space="preserve">largo demais</t>
  </si>
  <si>
    <t xml:space="preserve">Tira o apito e leva junto um pedaço grande do som.</t>
  </si>
  <si>
    <t xml:space="preserve">2,9</t>
  </si>
  <si>
    <t xml:space="preserve">1/2 oitava</t>
  </si>
  <si>
    <t xml:space="preserve">largo</t>
  </si>
  <si>
    <t xml:space="preserve">Ainda largo para microfonia.</t>
  </si>
  <si>
    <t xml:space="preserve">4,3</t>
  </si>
  <si>
    <t xml:space="preserve">1/3 de oitava</t>
  </si>
  <si>
    <t xml:space="preserve">como o EQ gráfico</t>
  </si>
  <si>
    <t xml:space="preserve">Largura de cada controle do equalizador gráfico de 31 bandas.</t>
  </si>
  <si>
    <t xml:space="preserve">8,7</t>
  </si>
  <si>
    <t xml:space="preserve">1/6 de oitava</t>
  </si>
  <si>
    <t xml:space="preserve">bom ponto de partida</t>
  </si>
  <si>
    <t xml:space="preserve">Faixa usual para cortes de microfonia: Q de 5 a 10.</t>
  </si>
  <si>
    <t xml:space="preserve">14,4</t>
  </si>
  <si>
    <t xml:space="preserve">1/10 de oitava</t>
  </si>
  <si>
    <t xml:space="preserve">muito estreito</t>
  </si>
  <si>
    <t xml:space="preserve">Preciso, mas pede a frequência exata.</t>
  </si>
  <si>
    <t xml:space="preserve">Microfones abertos e margem</t>
  </si>
  <si>
    <t xml:space="preserve">Regra</t>
  </si>
  <si>
    <t xml:space="preserve">0 dB</t>
  </si>
  <si>
    <t xml:space="preserve">referência</t>
  </si>
  <si>
    <t xml:space="preserve">Supõe microfones parecidos, no mesmo nível, captando o sistema de forma parecida.</t>
  </si>
  <si>
    <t xml:space="preserve">−3 dB</t>
  </si>
  <si>
    <t xml:space="preserve">dobrou</t>
  </si>
  <si>
    <t xml:space="preserve">Feche os microfones que não estão em uso.</t>
  </si>
  <si>
    <t xml:space="preserve">−6 dB</t>
  </si>
  <si>
    <t xml:space="preserve">dobrou duas vezes</t>
  </si>
  <si>
    <t xml:space="preserve">Use grupos de mute ou DCA por momento do evento.</t>
  </si>
  <si>
    <t xml:space="preserve">8</t>
  </si>
  <si>
    <t xml:space="preserve">−9 dB</t>
  </si>
  <si>
    <t xml:space="preserve">três vezes</t>
  </si>
  <si>
    <t xml:space="preserve">Mixagem automática (automixer) ajuda em debates com muitos microfones.</t>
  </si>
  <si>
    <t xml:space="preserve">16</t>
  </si>
  <si>
    <t xml:space="preserve">−12 dB</t>
  </si>
  <si>
    <t xml:space="preserve">quatro vezes</t>
  </si>
  <si>
    <t xml:space="preserve">Faça o ring-out com os microfones que ficam abertos juntos.</t>
  </si>
  <si>
    <t xml:space="preserve">Medidas e efeito na margem</t>
  </si>
  <si>
    <t xml:space="preserve">Medida</t>
  </si>
  <si>
    <t xml:space="preserve">Efeito</t>
  </si>
  <si>
    <t xml:space="preserve">Ordem</t>
  </si>
  <si>
    <t xml:space="preserve">Do que depende</t>
  </si>
  <si>
    <t xml:space="preserve">Posição das caixas</t>
  </si>
  <si>
    <t xml:space="preserve">vários dB</t>
  </si>
  <si>
    <t xml:space="preserve">Caixas à frente da linha dos microfones; retorno na direção de menor captação.</t>
  </si>
  <si>
    <t xml:space="preserve">Microfone na metade da distância</t>
  </si>
  <si>
    <t xml:space="preserve">+6 dB</t>
  </si>
  <si>
    <t xml:space="preserve">Vale a cada metade. De 20 cm para 5 cm, 12 dB.</t>
  </si>
  <si>
    <t xml:space="preserve">Caixa ao dobro da distância</t>
  </si>
  <si>
    <t xml:space="preserve">até +6 dB</t>
  </si>
  <si>
    <t xml:space="preserve">O valor cheio só ao ar livre. Em sala reflexiva, menos.</t>
  </si>
  <si>
    <t xml:space="preserve">Metade dos microfones abertos</t>
  </si>
  <si>
    <t xml:space="preserve">+3 dB</t>
  </si>
  <si>
    <t xml:space="preserve">De os microfones captarem o sistema de forma parecida.</t>
  </si>
  <si>
    <t xml:space="preserve">3 a 6 dB</t>
  </si>
  <si>
    <t xml:space="preserve">Faixa típica. Se os primeiros cortes rendem pouco, a posição está ruim.</t>
  </si>
  <si>
    <t xml:space="preserve">Posição do retorno pelo padrão polar</t>
  </si>
  <si>
    <t xml:space="preserve">Padrão polar</t>
  </si>
  <si>
    <t xml:space="preserve">Menor captação</t>
  </si>
  <si>
    <t xml:space="preserve">Onde fica o retorno</t>
  </si>
  <si>
    <t xml:space="preserve">Cardioide</t>
  </si>
  <si>
    <t xml:space="preserve">atrás, a 180°</t>
  </si>
  <si>
    <t xml:space="preserve">bem à frente do músico</t>
  </si>
  <si>
    <t xml:space="preserve">Chega pela parte de trás do microfone.</t>
  </si>
  <si>
    <t xml:space="preserve">Supercardioide</t>
  </si>
  <si>
    <t xml:space="preserve">cerca de 125°</t>
  </si>
  <si>
    <t xml:space="preserve">na diagonal, ou dois retornos</t>
  </si>
  <si>
    <t xml:space="preserve">Bem atrás ainda há um pequeno lóbulo de captação.</t>
  </si>
  <si>
    <t xml:space="preserve">Hipercardioide</t>
  </si>
  <si>
    <t xml:space="preserve">cerca de 110°</t>
  </si>
  <si>
    <t xml:space="preserve">mais para o lado</t>
  </si>
  <si>
    <t xml:space="preserve">Lóbulo traseiro maior que o do supercardioide.</t>
  </si>
  <si>
    <t xml:space="preserve">Onidirecional</t>
  </si>
  <si>
    <t xml:space="preserve">nenhuma</t>
  </si>
  <si>
    <t xml:space="preserve">não há posição boa</t>
  </si>
  <si>
    <t xml:space="preserve">A margem vem só da distância e do volume.</t>
  </si>
  <si>
    <t xml:space="preserve">Causa e medida definitiva (usada na aba Ocorrências)</t>
  </si>
  <si>
    <t xml:space="preserve">Medida definitiva</t>
  </si>
  <si>
    <t xml:space="preserve">Levar as caixas para a frente da linha dos microfones, apontadas para o público.</t>
  </si>
  <si>
    <t xml:space="preserve">Aproximar o microfone da boca; trocar lapela por headset ou microfone de mão.</t>
  </si>
  <si>
    <t xml:space="preserve">Orientar a segurar pelo corpo do microfone, com a grade livre.</t>
  </si>
  <si>
    <t xml:space="preserve">Mute nos intervalos; combinar que o microfone parado aponta para cima ou para o lado.</t>
  </si>
  <si>
    <t xml:space="preserve">Baixar o retorno e combinar um volume de palco menor; rever a posição pelo padrão polar.</t>
  </si>
  <si>
    <t xml:space="preserve">Operar com pelo menos 6 dB de margem; trazer o som para perto do público.</t>
  </si>
  <si>
    <t xml:space="preserve">Trocar o realce por corte; reduzir a compensação (make-up) do compressor.</t>
  </si>
  <si>
    <t xml:space="preserve">Combinar o caminho de quem anda com o microfone por fora da cobertura das caixas.</t>
  </si>
  <si>
    <t xml:space="preserve">Apontar as caixas para as pessoas; aproximar o microfone; tratar a superfície mais próxima.</t>
  </si>
  <si>
    <t xml:space="preserve">Refazer o ring-out da saída com os microfones abertos no evento.</t>
  </si>
  <si>
    <t xml:space="preserve">Faixas típicas, que variam com o microfone, a caixa, a sala e o equipamento. Os ângulos são valores de projeto: veja o diagrama polar no manual do microfone.</t>
  </si>
  <si>
    <t xml:space="preserve">Checklist contra a microfonia</t>
  </si>
  <si>
    <t xml:space="preserve">Confira na montagem, antes da passagem de som. Escolha a situação de cada item na lista suspensa.</t>
  </si>
  <si>
    <t xml:space="preserve">Grupo</t>
  </si>
  <si>
    <t xml:space="preserve">Item</t>
  </si>
  <si>
    <t xml:space="preserve">Posição</t>
  </si>
  <si>
    <t xml:space="preserve">As caixas da frente estão à frente da linha dos microfones e apontam para o público.</t>
  </si>
  <si>
    <t xml:space="preserve">As caixas apontam para as pessoas, e não para paredes, vidro ou teto.</t>
  </si>
  <si>
    <t xml:space="preserve">Cada retorno está na direção em que o microfone capta menos: atrás do cardioide, na diagonal do supercardioide.</t>
  </si>
  <si>
    <t xml:space="preserve">Microfone</t>
  </si>
  <si>
    <t xml:space="preserve">Cada microfone está o mais perto possível da fonte, e quem usa foi orientado: perto da boca, grade livre.</t>
  </si>
  <si>
    <t xml:space="preserve">Ganho</t>
  </si>
  <si>
    <t xml:space="preserve">O ganho de cada canal foi ajustado pelo medidor, e o filtro passa-altas está ligado nos microfones de voz.</t>
  </si>
  <si>
    <t xml:space="preserve">O volume dos retornos é o menor que atende os músicos.</t>
  </si>
  <si>
    <t xml:space="preserve">Só ficam abertos os microfones em uso. Os demais estão em mute, e há grupos de mute para os conjuntos.</t>
  </si>
  <si>
    <t xml:space="preserve">O ring-out foi feito em cada retorno e nas caixas da frente, com os microfones que ficam abertos juntos.</t>
  </si>
  <si>
    <t xml:space="preserve">Os cortes são estreitos e poucos: até uns cinco por saída, nenhum além de uns 9 dB.</t>
  </si>
  <si>
    <t xml:space="preserve">Há pelo menos 6 dB de margem entre o nível de operação e o ponto do primeiro apito, em cada saída.</t>
  </si>
  <si>
    <t xml:space="preserve">Teste</t>
  </si>
  <si>
    <t xml:space="preserve">Os microfones que andam foram testados no caminho real, inclusive perto das caixas.</t>
  </si>
  <si>
    <t xml:space="preserve">Registro</t>
  </si>
  <si>
    <t xml:space="preserve">As frequências, os cortes e os níveis de cada saída estão anotados.</t>
  </si>
  <si>
    <t xml:space="preserve">Itens respondidos</t>
  </si>
  <si>
    <t xml:space="preserve">Percentual atendido (Parcial vale metade)</t>
  </si>
  <si>
    <t xml:space="preserve">Exemplo preenchido, para consulta. Use a aba Ring-out para o seu sistema.</t>
  </si>
  <si>
    <t xml:space="preserve">Culto de domingo, 19 h</t>
  </si>
  <si>
    <t xml:space="preserve">Igreja de 200 lugares</t>
  </si>
  <si>
    <t xml:space="preserve">Operador de som da escala</t>
  </si>
  <si>
    <t xml:space="preserve">Mesa digital, EQ paramétrico nas saídas</t>
  </si>
  <si>
    <t xml:space="preserve">Ring-out das três saídas do exemplo 1. As colunas de I a M são calculadas.</t>
  </si>
  <si>
    <t xml:space="preserve">Retorno 1 - voz principal</t>
  </si>
  <si>
    <t xml:space="preserve">Retorno 2 - vozes de apoio</t>
  </si>
  <si>
    <t xml:space="preserve">Frente (PA)</t>
  </si>
  <si>
    <t xml:space="preserve">Os nove cortes do exemplo 1, antes do ajuste de posição do retorno 2. As colunas D, I, J, K, L e M são calculadas.</t>
  </si>
  <si>
    <t xml:space="preserve">O que foi ajustado depois do ring-out</t>
  </si>
  <si>
    <t xml:space="preserve">O que foi feito</t>
  </si>
  <si>
    <t xml:space="preserve">Resultado</t>
  </si>
  <si>
    <t xml:space="preserve">Retorno 2</t>
  </si>
  <si>
    <t xml:space="preserve">O retorno ficava bem atrás de microfones supercardioides, no lóbulo traseiro. Foi levado para a diagonal, e o corte de 400 Hz voltou de −10 para −5 dB.</t>
  </si>
  <si>
    <t xml:space="preserve">Apito em −2 dB: margem de 7 dB</t>
  </si>
  <si>
    <t xml:space="preserve">O corte de 500 Hz com Q 2 pegava mais de uma oitava. Foi refeito com Q 6.</t>
  </si>
  <si>
    <t xml:space="preserve">Corte dentro da faixa</t>
  </si>
  <si>
    <t xml:space="preserve">Todas</t>
  </si>
  <si>
    <t xml:space="preserve">Níveis de operação, cortes e microfones abertos anotados para o próximo culto.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</si>
</sst>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+0;\-0;0"/>
    <numFmt numFmtId="166" formatCode="dd/mm/yyyy"/>
    <numFmt numFmtId="167" formatCode="General"/>
    <numFmt numFmtId="168" formatCode="0.00"/>
    <numFmt numFmtId="169" formatCode="\+0.0;\-0.0;0.0"/>
    <numFmt numFmtId="170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B6B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6242E"/>
      <name val="Arial"/>
      <family val="0"/>
      <charset val="1"/>
    </font>
    <font>
      <sz val="10"/>
      <color rgb="FF16242E"/>
      <name val="Arial"/>
      <family val="0"/>
      <charset val="1"/>
    </font>
    <font>
      <i val="true"/>
      <sz val="9"/>
      <color rgb="FF5B6B7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5B6B76"/>
      <name val="Arial"/>
      <family val="0"/>
      <charset val="1"/>
    </font>
    <font>
      <sz val="9"/>
      <color rgb="FF16242E"/>
      <name val="Arial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6242E"/>
        <bgColor rgb="FF003300"/>
      </patternFill>
    </fill>
    <fill>
      <patternFill patternType="solid">
        <fgColor rgb="FFEEF1F3"/>
        <bgColor rgb="FFFFF9DB"/>
      </patternFill>
    </fill>
    <fill>
      <patternFill patternType="solid">
        <fgColor rgb="FFFFF9DB"/>
        <bgColor rgb="FFFBEBC8"/>
      </patternFill>
    </fill>
    <fill>
      <patternFill patternType="solid">
        <fgColor rgb="FFB0413E"/>
        <bgColor rgb="FF993366"/>
      </patternFill>
    </fill>
    <fill>
      <patternFill patternType="solid">
        <fgColor rgb="FF5B6B76"/>
        <bgColor rgb="FF808080"/>
      </patternFill>
    </fill>
    <fill>
      <patternFill patternType="solid">
        <fgColor rgb="FFFFFFFF"/>
        <bgColor rgb="FFFFF9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9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8EFDD"/>
        </patternFill>
      </fill>
    </dxf>
    <dxf>
      <fill>
        <patternFill>
          <bgColor rgb="FFF6D9D7"/>
        </patternFill>
      </fill>
    </dxf>
    <dxf>
      <fill>
        <patternFill>
          <bgColor rgb="FFFBEBC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B73"/>
      <rgbColor rgb="FFC0C0C0"/>
      <rgbColor rgb="FF808080"/>
      <rgbColor rgb="FF9999FF"/>
      <rgbColor rgb="FFB0413E"/>
      <rgbColor rgb="FFFFF9DB"/>
      <rgbColor rgb="FFEEF1F3"/>
      <rgbColor rgb="FF660066"/>
      <rgbColor rgb="FFFF8080"/>
      <rgbColor rgb="FF0066CC"/>
      <rgbColor rgb="FFC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EFDD"/>
      <rgbColor rgb="FFFBEBC8"/>
      <rgbColor rgb="FF99CCFF"/>
      <rgbColor rgb="FFFF99CC"/>
      <rgbColor rgb="FFCC99FF"/>
      <rgbColor rgb="FFF6D9D7"/>
      <rgbColor rgb="FF3366FF"/>
      <rgbColor rgb="FF33CCCC"/>
      <rgbColor rgb="FF99CC00"/>
      <rgbColor rgb="FFFFCC00"/>
      <rgbColor rgb="FFFF9900"/>
      <rgbColor rgb="FFFF6600"/>
      <rgbColor rgb="FF5B6B76"/>
      <rgbColor rgb="FF969696"/>
      <rgbColor rgb="FF003366"/>
      <rgbColor rgb="FF339966"/>
      <rgbColor rgb="FF003300"/>
      <rgbColor rgb="FF333300"/>
      <rgbColor rgb="FF993300"/>
      <rgbColor rgb="FF993366"/>
      <rgbColor rgb="FF2B5C8A"/>
      <rgbColor rgb="FF162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42E"/>
    <pageSetUpPr fitToPage="true"/>
  </sheetPr>
  <dimension ref="B1:C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96"/>
    <col collapsed="false" customWidth="true" hidden="false" outlineLevel="0" max="4" min="4" style="0" width="2"/>
  </cols>
  <sheetData>
    <row r="1" customFormat="false" ht="31.5" hidden="false" customHeight="true" outlineLevel="0" collapsed="false">
      <c r="B1" s="1" t="s">
        <v>0</v>
      </c>
      <c r="C1" s="1"/>
    </row>
    <row r="2" customFormat="false" ht="19.5" hidden="false" customHeight="true" outlineLevel="0" collapsed="false">
      <c r="B2" s="2" t="s">
        <v>1</v>
      </c>
      <c r="C2" s="2"/>
    </row>
    <row r="4" customFormat="false" ht="21.75" hidden="false" customHeight="true" outlineLevel="0" collapsed="false">
      <c r="B4" s="3" t="s">
        <v>2</v>
      </c>
      <c r="C4" s="3"/>
    </row>
    <row r="5" customFormat="false" ht="19.5" hidden="false" customHeight="true" outlineLevel="0" collapsed="false">
      <c r="B5" s="4" t="s">
        <v>3</v>
      </c>
      <c r="C5" s="5" t="s">
        <v>4</v>
      </c>
    </row>
    <row r="6" customFormat="false" ht="19.5" hidden="false" customHeight="true" outlineLevel="0" collapsed="false">
      <c r="B6" s="4" t="s">
        <v>5</v>
      </c>
      <c r="C6" s="6" t="s">
        <v>6</v>
      </c>
    </row>
    <row r="7" customFormat="false" ht="19.5" hidden="false" customHeight="true" outlineLevel="0" collapsed="false">
      <c r="B7" s="4" t="s">
        <v>7</v>
      </c>
      <c r="C7" s="6" t="s">
        <v>8</v>
      </c>
    </row>
    <row r="8" customFormat="false" ht="31.5" hidden="false" customHeight="true" outlineLevel="0" collapsed="false">
      <c r="B8" s="4" t="s">
        <v>9</v>
      </c>
      <c r="C8" s="7" t="s">
        <v>10</v>
      </c>
    </row>
    <row r="9" customFormat="false" ht="31.5" hidden="false" customHeight="true" outlineLevel="0" collapsed="false">
      <c r="B9" s="4" t="s">
        <v>11</v>
      </c>
      <c r="C9" s="7" t="s">
        <v>12</v>
      </c>
    </row>
    <row r="10" customFormat="false" ht="19.5" hidden="false" customHeight="true" outlineLevel="0" collapsed="false">
      <c r="B10" s="4" t="s">
        <v>13</v>
      </c>
      <c r="C10" s="7" t="s">
        <v>14</v>
      </c>
    </row>
    <row r="12" customFormat="false" ht="21.75" hidden="false" customHeight="true" outlineLevel="0" collapsed="false">
      <c r="B12" s="3" t="s">
        <v>15</v>
      </c>
      <c r="C12" s="3"/>
    </row>
    <row r="13" customFormat="false" ht="31.5" hidden="false" customHeight="true" outlineLevel="0" collapsed="false">
      <c r="B13" s="8" t="s">
        <v>16</v>
      </c>
      <c r="C13" s="7" t="s">
        <v>17</v>
      </c>
    </row>
    <row r="14" customFormat="false" ht="31.5" hidden="false" customHeight="true" outlineLevel="0" collapsed="false">
      <c r="B14" s="8" t="s">
        <v>18</v>
      </c>
      <c r="C14" s="7" t="s">
        <v>19</v>
      </c>
    </row>
    <row r="15" customFormat="false" ht="31.5" hidden="false" customHeight="true" outlineLevel="0" collapsed="false">
      <c r="B15" s="8" t="s">
        <v>20</v>
      </c>
      <c r="C15" s="7" t="s">
        <v>21</v>
      </c>
    </row>
    <row r="16" customFormat="false" ht="19.5" hidden="false" customHeight="true" outlineLevel="0" collapsed="false">
      <c r="B16" s="8" t="s">
        <v>22</v>
      </c>
      <c r="C16" s="7" t="s">
        <v>23</v>
      </c>
    </row>
    <row r="17" customFormat="false" ht="31.5" hidden="false" customHeight="true" outlineLevel="0" collapsed="false">
      <c r="B17" s="8" t="s">
        <v>24</v>
      </c>
      <c r="C17" s="7" t="s">
        <v>25</v>
      </c>
    </row>
    <row r="18" customFormat="false" ht="19.5" hidden="false" customHeight="true" outlineLevel="0" collapsed="false">
      <c r="B18" s="8" t="s">
        <v>26</v>
      </c>
      <c r="C18" s="7" t="s">
        <v>27</v>
      </c>
    </row>
    <row r="19" customFormat="false" ht="31.5" hidden="false" customHeight="true" outlineLevel="0" collapsed="false">
      <c r="B19" s="8" t="s">
        <v>28</v>
      </c>
      <c r="C19" s="7" t="s">
        <v>29</v>
      </c>
    </row>
    <row r="21" customFormat="false" ht="21.75" hidden="false" customHeight="true" outlineLevel="0" collapsed="false">
      <c r="B21" s="3" t="s">
        <v>30</v>
      </c>
      <c r="C21" s="3"/>
    </row>
    <row r="22" customFormat="false" ht="19.5" hidden="false" customHeight="true" outlineLevel="0" collapsed="false">
      <c r="B22" s="4" t="s">
        <v>31</v>
      </c>
      <c r="C22" s="7" t="s">
        <v>32</v>
      </c>
    </row>
    <row r="23" customFormat="false" ht="19.5" hidden="false" customHeight="true" outlineLevel="0" collapsed="false">
      <c r="B23" s="4" t="s">
        <v>33</v>
      </c>
      <c r="C23" s="7" t="s">
        <v>34</v>
      </c>
    </row>
    <row r="24" customFormat="false" ht="19.5" hidden="false" customHeight="true" outlineLevel="0" collapsed="false">
      <c r="B24" s="4" t="s">
        <v>35</v>
      </c>
      <c r="C24" s="7" t="s">
        <v>36</v>
      </c>
    </row>
    <row r="25" customFormat="false" ht="19.5" hidden="false" customHeight="true" outlineLevel="0" collapsed="false">
      <c r="B25" s="4" t="s">
        <v>37</v>
      </c>
      <c r="C25" s="7" t="s">
        <v>38</v>
      </c>
    </row>
    <row r="26" customFormat="false" ht="19.5" hidden="false" customHeight="true" outlineLevel="0" collapsed="false">
      <c r="B26" s="4" t="s">
        <v>39</v>
      </c>
      <c r="C26" s="7" t="s">
        <v>40</v>
      </c>
    </row>
    <row r="27" customFormat="false" ht="19.5" hidden="false" customHeight="true" outlineLevel="0" collapsed="false">
      <c r="B27" s="4" t="s">
        <v>41</v>
      </c>
      <c r="C27" s="7" t="s">
        <v>42</v>
      </c>
    </row>
    <row r="29" customFormat="false" ht="21.75" hidden="false" customHeight="true" outlineLevel="0" collapsed="false">
      <c r="B29" s="3" t="s">
        <v>43</v>
      </c>
      <c r="C29" s="3"/>
    </row>
    <row r="30" customFormat="false" ht="31.5" hidden="false" customHeight="true" outlineLevel="0" collapsed="false">
      <c r="B30" s="4" t="s">
        <v>44</v>
      </c>
      <c r="C30" s="7" t="s">
        <v>45</v>
      </c>
    </row>
    <row r="31" customFormat="false" ht="31.5" hidden="false" customHeight="true" outlineLevel="0" collapsed="false">
      <c r="B31" s="4" t="s">
        <v>35</v>
      </c>
      <c r="C31" s="7" t="s">
        <v>46</v>
      </c>
    </row>
    <row r="32" customFormat="false" ht="31.5" hidden="false" customHeight="true" outlineLevel="0" collapsed="false">
      <c r="B32" s="4" t="s">
        <v>47</v>
      </c>
      <c r="C32" s="7" t="s">
        <v>48</v>
      </c>
    </row>
    <row r="33" customFormat="false" ht="19.5" hidden="false" customHeight="true" outlineLevel="0" collapsed="false">
      <c r="B33" s="4" t="s">
        <v>49</v>
      </c>
      <c r="C33" s="7" t="s">
        <v>50</v>
      </c>
    </row>
    <row r="34" customFormat="false" ht="31.5" hidden="false" customHeight="true" outlineLevel="0" collapsed="false">
      <c r="B34" s="4" t="s">
        <v>51</v>
      </c>
      <c r="C34" s="7" t="s">
        <v>52</v>
      </c>
    </row>
    <row r="35" customFormat="false" ht="19.5" hidden="false" customHeight="true" outlineLevel="0" collapsed="false">
      <c r="B35" s="4" t="s">
        <v>53</v>
      </c>
      <c r="C35" s="7" t="s">
        <v>54</v>
      </c>
    </row>
    <row r="36" customFormat="false" ht="31.5" hidden="false" customHeight="true" outlineLevel="0" collapsed="false">
      <c r="B36" s="4" t="s">
        <v>55</v>
      </c>
      <c r="C36" s="7" t="s">
        <v>56</v>
      </c>
    </row>
  </sheetData>
  <mergeCells count="6">
    <mergeCell ref="B1:C1"/>
    <mergeCell ref="B2:C2"/>
    <mergeCell ref="B4:C4"/>
    <mergeCell ref="B12:C12"/>
    <mergeCell ref="B21:C21"/>
    <mergeCell ref="B29:C29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413E"/>
    <pageSetUpPr fitToPage="true"/>
  </sheetPr>
  <dimension ref="B1:N6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7" min="5" style="0" width="11"/>
    <col collapsed="false" customWidth="true" hidden="false" outlineLevel="0" max="9" min="8" style="0" width="13"/>
    <col collapsed="false" customWidth="true" hidden="false" outlineLevel="0" max="11" min="10" style="0" width="11"/>
    <col collapsed="false" customWidth="true" hidden="false" outlineLevel="0" max="12" min="12" style="0" width="15"/>
    <col collapsed="false" customWidth="true" hidden="false" outlineLevel="0" max="13" min="13" style="0" width="50"/>
    <col collapsed="false" customWidth="true" hidden="false" outlineLevel="0" max="14" min="14" style="0" width="26"/>
    <col collapsed="false" customWidth="true" hidden="false" outlineLevel="0" max="15" min="15" style="0" width="2"/>
  </cols>
  <sheetData>
    <row r="1" customFormat="false" ht="31.5" hidden="false" customHeight="true" outlineLevel="0" collapsed="false">
      <c r="B1" s="1" t="s">
        <v>57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B2" s="2" t="s">
        <v>58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1.75" hidden="false" customHeight="true" outlineLevel="0" collapsed="false">
      <c r="B4" s="4" t="s">
        <v>59</v>
      </c>
      <c r="C4" s="4"/>
      <c r="D4" s="5"/>
      <c r="E4" s="5"/>
      <c r="F4" s="5"/>
      <c r="G4" s="5"/>
      <c r="H4" s="5"/>
      <c r="I4" s="4" t="s">
        <v>60</v>
      </c>
      <c r="J4" s="4"/>
      <c r="K4" s="4"/>
      <c r="L4" s="9" t="n">
        <v>6</v>
      </c>
      <c r="M4" s="10" t="s">
        <v>61</v>
      </c>
      <c r="N4" s="10"/>
    </row>
    <row r="5" customFormat="false" ht="21.75" hidden="false" customHeight="true" outlineLevel="0" collapsed="false">
      <c r="B5" s="4" t="s">
        <v>62</v>
      </c>
      <c r="C5" s="4"/>
      <c r="D5" s="5"/>
      <c r="E5" s="5"/>
      <c r="F5" s="5"/>
      <c r="G5" s="5"/>
      <c r="H5" s="5"/>
      <c r="I5" s="4" t="s">
        <v>63</v>
      </c>
      <c r="J5" s="4"/>
      <c r="K5" s="4"/>
      <c r="L5" s="11" t="n">
        <v>-9</v>
      </c>
      <c r="M5" s="10" t="s">
        <v>64</v>
      </c>
      <c r="N5" s="10"/>
    </row>
    <row r="6" customFormat="false" ht="21.75" hidden="false" customHeight="true" outlineLevel="0" collapsed="false">
      <c r="B6" s="4" t="s">
        <v>65</v>
      </c>
      <c r="C6" s="4"/>
      <c r="D6" s="12"/>
      <c r="E6" s="12"/>
      <c r="F6" s="12"/>
      <c r="G6" s="12"/>
      <c r="H6" s="12"/>
      <c r="I6" s="4" t="s">
        <v>66</v>
      </c>
      <c r="J6" s="4"/>
      <c r="K6" s="4"/>
      <c r="L6" s="9" t="n">
        <v>4</v>
      </c>
      <c r="M6" s="10" t="s">
        <v>67</v>
      </c>
      <c r="N6" s="10"/>
    </row>
    <row r="7" customFormat="false" ht="21.75" hidden="false" customHeight="true" outlineLevel="0" collapsed="false">
      <c r="B7" s="4" t="s">
        <v>68</v>
      </c>
      <c r="C7" s="4"/>
      <c r="D7" s="5"/>
      <c r="E7" s="5"/>
      <c r="F7" s="5"/>
      <c r="G7" s="5"/>
      <c r="H7" s="5"/>
      <c r="I7" s="4" t="s">
        <v>69</v>
      </c>
      <c r="J7" s="4"/>
      <c r="K7" s="4"/>
      <c r="L7" s="9" t="n">
        <v>5</v>
      </c>
      <c r="M7" s="10" t="s">
        <v>70</v>
      </c>
      <c r="N7" s="10"/>
    </row>
    <row r="8" customFormat="false" ht="21.75" hidden="false" customHeight="true" outlineLevel="0" collapsed="false">
      <c r="B8" s="4" t="s">
        <v>71</v>
      </c>
      <c r="C8" s="4"/>
      <c r="D8" s="5"/>
      <c r="E8" s="5"/>
      <c r="F8" s="5"/>
      <c r="G8" s="5"/>
      <c r="H8" s="5"/>
      <c r="I8" s="10" t="s">
        <v>72</v>
      </c>
      <c r="J8" s="10"/>
      <c r="K8" s="10"/>
      <c r="L8" s="10"/>
      <c r="M8" s="10"/>
      <c r="N8" s="10"/>
    </row>
    <row r="10" customFormat="false" ht="21.75" hidden="false" customHeight="true" outlineLevel="0" collapsed="false">
      <c r="B10" s="13" t="s">
        <v>73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customFormat="false" ht="30" hidden="false" customHeight="true" outlineLevel="0" collapsed="false">
      <c r="B11" s="14" t="s">
        <v>74</v>
      </c>
      <c r="C11" s="14" t="s">
        <v>75</v>
      </c>
      <c r="D11" s="14" t="s">
        <v>76</v>
      </c>
      <c r="E11" s="14" t="s">
        <v>51</v>
      </c>
      <c r="F11" s="15" t="s">
        <v>77</v>
      </c>
      <c r="G11" s="15" t="s">
        <v>78</v>
      </c>
      <c r="H11" s="15" t="s">
        <v>79</v>
      </c>
      <c r="I11" s="16" t="s">
        <v>47</v>
      </c>
      <c r="J11" s="16" t="s">
        <v>80</v>
      </c>
      <c r="K11" s="16" t="s">
        <v>35</v>
      </c>
      <c r="L11" s="16" t="s">
        <v>81</v>
      </c>
      <c r="M11" s="16" t="s">
        <v>82</v>
      </c>
      <c r="N11" s="14" t="s">
        <v>83</v>
      </c>
    </row>
    <row r="12" customFormat="false" ht="21.75" hidden="false" customHeight="true" outlineLevel="0" collapsed="false">
      <c r="B12" s="17"/>
      <c r="C12" s="17" t="s">
        <v>84</v>
      </c>
      <c r="D12" s="17"/>
      <c r="E12" s="17" t="s">
        <v>85</v>
      </c>
      <c r="F12" s="17" t="s">
        <v>86</v>
      </c>
      <c r="G12" s="17" t="s">
        <v>86</v>
      </c>
      <c r="H12" s="17" t="s">
        <v>86</v>
      </c>
      <c r="I12" s="17" t="s">
        <v>87</v>
      </c>
      <c r="J12" s="17" t="s">
        <v>88</v>
      </c>
      <c r="K12" s="17" t="s">
        <v>89</v>
      </c>
      <c r="L12" s="17"/>
      <c r="M12" s="17"/>
      <c r="N12" s="17"/>
    </row>
    <row r="13" customFormat="false" ht="21.75" hidden="false" customHeight="true" outlineLevel="0" collapsed="false">
      <c r="B13" s="17" t="s">
        <v>90</v>
      </c>
      <c r="C13" s="10" t="s">
        <v>91</v>
      </c>
      <c r="D13" s="17" t="s">
        <v>92</v>
      </c>
      <c r="E13" s="17" t="n">
        <v>1</v>
      </c>
      <c r="F13" s="18" t="n">
        <v>-8</v>
      </c>
      <c r="G13" s="18" t="n">
        <v>-2</v>
      </c>
      <c r="H13" s="18" t="n">
        <v>-9</v>
      </c>
      <c r="I13" s="17" t="n">
        <v>3</v>
      </c>
      <c r="J13" s="17" t="n">
        <v>6</v>
      </c>
      <c r="K13" s="17" t="n">
        <v>7</v>
      </c>
      <c r="L13" s="17" t="s">
        <v>93</v>
      </c>
      <c r="M13" s="10" t="s">
        <v>94</v>
      </c>
      <c r="N13" s="10"/>
    </row>
    <row r="14" customFormat="false" ht="21.75" hidden="false" customHeight="true" outlineLevel="0" collapsed="false">
      <c r="B14" s="19" t="n">
        <v>1</v>
      </c>
      <c r="C14" s="5"/>
      <c r="D14" s="9"/>
      <c r="E14" s="9"/>
      <c r="F14" s="11"/>
      <c r="G14" s="11"/>
      <c r="H14" s="11"/>
      <c r="I14" s="20" t="str">
        <f aca="false">IF(C14="","",COUNTIF($C$27:$C$56,C14))</f>
        <v/>
      </c>
      <c r="J14" s="21" t="str">
        <f aca="false">IF(OR(F14="",G14=""),"",G14-F14)</f>
        <v/>
      </c>
      <c r="K14" s="22" t="str">
        <f aca="false">IF(OR(G14="",H14=""),"",G14-H14)</f>
        <v/>
      </c>
      <c r="L14" s="23" t="str">
        <f aca="false">IF(AND(C14="",F14="",G14="",H14=""),"",IF(OR(G14="",H14=""),"Incompleto",IF(AND(J14&lt;&gt;"",J14&lt;0),"Confira os níveis",IF(K14&lt;3,"Sem margem",IF(K14&lt;$L$4,"Margem curta",IF(I14&gt;$L$7,"Cortes demais",IF(COUNTIFS($C$27:$C$56,C14,$L$27:$L$56,"Corte fundo")+COUNTIFS($C$27:$C$56,C14,$L$27:$L$56,"Corte largo")+COUNTIFS($C$27:$C$56,C14,$L$27:$L$56,"Realce")&gt;0,"Rever cortes","OK")))))))</f>
        <v/>
      </c>
      <c r="M14" s="24" t="str">
        <f aca="false">IF(L14="","",IF(L14="Incompleto","Anote o apito depois dos cortes e o nível de operação",IF(L14="Confira os níveis","O apito depois dos cortes ficou abaixo do de antes: meça de novo",IF(OR(L14="Sem margem",L14="Margem curta"),"Baixe a saída "&amp;($L$4-K14)&amp;" dB, ou reveja a posição e a distância",IF(L14="Cortes demais","Cortes demais: reveja a posição das caixas e dos microfones",IF(L14="Rever cortes","Há corte fundo, largo ou realce nesta saída: veja a tabela de cortes","Manter"))))))</f>
        <v/>
      </c>
      <c r="N14" s="5"/>
    </row>
    <row r="15" customFormat="false" ht="21.75" hidden="false" customHeight="true" outlineLevel="0" collapsed="false">
      <c r="B15" s="19" t="n">
        <v>2</v>
      </c>
      <c r="C15" s="5"/>
      <c r="D15" s="9"/>
      <c r="E15" s="9"/>
      <c r="F15" s="11"/>
      <c r="G15" s="11"/>
      <c r="H15" s="11"/>
      <c r="I15" s="20" t="str">
        <f aca="false">IF(C15="","",COUNTIF($C$27:$C$56,C15))</f>
        <v/>
      </c>
      <c r="J15" s="21" t="str">
        <f aca="false">IF(OR(F15="",G15=""),"",G15-F15)</f>
        <v/>
      </c>
      <c r="K15" s="22" t="str">
        <f aca="false">IF(OR(G15="",H15=""),"",G15-H15)</f>
        <v/>
      </c>
      <c r="L15" s="23" t="str">
        <f aca="false">IF(AND(C15="",F15="",G15="",H15=""),"",IF(OR(G15="",H15=""),"Incompleto",IF(AND(J15&lt;&gt;"",J15&lt;0),"Confira os níveis",IF(K15&lt;3,"Sem margem",IF(K15&lt;$L$4,"Margem curta",IF(I15&gt;$L$7,"Cortes demais",IF(COUNTIFS($C$27:$C$56,C15,$L$27:$L$56,"Corte fundo")+COUNTIFS($C$27:$C$56,C15,$L$27:$L$56,"Corte largo")+COUNTIFS($C$27:$C$56,C15,$L$27:$L$56,"Realce")&gt;0,"Rever cortes","OK")))))))</f>
        <v/>
      </c>
      <c r="M15" s="24" t="str">
        <f aca="false">IF(L15="","",IF(L15="Incompleto","Anote o apito depois dos cortes e o nível de operação",IF(L15="Confira os níveis","O apito depois dos cortes ficou abaixo do de antes: meça de novo",IF(OR(L15="Sem margem",L15="Margem curta"),"Baixe a saída "&amp;($L$4-K15)&amp;" dB, ou reveja a posição e a distância",IF(L15="Cortes demais","Cortes demais: reveja a posição das caixas e dos microfones",IF(L15="Rever cortes","Há corte fundo, largo ou realce nesta saída: veja a tabela de cortes","Manter"))))))</f>
        <v/>
      </c>
      <c r="N15" s="5"/>
    </row>
    <row r="16" customFormat="false" ht="21.75" hidden="false" customHeight="true" outlineLevel="0" collapsed="false">
      <c r="B16" s="19" t="n">
        <v>3</v>
      </c>
      <c r="C16" s="5"/>
      <c r="D16" s="9"/>
      <c r="E16" s="9"/>
      <c r="F16" s="11"/>
      <c r="G16" s="11"/>
      <c r="H16" s="11"/>
      <c r="I16" s="20" t="str">
        <f aca="false">IF(C16="","",COUNTIF($C$27:$C$56,C16))</f>
        <v/>
      </c>
      <c r="J16" s="21" t="str">
        <f aca="false">IF(OR(F16="",G16=""),"",G16-F16)</f>
        <v/>
      </c>
      <c r="K16" s="22" t="str">
        <f aca="false">IF(OR(G16="",H16=""),"",G16-H16)</f>
        <v/>
      </c>
      <c r="L16" s="23" t="str">
        <f aca="false">IF(AND(C16="",F16="",G16="",H16=""),"",IF(OR(G16="",H16=""),"Incompleto",IF(AND(J16&lt;&gt;"",J16&lt;0),"Confira os níveis",IF(K16&lt;3,"Sem margem",IF(K16&lt;$L$4,"Margem curta",IF(I16&gt;$L$7,"Cortes demais",IF(COUNTIFS($C$27:$C$56,C16,$L$27:$L$56,"Corte fundo")+COUNTIFS($C$27:$C$56,C16,$L$27:$L$56,"Corte largo")+COUNTIFS($C$27:$C$56,C16,$L$27:$L$56,"Realce")&gt;0,"Rever cortes","OK")))))))</f>
        <v/>
      </c>
      <c r="M16" s="24" t="str">
        <f aca="false">IF(L16="","",IF(L16="Incompleto","Anote o apito depois dos cortes e o nível de operação",IF(L16="Confira os níveis","O apito depois dos cortes ficou abaixo do de antes: meça de novo",IF(OR(L16="Sem margem",L16="Margem curta"),"Baixe a saída "&amp;($L$4-K16)&amp;" dB, ou reveja a posição e a distância",IF(L16="Cortes demais","Cortes demais: reveja a posição das caixas e dos microfones",IF(L16="Rever cortes","Há corte fundo, largo ou realce nesta saída: veja a tabela de cortes","Manter"))))))</f>
        <v/>
      </c>
      <c r="N16" s="5"/>
    </row>
    <row r="17" customFormat="false" ht="21.75" hidden="false" customHeight="true" outlineLevel="0" collapsed="false">
      <c r="B17" s="19" t="n">
        <v>4</v>
      </c>
      <c r="C17" s="5"/>
      <c r="D17" s="9"/>
      <c r="E17" s="9"/>
      <c r="F17" s="11"/>
      <c r="G17" s="11"/>
      <c r="H17" s="11"/>
      <c r="I17" s="20" t="str">
        <f aca="false">IF(C17="","",COUNTIF($C$27:$C$56,C17))</f>
        <v/>
      </c>
      <c r="J17" s="21" t="str">
        <f aca="false">IF(OR(F17="",G17=""),"",G17-F17)</f>
        <v/>
      </c>
      <c r="K17" s="22" t="str">
        <f aca="false">IF(OR(G17="",H17=""),"",G17-H17)</f>
        <v/>
      </c>
      <c r="L17" s="23" t="str">
        <f aca="false">IF(AND(C17="",F17="",G17="",H17=""),"",IF(OR(G17="",H17=""),"Incompleto",IF(AND(J17&lt;&gt;"",J17&lt;0),"Confira os níveis",IF(K17&lt;3,"Sem margem",IF(K17&lt;$L$4,"Margem curta",IF(I17&gt;$L$7,"Cortes demais",IF(COUNTIFS($C$27:$C$56,C17,$L$27:$L$56,"Corte fundo")+COUNTIFS($C$27:$C$56,C17,$L$27:$L$56,"Corte largo")+COUNTIFS($C$27:$C$56,C17,$L$27:$L$56,"Realce")&gt;0,"Rever cortes","OK")))))))</f>
        <v/>
      </c>
      <c r="M17" s="24" t="str">
        <f aca="false">IF(L17="","",IF(L17="Incompleto","Anote o apito depois dos cortes e o nível de operação",IF(L17="Confira os níveis","O apito depois dos cortes ficou abaixo do de antes: meça de novo",IF(OR(L17="Sem margem",L17="Margem curta"),"Baixe a saída "&amp;($L$4-K17)&amp;" dB, ou reveja a posição e a distância",IF(L17="Cortes demais","Cortes demais: reveja a posição das caixas e dos microfones",IF(L17="Rever cortes","Há corte fundo, largo ou realce nesta saída: veja a tabela de cortes","Manter"))))))</f>
        <v/>
      </c>
      <c r="N17" s="5"/>
    </row>
    <row r="18" customFormat="false" ht="21.75" hidden="false" customHeight="true" outlineLevel="0" collapsed="false">
      <c r="B18" s="19" t="n">
        <v>5</v>
      </c>
      <c r="C18" s="5"/>
      <c r="D18" s="9"/>
      <c r="E18" s="9"/>
      <c r="F18" s="11"/>
      <c r="G18" s="11"/>
      <c r="H18" s="11"/>
      <c r="I18" s="20" t="str">
        <f aca="false">IF(C18="","",COUNTIF($C$27:$C$56,C18))</f>
        <v/>
      </c>
      <c r="J18" s="21" t="str">
        <f aca="false">IF(OR(F18="",G18=""),"",G18-F18)</f>
        <v/>
      </c>
      <c r="K18" s="22" t="str">
        <f aca="false">IF(OR(G18="",H18=""),"",G18-H18)</f>
        <v/>
      </c>
      <c r="L18" s="23" t="str">
        <f aca="false">IF(AND(C18="",F18="",G18="",H18=""),"",IF(OR(G18="",H18=""),"Incompleto",IF(AND(J18&lt;&gt;"",J18&lt;0),"Confira os níveis",IF(K18&lt;3,"Sem margem",IF(K18&lt;$L$4,"Margem curta",IF(I18&gt;$L$7,"Cortes demais",IF(COUNTIFS($C$27:$C$56,C18,$L$27:$L$56,"Corte fundo")+COUNTIFS($C$27:$C$56,C18,$L$27:$L$56,"Corte largo")+COUNTIFS($C$27:$C$56,C18,$L$27:$L$56,"Realce")&gt;0,"Rever cortes","OK")))))))</f>
        <v/>
      </c>
      <c r="M18" s="24" t="str">
        <f aca="false">IF(L18="","",IF(L18="Incompleto","Anote o apito depois dos cortes e o nível de operação",IF(L18="Confira os níveis","O apito depois dos cortes ficou abaixo do de antes: meça de novo",IF(OR(L18="Sem margem",L18="Margem curta"),"Baixe a saída "&amp;($L$4-K18)&amp;" dB, ou reveja a posição e a distância",IF(L18="Cortes demais","Cortes demais: reveja a posição das caixas e dos microfones",IF(L18="Rever cortes","Há corte fundo, largo ou realce nesta saída: veja a tabela de cortes","Manter"))))))</f>
        <v/>
      </c>
      <c r="N18" s="5"/>
    </row>
    <row r="19" customFormat="false" ht="21.75" hidden="false" customHeight="true" outlineLevel="0" collapsed="false">
      <c r="B19" s="19" t="n">
        <v>6</v>
      </c>
      <c r="C19" s="5"/>
      <c r="D19" s="9"/>
      <c r="E19" s="9"/>
      <c r="F19" s="11"/>
      <c r="G19" s="11"/>
      <c r="H19" s="11"/>
      <c r="I19" s="20" t="str">
        <f aca="false">IF(C19="","",COUNTIF($C$27:$C$56,C19))</f>
        <v/>
      </c>
      <c r="J19" s="21" t="str">
        <f aca="false">IF(OR(F19="",G19=""),"",G19-F19)</f>
        <v/>
      </c>
      <c r="K19" s="22" t="str">
        <f aca="false">IF(OR(G19="",H19=""),"",G19-H19)</f>
        <v/>
      </c>
      <c r="L19" s="23" t="str">
        <f aca="false">IF(AND(C19="",F19="",G19="",H19=""),"",IF(OR(G19="",H19=""),"Incompleto",IF(AND(J19&lt;&gt;"",J19&lt;0),"Confira os níveis",IF(K19&lt;3,"Sem margem",IF(K19&lt;$L$4,"Margem curta",IF(I19&gt;$L$7,"Cortes demais",IF(COUNTIFS($C$27:$C$56,C19,$L$27:$L$56,"Corte fundo")+COUNTIFS($C$27:$C$56,C19,$L$27:$L$56,"Corte largo")+COUNTIFS($C$27:$C$56,C19,$L$27:$L$56,"Realce")&gt;0,"Rever cortes","OK")))))))</f>
        <v/>
      </c>
      <c r="M19" s="24" t="str">
        <f aca="false">IF(L19="","",IF(L19="Incompleto","Anote o apito depois dos cortes e o nível de operação",IF(L19="Confira os níveis","O apito depois dos cortes ficou abaixo do de antes: meça de novo",IF(OR(L19="Sem margem",L19="Margem curta"),"Baixe a saída "&amp;($L$4-K19)&amp;" dB, ou reveja a posição e a distância",IF(L19="Cortes demais","Cortes demais: reveja a posição das caixas e dos microfones",IF(L19="Rever cortes","Há corte fundo, largo ou realce nesta saída: veja a tabela de cortes","Manter"))))))</f>
        <v/>
      </c>
      <c r="N19" s="5"/>
    </row>
    <row r="20" customFormat="false" ht="21.75" hidden="false" customHeight="true" outlineLevel="0" collapsed="false">
      <c r="B20" s="19" t="n">
        <v>7</v>
      </c>
      <c r="C20" s="5"/>
      <c r="D20" s="9"/>
      <c r="E20" s="9"/>
      <c r="F20" s="11"/>
      <c r="G20" s="11"/>
      <c r="H20" s="11"/>
      <c r="I20" s="20" t="str">
        <f aca="false">IF(C20="","",COUNTIF($C$27:$C$56,C20))</f>
        <v/>
      </c>
      <c r="J20" s="21" t="str">
        <f aca="false">IF(OR(F20="",G20=""),"",G20-F20)</f>
        <v/>
      </c>
      <c r="K20" s="22" t="str">
        <f aca="false">IF(OR(G20="",H20=""),"",G20-H20)</f>
        <v/>
      </c>
      <c r="L20" s="23" t="str">
        <f aca="false">IF(AND(C20="",F20="",G20="",H20=""),"",IF(OR(G20="",H20=""),"Incompleto",IF(AND(J20&lt;&gt;"",J20&lt;0),"Confira os níveis",IF(K20&lt;3,"Sem margem",IF(K20&lt;$L$4,"Margem curta",IF(I20&gt;$L$7,"Cortes demais",IF(COUNTIFS($C$27:$C$56,C20,$L$27:$L$56,"Corte fundo")+COUNTIFS($C$27:$C$56,C20,$L$27:$L$56,"Corte largo")+COUNTIFS($C$27:$C$56,C20,$L$27:$L$56,"Realce")&gt;0,"Rever cortes","OK")))))))</f>
        <v/>
      </c>
      <c r="M20" s="24" t="str">
        <f aca="false">IF(L20="","",IF(L20="Incompleto","Anote o apito depois dos cortes e o nível de operação",IF(L20="Confira os níveis","O apito depois dos cortes ficou abaixo do de antes: meça de novo",IF(OR(L20="Sem margem",L20="Margem curta"),"Baixe a saída "&amp;($L$4-K20)&amp;" dB, ou reveja a posição e a distância",IF(L20="Cortes demais","Cortes demais: reveja a posição das caixas e dos microfones",IF(L20="Rever cortes","Há corte fundo, largo ou realce nesta saída: veja a tabela de cortes","Manter"))))))</f>
        <v/>
      </c>
      <c r="N20" s="5"/>
    </row>
    <row r="21" customFormat="false" ht="21.75" hidden="false" customHeight="true" outlineLevel="0" collapsed="false">
      <c r="B21" s="19" t="n">
        <v>8</v>
      </c>
      <c r="C21" s="5"/>
      <c r="D21" s="9"/>
      <c r="E21" s="9"/>
      <c r="F21" s="11"/>
      <c r="G21" s="11"/>
      <c r="H21" s="11"/>
      <c r="I21" s="20" t="str">
        <f aca="false">IF(C21="","",COUNTIF($C$27:$C$56,C21))</f>
        <v/>
      </c>
      <c r="J21" s="21" t="str">
        <f aca="false">IF(OR(F21="",G21=""),"",G21-F21)</f>
        <v/>
      </c>
      <c r="K21" s="22" t="str">
        <f aca="false">IF(OR(G21="",H21=""),"",G21-H21)</f>
        <v/>
      </c>
      <c r="L21" s="23" t="str">
        <f aca="false">IF(AND(C21="",F21="",G21="",H21=""),"",IF(OR(G21="",H21=""),"Incompleto",IF(AND(J21&lt;&gt;"",J21&lt;0),"Confira os níveis",IF(K21&lt;3,"Sem margem",IF(K21&lt;$L$4,"Margem curta",IF(I21&gt;$L$7,"Cortes demais",IF(COUNTIFS($C$27:$C$56,C21,$L$27:$L$56,"Corte fundo")+COUNTIFS($C$27:$C$56,C21,$L$27:$L$56,"Corte largo")+COUNTIFS($C$27:$C$56,C21,$L$27:$L$56,"Realce")&gt;0,"Rever cortes","OK")))))))</f>
        <v/>
      </c>
      <c r="M21" s="24" t="str">
        <f aca="false">IF(L21="","",IF(L21="Incompleto","Anote o apito depois dos cortes e o nível de operação",IF(L21="Confira os níveis","O apito depois dos cortes ficou abaixo do de antes: meça de novo",IF(OR(L21="Sem margem",L21="Margem curta"),"Baixe a saída "&amp;($L$4-K21)&amp;" dB, ou reveja a posição e a distância",IF(L21="Cortes demais","Cortes demais: reveja a posição das caixas e dos microfones",IF(L21="Rever cortes","Há corte fundo, largo ou realce nesta saída: veja a tabela de cortes","Manter"))))))</f>
        <v/>
      </c>
      <c r="N21" s="5"/>
    </row>
    <row r="23" customFormat="false" ht="21.75" hidden="false" customHeight="true" outlineLevel="0" collapsed="false">
      <c r="B23" s="13" t="s">
        <v>95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customFormat="false" ht="30" hidden="false" customHeight="true" outlineLevel="0" collapsed="false">
      <c r="B24" s="14" t="s">
        <v>74</v>
      </c>
      <c r="C24" s="14" t="s">
        <v>75</v>
      </c>
      <c r="D24" s="16" t="s">
        <v>96</v>
      </c>
      <c r="E24" s="15" t="s">
        <v>97</v>
      </c>
      <c r="F24" s="15" t="s">
        <v>98</v>
      </c>
      <c r="G24" s="15" t="s">
        <v>99</v>
      </c>
      <c r="H24" s="15" t="s">
        <v>100</v>
      </c>
      <c r="I24" s="16" t="s">
        <v>101</v>
      </c>
      <c r="J24" s="16" t="s">
        <v>49</v>
      </c>
      <c r="K24" s="16" t="s">
        <v>49</v>
      </c>
      <c r="L24" s="16" t="s">
        <v>81</v>
      </c>
      <c r="M24" s="16" t="s">
        <v>82</v>
      </c>
      <c r="N24" s="14" t="s">
        <v>83</v>
      </c>
    </row>
    <row r="25" customFormat="false" ht="21.75" hidden="false" customHeight="true" outlineLevel="0" collapsed="false">
      <c r="B25" s="17"/>
      <c r="C25" s="17" t="s">
        <v>102</v>
      </c>
      <c r="D25" s="17"/>
      <c r="E25" s="17" t="s">
        <v>103</v>
      </c>
      <c r="F25" s="17" t="s">
        <v>104</v>
      </c>
      <c r="G25" s="17" t="s">
        <v>105</v>
      </c>
      <c r="H25" s="17"/>
      <c r="I25" s="17" t="s">
        <v>106</v>
      </c>
      <c r="J25" s="17" t="s">
        <v>107</v>
      </c>
      <c r="K25" s="17" t="s">
        <v>108</v>
      </c>
      <c r="L25" s="17"/>
      <c r="M25" s="17"/>
      <c r="N25" s="17"/>
    </row>
    <row r="26" customFormat="false" ht="21.75" hidden="false" customHeight="true" outlineLevel="0" collapsed="false">
      <c r="B26" s="17" t="s">
        <v>90</v>
      </c>
      <c r="C26" s="10" t="s">
        <v>91</v>
      </c>
      <c r="D26" s="17" t="n">
        <v>1</v>
      </c>
      <c r="E26" s="17" t="n">
        <v>2500</v>
      </c>
      <c r="F26" s="18" t="n">
        <v>-6</v>
      </c>
      <c r="G26" s="17" t="n">
        <v>8</v>
      </c>
      <c r="H26" s="17" t="s">
        <v>109</v>
      </c>
      <c r="I26" s="17" t="s">
        <v>110</v>
      </c>
      <c r="J26" s="17" t="n">
        <v>0.18</v>
      </c>
      <c r="K26" s="17" t="n">
        <v>313</v>
      </c>
      <c r="L26" s="17" t="s">
        <v>93</v>
      </c>
      <c r="M26" s="10" t="s">
        <v>94</v>
      </c>
      <c r="N26" s="10"/>
    </row>
    <row r="27" customFormat="false" ht="19.5" hidden="false" customHeight="true" outlineLevel="0" collapsed="false">
      <c r="B27" s="19" t="n">
        <v>1</v>
      </c>
      <c r="C27" s="5"/>
      <c r="D27" s="20" t="str">
        <f aca="false">IF(OR(C27="",E27=""),"",COUNTIF($C$27:C27,C27))</f>
        <v/>
      </c>
      <c r="E27" s="9"/>
      <c r="F27" s="11"/>
      <c r="G27" s="9"/>
      <c r="H27" s="9"/>
      <c r="I27" s="20" t="str">
        <f aca="false">IF(E27="","",IF(E27&lt;250,"Grave",IF(E27&lt;500,"Médio-grave",IF(E27&lt;2000,"Médio",IF(E27&lt;=5000,"Médio-agudo","Agudo")))))</f>
        <v/>
      </c>
      <c r="J27" s="25" t="str">
        <f aca="false">IF(OR(E27="",AND(H27&lt;&gt;"Gráfico",OR(G27="",G27&lt;=0))),"",IF(H27="Gráfico",0.33,ROUND(2*LOG10(1/(2*G27)+(1/(4*G27^2)+1)^0.5)/LOG10(2),2)))</f>
        <v/>
      </c>
      <c r="K27" s="20" t="str">
        <f aca="false">IF(OR(E27="",AND(H27&lt;&gt;"Gráfico",OR(G27="",G27&lt;=0))),"",ROUND(E27*IF(H27="Gráfico",0.232,1/G27),0))</f>
        <v/>
      </c>
      <c r="L27" s="23" t="str">
        <f aca="false">IF(E27="","",IF(COUNTIF($C$14:$C$21,C27)=0,"Saída?",IF(AND(F27&lt;&gt;"",F27&gt;0),"Realce",IF(AND(F27&lt;&gt;"",F27&lt;$L$5),"Corte fundo",IF(AND(H27&lt;&gt;"Gráfico",G27&lt;&gt;"",G27&lt;$L$6),"Corte largo","OK")))))</f>
        <v/>
      </c>
      <c r="M27" s="24" t="str">
        <f aca="false">IF(L27="","",IF(L27="Saída?","Escreva a saída igual à da tabela de cima",IF(L27="Realce","Realce aumenta o ganho do ciclo: troque por corte",IF(L27="Corte fundo","Corte além de "&amp;ABS($L$5)&amp;" dB: reveja a posição antes de aprofundar",IF(L27="Corte largo","Estreite o corte: Q de pelo menos "&amp;$L$6,"Manter")))))</f>
        <v/>
      </c>
      <c r="N27" s="5"/>
    </row>
    <row r="28" customFormat="false" ht="19.5" hidden="false" customHeight="true" outlineLevel="0" collapsed="false">
      <c r="B28" s="19" t="n">
        <v>2</v>
      </c>
      <c r="C28" s="5"/>
      <c r="D28" s="20" t="str">
        <f aca="false">IF(OR(C28="",E28=""),"",COUNTIF($C$27:C28,C28))</f>
        <v/>
      </c>
      <c r="E28" s="9"/>
      <c r="F28" s="11"/>
      <c r="G28" s="9"/>
      <c r="H28" s="9"/>
      <c r="I28" s="20" t="str">
        <f aca="false">IF(E28="","",IF(E28&lt;250,"Grave",IF(E28&lt;500,"Médio-grave",IF(E28&lt;2000,"Médio",IF(E28&lt;=5000,"Médio-agudo","Agudo")))))</f>
        <v/>
      </c>
      <c r="J28" s="25" t="str">
        <f aca="false">IF(OR(E28="",AND(H28&lt;&gt;"Gráfico",OR(G28="",G28&lt;=0))),"",IF(H28="Gráfico",0.33,ROUND(2*LOG10(1/(2*G28)+(1/(4*G28^2)+1)^0.5)/LOG10(2),2)))</f>
        <v/>
      </c>
      <c r="K28" s="20" t="str">
        <f aca="false">IF(OR(E28="",AND(H28&lt;&gt;"Gráfico",OR(G28="",G28&lt;=0))),"",ROUND(E28*IF(H28="Gráfico",0.232,1/G28),0))</f>
        <v/>
      </c>
      <c r="L28" s="23" t="str">
        <f aca="false">IF(E28="","",IF(COUNTIF($C$14:$C$21,C28)=0,"Saída?",IF(AND(F28&lt;&gt;"",F28&gt;0),"Realce",IF(AND(F28&lt;&gt;"",F28&lt;$L$5),"Corte fundo",IF(AND(H28&lt;&gt;"Gráfico",G28&lt;&gt;"",G28&lt;$L$6),"Corte largo","OK")))))</f>
        <v/>
      </c>
      <c r="M28" s="24" t="str">
        <f aca="false">IF(L28="","",IF(L28="Saída?","Escreva a saída igual à da tabela de cima",IF(L28="Realce","Realce aumenta o ganho do ciclo: troque por corte",IF(L28="Corte fundo","Corte além de "&amp;ABS($L$5)&amp;" dB: reveja a posição antes de aprofundar",IF(L28="Corte largo","Estreite o corte: Q de pelo menos "&amp;$L$6,"Manter")))))</f>
        <v/>
      </c>
      <c r="N28" s="5"/>
    </row>
    <row r="29" customFormat="false" ht="19.5" hidden="false" customHeight="true" outlineLevel="0" collapsed="false">
      <c r="B29" s="19" t="n">
        <v>3</v>
      </c>
      <c r="C29" s="5"/>
      <c r="D29" s="20" t="str">
        <f aca="false">IF(OR(C29="",E29=""),"",COUNTIF($C$27:C29,C29))</f>
        <v/>
      </c>
      <c r="E29" s="9"/>
      <c r="F29" s="11"/>
      <c r="G29" s="9"/>
      <c r="H29" s="9"/>
      <c r="I29" s="20" t="str">
        <f aca="false">IF(E29="","",IF(E29&lt;250,"Grave",IF(E29&lt;500,"Médio-grave",IF(E29&lt;2000,"Médio",IF(E29&lt;=5000,"Médio-agudo","Agudo")))))</f>
        <v/>
      </c>
      <c r="J29" s="25" t="str">
        <f aca="false">IF(OR(E29="",AND(H29&lt;&gt;"Gráfico",OR(G29="",G29&lt;=0))),"",IF(H29="Gráfico",0.33,ROUND(2*LOG10(1/(2*G29)+(1/(4*G29^2)+1)^0.5)/LOG10(2),2)))</f>
        <v/>
      </c>
      <c r="K29" s="20" t="str">
        <f aca="false">IF(OR(E29="",AND(H29&lt;&gt;"Gráfico",OR(G29="",G29&lt;=0))),"",ROUND(E29*IF(H29="Gráfico",0.232,1/G29),0))</f>
        <v/>
      </c>
      <c r="L29" s="23" t="str">
        <f aca="false">IF(E29="","",IF(COUNTIF($C$14:$C$21,C29)=0,"Saída?",IF(AND(F29&lt;&gt;"",F29&gt;0),"Realce",IF(AND(F29&lt;&gt;"",F29&lt;$L$5),"Corte fundo",IF(AND(H29&lt;&gt;"Gráfico",G29&lt;&gt;"",G29&lt;$L$6),"Corte largo","OK")))))</f>
        <v/>
      </c>
      <c r="M29" s="24" t="str">
        <f aca="false">IF(L29="","",IF(L29="Saída?","Escreva a saída igual à da tabela de cima",IF(L29="Realce","Realce aumenta o ganho do ciclo: troque por corte",IF(L29="Corte fundo","Corte além de "&amp;ABS($L$5)&amp;" dB: reveja a posição antes de aprofundar",IF(L29="Corte largo","Estreite o corte: Q de pelo menos "&amp;$L$6,"Manter")))))</f>
        <v/>
      </c>
      <c r="N29" s="5"/>
    </row>
    <row r="30" customFormat="false" ht="19.5" hidden="false" customHeight="true" outlineLevel="0" collapsed="false">
      <c r="B30" s="19" t="n">
        <v>4</v>
      </c>
      <c r="C30" s="5"/>
      <c r="D30" s="20" t="str">
        <f aca="false">IF(OR(C30="",E30=""),"",COUNTIF($C$27:C30,C30))</f>
        <v/>
      </c>
      <c r="E30" s="9"/>
      <c r="F30" s="11"/>
      <c r="G30" s="9"/>
      <c r="H30" s="9"/>
      <c r="I30" s="20" t="str">
        <f aca="false">IF(E30="","",IF(E30&lt;250,"Grave",IF(E30&lt;500,"Médio-grave",IF(E30&lt;2000,"Médio",IF(E30&lt;=5000,"Médio-agudo","Agudo")))))</f>
        <v/>
      </c>
      <c r="J30" s="25" t="str">
        <f aca="false">IF(OR(E30="",AND(H30&lt;&gt;"Gráfico",OR(G30="",G30&lt;=0))),"",IF(H30="Gráfico",0.33,ROUND(2*LOG10(1/(2*G30)+(1/(4*G30^2)+1)^0.5)/LOG10(2),2)))</f>
        <v/>
      </c>
      <c r="K30" s="20" t="str">
        <f aca="false">IF(OR(E30="",AND(H30&lt;&gt;"Gráfico",OR(G30="",G30&lt;=0))),"",ROUND(E30*IF(H30="Gráfico",0.232,1/G30),0))</f>
        <v/>
      </c>
      <c r="L30" s="23" t="str">
        <f aca="false">IF(E30="","",IF(COUNTIF($C$14:$C$21,C30)=0,"Saída?",IF(AND(F30&lt;&gt;"",F30&gt;0),"Realce",IF(AND(F30&lt;&gt;"",F30&lt;$L$5),"Corte fundo",IF(AND(H30&lt;&gt;"Gráfico",G30&lt;&gt;"",G30&lt;$L$6),"Corte largo","OK")))))</f>
        <v/>
      </c>
      <c r="M30" s="24" t="str">
        <f aca="false">IF(L30="","",IF(L30="Saída?","Escreva a saída igual à da tabela de cima",IF(L30="Realce","Realce aumenta o ganho do ciclo: troque por corte",IF(L30="Corte fundo","Corte além de "&amp;ABS($L$5)&amp;" dB: reveja a posição antes de aprofundar",IF(L30="Corte largo","Estreite o corte: Q de pelo menos "&amp;$L$6,"Manter")))))</f>
        <v/>
      </c>
      <c r="N30" s="5"/>
    </row>
    <row r="31" customFormat="false" ht="19.5" hidden="false" customHeight="true" outlineLevel="0" collapsed="false">
      <c r="B31" s="19" t="n">
        <v>5</v>
      </c>
      <c r="C31" s="5"/>
      <c r="D31" s="20" t="str">
        <f aca="false">IF(OR(C31="",E31=""),"",COUNTIF($C$27:C31,C31))</f>
        <v/>
      </c>
      <c r="E31" s="9"/>
      <c r="F31" s="11"/>
      <c r="G31" s="9"/>
      <c r="H31" s="9"/>
      <c r="I31" s="20" t="str">
        <f aca="false">IF(E31="","",IF(E31&lt;250,"Grave",IF(E31&lt;500,"Médio-grave",IF(E31&lt;2000,"Médio",IF(E31&lt;=5000,"Médio-agudo","Agudo")))))</f>
        <v/>
      </c>
      <c r="J31" s="25" t="str">
        <f aca="false">IF(OR(E31="",AND(H31&lt;&gt;"Gráfico",OR(G31="",G31&lt;=0))),"",IF(H31="Gráfico",0.33,ROUND(2*LOG10(1/(2*G31)+(1/(4*G31^2)+1)^0.5)/LOG10(2),2)))</f>
        <v/>
      </c>
      <c r="K31" s="20" t="str">
        <f aca="false">IF(OR(E31="",AND(H31&lt;&gt;"Gráfico",OR(G31="",G31&lt;=0))),"",ROUND(E31*IF(H31="Gráfico",0.232,1/G31),0))</f>
        <v/>
      </c>
      <c r="L31" s="23" t="str">
        <f aca="false">IF(E31="","",IF(COUNTIF($C$14:$C$21,C31)=0,"Saída?",IF(AND(F31&lt;&gt;"",F31&gt;0),"Realce",IF(AND(F31&lt;&gt;"",F31&lt;$L$5),"Corte fundo",IF(AND(H31&lt;&gt;"Gráfico",G31&lt;&gt;"",G31&lt;$L$6),"Corte largo","OK")))))</f>
        <v/>
      </c>
      <c r="M31" s="24" t="str">
        <f aca="false">IF(L31="","",IF(L31="Saída?","Escreva a saída igual à da tabela de cima",IF(L31="Realce","Realce aumenta o ganho do ciclo: troque por corte",IF(L31="Corte fundo","Corte além de "&amp;ABS($L$5)&amp;" dB: reveja a posição antes de aprofundar",IF(L31="Corte largo","Estreite o corte: Q de pelo menos "&amp;$L$6,"Manter")))))</f>
        <v/>
      </c>
      <c r="N31" s="5"/>
    </row>
    <row r="32" customFormat="false" ht="19.5" hidden="false" customHeight="true" outlineLevel="0" collapsed="false">
      <c r="B32" s="19" t="n">
        <v>6</v>
      </c>
      <c r="C32" s="5"/>
      <c r="D32" s="20" t="str">
        <f aca="false">IF(OR(C32="",E32=""),"",COUNTIF($C$27:C32,C32))</f>
        <v/>
      </c>
      <c r="E32" s="9"/>
      <c r="F32" s="11"/>
      <c r="G32" s="9"/>
      <c r="H32" s="9"/>
      <c r="I32" s="20" t="str">
        <f aca="false">IF(E32="","",IF(E32&lt;250,"Grave",IF(E32&lt;500,"Médio-grave",IF(E32&lt;2000,"Médio",IF(E32&lt;=5000,"Médio-agudo","Agudo")))))</f>
        <v/>
      </c>
      <c r="J32" s="25" t="str">
        <f aca="false">IF(OR(E32="",AND(H32&lt;&gt;"Gráfico",OR(G32="",G32&lt;=0))),"",IF(H32="Gráfico",0.33,ROUND(2*LOG10(1/(2*G32)+(1/(4*G32^2)+1)^0.5)/LOG10(2),2)))</f>
        <v/>
      </c>
      <c r="K32" s="20" t="str">
        <f aca="false">IF(OR(E32="",AND(H32&lt;&gt;"Gráfico",OR(G32="",G32&lt;=0))),"",ROUND(E32*IF(H32="Gráfico",0.232,1/G32),0))</f>
        <v/>
      </c>
      <c r="L32" s="23" t="str">
        <f aca="false">IF(E32="","",IF(COUNTIF($C$14:$C$21,C32)=0,"Saída?",IF(AND(F32&lt;&gt;"",F32&gt;0),"Realce",IF(AND(F32&lt;&gt;"",F32&lt;$L$5),"Corte fundo",IF(AND(H32&lt;&gt;"Gráfico",G32&lt;&gt;"",G32&lt;$L$6),"Corte largo","OK")))))</f>
        <v/>
      </c>
      <c r="M32" s="24" t="str">
        <f aca="false">IF(L32="","",IF(L32="Saída?","Escreva a saída igual à da tabela de cima",IF(L32="Realce","Realce aumenta o ganho do ciclo: troque por corte",IF(L32="Corte fundo","Corte além de "&amp;ABS($L$5)&amp;" dB: reveja a posição antes de aprofundar",IF(L32="Corte largo","Estreite o corte: Q de pelo menos "&amp;$L$6,"Manter")))))</f>
        <v/>
      </c>
      <c r="N32" s="5"/>
    </row>
    <row r="33" customFormat="false" ht="19.5" hidden="false" customHeight="true" outlineLevel="0" collapsed="false">
      <c r="B33" s="19" t="n">
        <v>7</v>
      </c>
      <c r="C33" s="5"/>
      <c r="D33" s="20" t="str">
        <f aca="false">IF(OR(C33="",E33=""),"",COUNTIF($C$27:C33,C33))</f>
        <v/>
      </c>
      <c r="E33" s="9"/>
      <c r="F33" s="11"/>
      <c r="G33" s="9"/>
      <c r="H33" s="9"/>
      <c r="I33" s="20" t="str">
        <f aca="false">IF(E33="","",IF(E33&lt;250,"Grave",IF(E33&lt;500,"Médio-grave",IF(E33&lt;2000,"Médio",IF(E33&lt;=5000,"Médio-agudo","Agudo")))))</f>
        <v/>
      </c>
      <c r="J33" s="25" t="str">
        <f aca="false">IF(OR(E33="",AND(H33&lt;&gt;"Gráfico",OR(G33="",G33&lt;=0))),"",IF(H33="Gráfico",0.33,ROUND(2*LOG10(1/(2*G33)+(1/(4*G33^2)+1)^0.5)/LOG10(2),2)))</f>
        <v/>
      </c>
      <c r="K33" s="20" t="str">
        <f aca="false">IF(OR(E33="",AND(H33&lt;&gt;"Gráfico",OR(G33="",G33&lt;=0))),"",ROUND(E33*IF(H33="Gráfico",0.232,1/G33),0))</f>
        <v/>
      </c>
      <c r="L33" s="23" t="str">
        <f aca="false">IF(E33="","",IF(COUNTIF($C$14:$C$21,C33)=0,"Saída?",IF(AND(F33&lt;&gt;"",F33&gt;0),"Realce",IF(AND(F33&lt;&gt;"",F33&lt;$L$5),"Corte fundo",IF(AND(H33&lt;&gt;"Gráfico",G33&lt;&gt;"",G33&lt;$L$6),"Corte largo","OK")))))</f>
        <v/>
      </c>
      <c r="M33" s="24" t="str">
        <f aca="false">IF(L33="","",IF(L33="Saída?","Escreva a saída igual à da tabela de cima",IF(L33="Realce","Realce aumenta o ganho do ciclo: troque por corte",IF(L33="Corte fundo","Corte além de "&amp;ABS($L$5)&amp;" dB: reveja a posição antes de aprofundar",IF(L33="Corte largo","Estreite o corte: Q de pelo menos "&amp;$L$6,"Manter")))))</f>
        <v/>
      </c>
      <c r="N33" s="5"/>
    </row>
    <row r="34" customFormat="false" ht="19.5" hidden="false" customHeight="true" outlineLevel="0" collapsed="false">
      <c r="B34" s="19" t="n">
        <v>8</v>
      </c>
      <c r="C34" s="5"/>
      <c r="D34" s="20" t="str">
        <f aca="false">IF(OR(C34="",E34=""),"",COUNTIF($C$27:C34,C34))</f>
        <v/>
      </c>
      <c r="E34" s="9"/>
      <c r="F34" s="11"/>
      <c r="G34" s="9"/>
      <c r="H34" s="9"/>
      <c r="I34" s="20" t="str">
        <f aca="false">IF(E34="","",IF(E34&lt;250,"Grave",IF(E34&lt;500,"Médio-grave",IF(E34&lt;2000,"Médio",IF(E34&lt;=5000,"Médio-agudo","Agudo")))))</f>
        <v/>
      </c>
      <c r="J34" s="25" t="str">
        <f aca="false">IF(OR(E34="",AND(H34&lt;&gt;"Gráfico",OR(G34="",G34&lt;=0))),"",IF(H34="Gráfico",0.33,ROUND(2*LOG10(1/(2*G34)+(1/(4*G34^2)+1)^0.5)/LOG10(2),2)))</f>
        <v/>
      </c>
      <c r="K34" s="20" t="str">
        <f aca="false">IF(OR(E34="",AND(H34&lt;&gt;"Gráfico",OR(G34="",G34&lt;=0))),"",ROUND(E34*IF(H34="Gráfico",0.232,1/G34),0))</f>
        <v/>
      </c>
      <c r="L34" s="23" t="str">
        <f aca="false">IF(E34="","",IF(COUNTIF($C$14:$C$21,C34)=0,"Saída?",IF(AND(F34&lt;&gt;"",F34&gt;0),"Realce",IF(AND(F34&lt;&gt;"",F34&lt;$L$5),"Corte fundo",IF(AND(H34&lt;&gt;"Gráfico",G34&lt;&gt;"",G34&lt;$L$6),"Corte largo","OK")))))</f>
        <v/>
      </c>
      <c r="M34" s="24" t="str">
        <f aca="false">IF(L34="","",IF(L34="Saída?","Escreva a saída igual à da tabela de cima",IF(L34="Realce","Realce aumenta o ganho do ciclo: troque por corte",IF(L34="Corte fundo","Corte além de "&amp;ABS($L$5)&amp;" dB: reveja a posição antes de aprofundar",IF(L34="Corte largo","Estreite o corte: Q de pelo menos "&amp;$L$6,"Manter")))))</f>
        <v/>
      </c>
      <c r="N34" s="5"/>
    </row>
    <row r="35" customFormat="false" ht="19.5" hidden="false" customHeight="true" outlineLevel="0" collapsed="false">
      <c r="B35" s="19" t="n">
        <v>9</v>
      </c>
      <c r="C35" s="5"/>
      <c r="D35" s="20" t="str">
        <f aca="false">IF(OR(C35="",E35=""),"",COUNTIF($C$27:C35,C35))</f>
        <v/>
      </c>
      <c r="E35" s="9"/>
      <c r="F35" s="11"/>
      <c r="G35" s="9"/>
      <c r="H35" s="9"/>
      <c r="I35" s="20" t="str">
        <f aca="false">IF(E35="","",IF(E35&lt;250,"Grave",IF(E35&lt;500,"Médio-grave",IF(E35&lt;2000,"Médio",IF(E35&lt;=5000,"Médio-agudo","Agudo")))))</f>
        <v/>
      </c>
      <c r="J35" s="25" t="str">
        <f aca="false">IF(OR(E35="",AND(H35&lt;&gt;"Gráfico",OR(G35="",G35&lt;=0))),"",IF(H35="Gráfico",0.33,ROUND(2*LOG10(1/(2*G35)+(1/(4*G35^2)+1)^0.5)/LOG10(2),2)))</f>
        <v/>
      </c>
      <c r="K35" s="20" t="str">
        <f aca="false">IF(OR(E35="",AND(H35&lt;&gt;"Gráfico",OR(G35="",G35&lt;=0))),"",ROUND(E35*IF(H35="Gráfico",0.232,1/G35),0))</f>
        <v/>
      </c>
      <c r="L35" s="23" t="str">
        <f aca="false">IF(E35="","",IF(COUNTIF($C$14:$C$21,C35)=0,"Saída?",IF(AND(F35&lt;&gt;"",F35&gt;0),"Realce",IF(AND(F35&lt;&gt;"",F35&lt;$L$5),"Corte fundo",IF(AND(H35&lt;&gt;"Gráfico",G35&lt;&gt;"",G35&lt;$L$6),"Corte largo","OK")))))</f>
        <v/>
      </c>
      <c r="M35" s="24" t="str">
        <f aca="false">IF(L35="","",IF(L35="Saída?","Escreva a saída igual à da tabela de cima",IF(L35="Realce","Realce aumenta o ganho do ciclo: troque por corte",IF(L35="Corte fundo","Corte além de "&amp;ABS($L$5)&amp;" dB: reveja a posição antes de aprofundar",IF(L35="Corte largo","Estreite o corte: Q de pelo menos "&amp;$L$6,"Manter")))))</f>
        <v/>
      </c>
      <c r="N35" s="5"/>
    </row>
    <row r="36" customFormat="false" ht="19.5" hidden="false" customHeight="true" outlineLevel="0" collapsed="false">
      <c r="B36" s="19" t="n">
        <v>10</v>
      </c>
      <c r="C36" s="5"/>
      <c r="D36" s="20" t="str">
        <f aca="false">IF(OR(C36="",E36=""),"",COUNTIF($C$27:C36,C36))</f>
        <v/>
      </c>
      <c r="E36" s="9"/>
      <c r="F36" s="11"/>
      <c r="G36" s="9"/>
      <c r="H36" s="9"/>
      <c r="I36" s="20" t="str">
        <f aca="false">IF(E36="","",IF(E36&lt;250,"Grave",IF(E36&lt;500,"Médio-grave",IF(E36&lt;2000,"Médio",IF(E36&lt;=5000,"Médio-agudo","Agudo")))))</f>
        <v/>
      </c>
      <c r="J36" s="25" t="str">
        <f aca="false">IF(OR(E36="",AND(H36&lt;&gt;"Gráfico",OR(G36="",G36&lt;=0))),"",IF(H36="Gráfico",0.33,ROUND(2*LOG10(1/(2*G36)+(1/(4*G36^2)+1)^0.5)/LOG10(2),2)))</f>
        <v/>
      </c>
      <c r="K36" s="20" t="str">
        <f aca="false">IF(OR(E36="",AND(H36&lt;&gt;"Gráfico",OR(G36="",G36&lt;=0))),"",ROUND(E36*IF(H36="Gráfico",0.232,1/G36),0))</f>
        <v/>
      </c>
      <c r="L36" s="23" t="str">
        <f aca="false">IF(E36="","",IF(COUNTIF($C$14:$C$21,C36)=0,"Saída?",IF(AND(F36&lt;&gt;"",F36&gt;0),"Realce",IF(AND(F36&lt;&gt;"",F36&lt;$L$5),"Corte fundo",IF(AND(H36&lt;&gt;"Gráfico",G36&lt;&gt;"",G36&lt;$L$6),"Corte largo","OK")))))</f>
        <v/>
      </c>
      <c r="M36" s="24" t="str">
        <f aca="false">IF(L36="","",IF(L36="Saída?","Escreva a saída igual à da tabela de cima",IF(L36="Realce","Realce aumenta o ganho do ciclo: troque por corte",IF(L36="Corte fundo","Corte além de "&amp;ABS($L$5)&amp;" dB: reveja a posição antes de aprofundar",IF(L36="Corte largo","Estreite o corte: Q de pelo menos "&amp;$L$6,"Manter")))))</f>
        <v/>
      </c>
      <c r="N36" s="5"/>
    </row>
    <row r="37" customFormat="false" ht="19.5" hidden="false" customHeight="true" outlineLevel="0" collapsed="false">
      <c r="B37" s="19" t="n">
        <v>11</v>
      </c>
      <c r="C37" s="5"/>
      <c r="D37" s="20" t="str">
        <f aca="false">IF(OR(C37="",E37=""),"",COUNTIF($C$27:C37,C37))</f>
        <v/>
      </c>
      <c r="E37" s="9"/>
      <c r="F37" s="11"/>
      <c r="G37" s="9"/>
      <c r="H37" s="9"/>
      <c r="I37" s="20" t="str">
        <f aca="false">IF(E37="","",IF(E37&lt;250,"Grave",IF(E37&lt;500,"Médio-grave",IF(E37&lt;2000,"Médio",IF(E37&lt;=5000,"Médio-agudo","Agudo")))))</f>
        <v/>
      </c>
      <c r="J37" s="25" t="str">
        <f aca="false">IF(OR(E37="",AND(H37&lt;&gt;"Gráfico",OR(G37="",G37&lt;=0))),"",IF(H37="Gráfico",0.33,ROUND(2*LOG10(1/(2*G37)+(1/(4*G37^2)+1)^0.5)/LOG10(2),2)))</f>
        <v/>
      </c>
      <c r="K37" s="20" t="str">
        <f aca="false">IF(OR(E37="",AND(H37&lt;&gt;"Gráfico",OR(G37="",G37&lt;=0))),"",ROUND(E37*IF(H37="Gráfico",0.232,1/G37),0))</f>
        <v/>
      </c>
      <c r="L37" s="23" t="str">
        <f aca="false">IF(E37="","",IF(COUNTIF($C$14:$C$21,C37)=0,"Saída?",IF(AND(F37&lt;&gt;"",F37&gt;0),"Realce",IF(AND(F37&lt;&gt;"",F37&lt;$L$5),"Corte fundo",IF(AND(H37&lt;&gt;"Gráfico",G37&lt;&gt;"",G37&lt;$L$6),"Corte largo","OK")))))</f>
        <v/>
      </c>
      <c r="M37" s="24" t="str">
        <f aca="false">IF(L37="","",IF(L37="Saída?","Escreva a saída igual à da tabela de cima",IF(L37="Realce","Realce aumenta o ganho do ciclo: troque por corte",IF(L37="Corte fundo","Corte além de "&amp;ABS($L$5)&amp;" dB: reveja a posição antes de aprofundar",IF(L37="Corte largo","Estreite o corte: Q de pelo menos "&amp;$L$6,"Manter")))))</f>
        <v/>
      </c>
      <c r="N37" s="5"/>
    </row>
    <row r="38" customFormat="false" ht="19.5" hidden="false" customHeight="true" outlineLevel="0" collapsed="false">
      <c r="B38" s="19" t="n">
        <v>12</v>
      </c>
      <c r="C38" s="5"/>
      <c r="D38" s="20" t="str">
        <f aca="false">IF(OR(C38="",E38=""),"",COUNTIF($C$27:C38,C38))</f>
        <v/>
      </c>
      <c r="E38" s="9"/>
      <c r="F38" s="11"/>
      <c r="G38" s="9"/>
      <c r="H38" s="9"/>
      <c r="I38" s="20" t="str">
        <f aca="false">IF(E38="","",IF(E38&lt;250,"Grave",IF(E38&lt;500,"Médio-grave",IF(E38&lt;2000,"Médio",IF(E38&lt;=5000,"Médio-agudo","Agudo")))))</f>
        <v/>
      </c>
      <c r="J38" s="25" t="str">
        <f aca="false">IF(OR(E38="",AND(H38&lt;&gt;"Gráfico",OR(G38="",G38&lt;=0))),"",IF(H38="Gráfico",0.33,ROUND(2*LOG10(1/(2*G38)+(1/(4*G38^2)+1)^0.5)/LOG10(2),2)))</f>
        <v/>
      </c>
      <c r="K38" s="20" t="str">
        <f aca="false">IF(OR(E38="",AND(H38&lt;&gt;"Gráfico",OR(G38="",G38&lt;=0))),"",ROUND(E38*IF(H38="Gráfico",0.232,1/G38),0))</f>
        <v/>
      </c>
      <c r="L38" s="23" t="str">
        <f aca="false">IF(E38="","",IF(COUNTIF($C$14:$C$21,C38)=0,"Saída?",IF(AND(F38&lt;&gt;"",F38&gt;0),"Realce",IF(AND(F38&lt;&gt;"",F38&lt;$L$5),"Corte fundo",IF(AND(H38&lt;&gt;"Gráfico",G38&lt;&gt;"",G38&lt;$L$6),"Corte largo","OK")))))</f>
        <v/>
      </c>
      <c r="M38" s="24" t="str">
        <f aca="false">IF(L38="","",IF(L38="Saída?","Escreva a saída igual à da tabela de cima",IF(L38="Realce","Realce aumenta o ganho do ciclo: troque por corte",IF(L38="Corte fundo","Corte além de "&amp;ABS($L$5)&amp;" dB: reveja a posição antes de aprofundar",IF(L38="Corte largo","Estreite o corte: Q de pelo menos "&amp;$L$6,"Manter")))))</f>
        <v/>
      </c>
      <c r="N38" s="5"/>
    </row>
    <row r="39" customFormat="false" ht="19.5" hidden="false" customHeight="true" outlineLevel="0" collapsed="false">
      <c r="B39" s="19" t="n">
        <v>13</v>
      </c>
      <c r="C39" s="5"/>
      <c r="D39" s="20" t="str">
        <f aca="false">IF(OR(C39="",E39=""),"",COUNTIF($C$27:C39,C39))</f>
        <v/>
      </c>
      <c r="E39" s="9"/>
      <c r="F39" s="11"/>
      <c r="G39" s="9"/>
      <c r="H39" s="9"/>
      <c r="I39" s="20" t="str">
        <f aca="false">IF(E39="","",IF(E39&lt;250,"Grave",IF(E39&lt;500,"Médio-grave",IF(E39&lt;2000,"Médio",IF(E39&lt;=5000,"Médio-agudo","Agudo")))))</f>
        <v/>
      </c>
      <c r="J39" s="25" t="str">
        <f aca="false">IF(OR(E39="",AND(H39&lt;&gt;"Gráfico",OR(G39="",G39&lt;=0))),"",IF(H39="Gráfico",0.33,ROUND(2*LOG10(1/(2*G39)+(1/(4*G39^2)+1)^0.5)/LOG10(2),2)))</f>
        <v/>
      </c>
      <c r="K39" s="20" t="str">
        <f aca="false">IF(OR(E39="",AND(H39&lt;&gt;"Gráfico",OR(G39="",G39&lt;=0))),"",ROUND(E39*IF(H39="Gráfico",0.232,1/G39),0))</f>
        <v/>
      </c>
      <c r="L39" s="23" t="str">
        <f aca="false">IF(E39="","",IF(COUNTIF($C$14:$C$21,C39)=0,"Saída?",IF(AND(F39&lt;&gt;"",F39&gt;0),"Realce",IF(AND(F39&lt;&gt;"",F39&lt;$L$5),"Corte fundo",IF(AND(H39&lt;&gt;"Gráfico",G39&lt;&gt;"",G39&lt;$L$6),"Corte largo","OK")))))</f>
        <v/>
      </c>
      <c r="M39" s="24" t="str">
        <f aca="false">IF(L39="","",IF(L39="Saída?","Escreva a saída igual à da tabela de cima",IF(L39="Realce","Realce aumenta o ganho do ciclo: troque por corte",IF(L39="Corte fundo","Corte além de "&amp;ABS($L$5)&amp;" dB: reveja a posição antes de aprofundar",IF(L39="Corte largo","Estreite o corte: Q de pelo menos "&amp;$L$6,"Manter")))))</f>
        <v/>
      </c>
      <c r="N39" s="5"/>
    </row>
    <row r="40" customFormat="false" ht="19.5" hidden="false" customHeight="true" outlineLevel="0" collapsed="false">
      <c r="B40" s="19" t="n">
        <v>14</v>
      </c>
      <c r="C40" s="5"/>
      <c r="D40" s="20" t="str">
        <f aca="false">IF(OR(C40="",E40=""),"",COUNTIF($C$27:C40,C40))</f>
        <v/>
      </c>
      <c r="E40" s="9"/>
      <c r="F40" s="11"/>
      <c r="G40" s="9"/>
      <c r="H40" s="9"/>
      <c r="I40" s="20" t="str">
        <f aca="false">IF(E40="","",IF(E40&lt;250,"Grave",IF(E40&lt;500,"Médio-grave",IF(E40&lt;2000,"Médio",IF(E40&lt;=5000,"Médio-agudo","Agudo")))))</f>
        <v/>
      </c>
      <c r="J40" s="25" t="str">
        <f aca="false">IF(OR(E40="",AND(H40&lt;&gt;"Gráfico",OR(G40="",G40&lt;=0))),"",IF(H40="Gráfico",0.33,ROUND(2*LOG10(1/(2*G40)+(1/(4*G40^2)+1)^0.5)/LOG10(2),2)))</f>
        <v/>
      </c>
      <c r="K40" s="20" t="str">
        <f aca="false">IF(OR(E40="",AND(H40&lt;&gt;"Gráfico",OR(G40="",G40&lt;=0))),"",ROUND(E40*IF(H40="Gráfico",0.232,1/G40),0))</f>
        <v/>
      </c>
      <c r="L40" s="23" t="str">
        <f aca="false">IF(E40="","",IF(COUNTIF($C$14:$C$21,C40)=0,"Saída?",IF(AND(F40&lt;&gt;"",F40&gt;0),"Realce",IF(AND(F40&lt;&gt;"",F40&lt;$L$5),"Corte fundo",IF(AND(H40&lt;&gt;"Gráfico",G40&lt;&gt;"",G40&lt;$L$6),"Corte largo","OK")))))</f>
        <v/>
      </c>
      <c r="M40" s="24" t="str">
        <f aca="false">IF(L40="","",IF(L40="Saída?","Escreva a saída igual à da tabela de cima",IF(L40="Realce","Realce aumenta o ganho do ciclo: troque por corte",IF(L40="Corte fundo","Corte além de "&amp;ABS($L$5)&amp;" dB: reveja a posição antes de aprofundar",IF(L40="Corte largo","Estreite o corte: Q de pelo menos "&amp;$L$6,"Manter")))))</f>
        <v/>
      </c>
      <c r="N40" s="5"/>
    </row>
    <row r="41" customFormat="false" ht="19.5" hidden="false" customHeight="true" outlineLevel="0" collapsed="false">
      <c r="B41" s="19" t="n">
        <v>15</v>
      </c>
      <c r="C41" s="5"/>
      <c r="D41" s="20" t="str">
        <f aca="false">IF(OR(C41="",E41=""),"",COUNTIF($C$27:C41,C41))</f>
        <v/>
      </c>
      <c r="E41" s="9"/>
      <c r="F41" s="11"/>
      <c r="G41" s="9"/>
      <c r="H41" s="9"/>
      <c r="I41" s="20" t="str">
        <f aca="false">IF(E41="","",IF(E41&lt;250,"Grave",IF(E41&lt;500,"Médio-grave",IF(E41&lt;2000,"Médio",IF(E41&lt;=5000,"Médio-agudo","Agudo")))))</f>
        <v/>
      </c>
      <c r="J41" s="25" t="str">
        <f aca="false">IF(OR(E41="",AND(H41&lt;&gt;"Gráfico",OR(G41="",G41&lt;=0))),"",IF(H41="Gráfico",0.33,ROUND(2*LOG10(1/(2*G41)+(1/(4*G41^2)+1)^0.5)/LOG10(2),2)))</f>
        <v/>
      </c>
      <c r="K41" s="20" t="str">
        <f aca="false">IF(OR(E41="",AND(H41&lt;&gt;"Gráfico",OR(G41="",G41&lt;=0))),"",ROUND(E41*IF(H41="Gráfico",0.232,1/G41),0))</f>
        <v/>
      </c>
      <c r="L41" s="23" t="str">
        <f aca="false">IF(E41="","",IF(COUNTIF($C$14:$C$21,C41)=0,"Saída?",IF(AND(F41&lt;&gt;"",F41&gt;0),"Realce",IF(AND(F41&lt;&gt;"",F41&lt;$L$5),"Corte fundo",IF(AND(H41&lt;&gt;"Gráfico",G41&lt;&gt;"",G41&lt;$L$6),"Corte largo","OK")))))</f>
        <v/>
      </c>
      <c r="M41" s="24" t="str">
        <f aca="false">IF(L41="","",IF(L41="Saída?","Escreva a saída igual à da tabela de cima",IF(L41="Realce","Realce aumenta o ganho do ciclo: troque por corte",IF(L41="Corte fundo","Corte além de "&amp;ABS($L$5)&amp;" dB: reveja a posição antes de aprofundar",IF(L41="Corte largo","Estreite o corte: Q de pelo menos "&amp;$L$6,"Manter")))))</f>
        <v/>
      </c>
      <c r="N41" s="5"/>
    </row>
    <row r="42" customFormat="false" ht="19.5" hidden="false" customHeight="true" outlineLevel="0" collapsed="false">
      <c r="B42" s="19" t="n">
        <v>16</v>
      </c>
      <c r="C42" s="5"/>
      <c r="D42" s="20" t="str">
        <f aca="false">IF(OR(C42="",E42=""),"",COUNTIF($C$27:C42,C42))</f>
        <v/>
      </c>
      <c r="E42" s="9"/>
      <c r="F42" s="11"/>
      <c r="G42" s="9"/>
      <c r="H42" s="9"/>
      <c r="I42" s="20" t="str">
        <f aca="false">IF(E42="","",IF(E42&lt;250,"Grave",IF(E42&lt;500,"Médio-grave",IF(E42&lt;2000,"Médio",IF(E42&lt;=5000,"Médio-agudo","Agudo")))))</f>
        <v/>
      </c>
      <c r="J42" s="25" t="str">
        <f aca="false">IF(OR(E42="",AND(H42&lt;&gt;"Gráfico",OR(G42="",G42&lt;=0))),"",IF(H42="Gráfico",0.33,ROUND(2*LOG10(1/(2*G42)+(1/(4*G42^2)+1)^0.5)/LOG10(2),2)))</f>
        <v/>
      </c>
      <c r="K42" s="20" t="str">
        <f aca="false">IF(OR(E42="",AND(H42&lt;&gt;"Gráfico",OR(G42="",G42&lt;=0))),"",ROUND(E42*IF(H42="Gráfico",0.232,1/G42),0))</f>
        <v/>
      </c>
      <c r="L42" s="23" t="str">
        <f aca="false">IF(E42="","",IF(COUNTIF($C$14:$C$21,C42)=0,"Saída?",IF(AND(F42&lt;&gt;"",F42&gt;0),"Realce",IF(AND(F42&lt;&gt;"",F42&lt;$L$5),"Corte fundo",IF(AND(H42&lt;&gt;"Gráfico",G42&lt;&gt;"",G42&lt;$L$6),"Corte largo","OK")))))</f>
        <v/>
      </c>
      <c r="M42" s="24" t="str">
        <f aca="false">IF(L42="","",IF(L42="Saída?","Escreva a saída igual à da tabela de cima",IF(L42="Realce","Realce aumenta o ganho do ciclo: troque por corte",IF(L42="Corte fundo","Corte além de "&amp;ABS($L$5)&amp;" dB: reveja a posição antes de aprofundar",IF(L42="Corte largo","Estreite o corte: Q de pelo menos "&amp;$L$6,"Manter")))))</f>
        <v/>
      </c>
      <c r="N42" s="5"/>
    </row>
    <row r="43" customFormat="false" ht="19.5" hidden="false" customHeight="true" outlineLevel="0" collapsed="false">
      <c r="B43" s="19" t="n">
        <v>17</v>
      </c>
      <c r="C43" s="5"/>
      <c r="D43" s="20" t="str">
        <f aca="false">IF(OR(C43="",E43=""),"",COUNTIF($C$27:C43,C43))</f>
        <v/>
      </c>
      <c r="E43" s="9"/>
      <c r="F43" s="11"/>
      <c r="G43" s="9"/>
      <c r="H43" s="9"/>
      <c r="I43" s="20" t="str">
        <f aca="false">IF(E43="","",IF(E43&lt;250,"Grave",IF(E43&lt;500,"Médio-grave",IF(E43&lt;2000,"Médio",IF(E43&lt;=5000,"Médio-agudo","Agudo")))))</f>
        <v/>
      </c>
      <c r="J43" s="25" t="str">
        <f aca="false">IF(OR(E43="",AND(H43&lt;&gt;"Gráfico",OR(G43="",G43&lt;=0))),"",IF(H43="Gráfico",0.33,ROUND(2*LOG10(1/(2*G43)+(1/(4*G43^2)+1)^0.5)/LOG10(2),2)))</f>
        <v/>
      </c>
      <c r="K43" s="20" t="str">
        <f aca="false">IF(OR(E43="",AND(H43&lt;&gt;"Gráfico",OR(G43="",G43&lt;=0))),"",ROUND(E43*IF(H43="Gráfico",0.232,1/G43),0))</f>
        <v/>
      </c>
      <c r="L43" s="23" t="str">
        <f aca="false">IF(E43="","",IF(COUNTIF($C$14:$C$21,C43)=0,"Saída?",IF(AND(F43&lt;&gt;"",F43&gt;0),"Realce",IF(AND(F43&lt;&gt;"",F43&lt;$L$5),"Corte fundo",IF(AND(H43&lt;&gt;"Gráfico",G43&lt;&gt;"",G43&lt;$L$6),"Corte largo","OK")))))</f>
        <v/>
      </c>
      <c r="M43" s="24" t="str">
        <f aca="false">IF(L43="","",IF(L43="Saída?","Escreva a saída igual à da tabela de cima",IF(L43="Realce","Realce aumenta o ganho do ciclo: troque por corte",IF(L43="Corte fundo","Corte além de "&amp;ABS($L$5)&amp;" dB: reveja a posição antes de aprofundar",IF(L43="Corte largo","Estreite o corte: Q de pelo menos "&amp;$L$6,"Manter")))))</f>
        <v/>
      </c>
      <c r="N43" s="5"/>
    </row>
    <row r="44" customFormat="false" ht="19.5" hidden="false" customHeight="true" outlineLevel="0" collapsed="false">
      <c r="B44" s="19" t="n">
        <v>18</v>
      </c>
      <c r="C44" s="5"/>
      <c r="D44" s="20" t="str">
        <f aca="false">IF(OR(C44="",E44=""),"",COUNTIF($C$27:C44,C44))</f>
        <v/>
      </c>
      <c r="E44" s="9"/>
      <c r="F44" s="11"/>
      <c r="G44" s="9"/>
      <c r="H44" s="9"/>
      <c r="I44" s="20" t="str">
        <f aca="false">IF(E44="","",IF(E44&lt;250,"Grave",IF(E44&lt;500,"Médio-grave",IF(E44&lt;2000,"Médio",IF(E44&lt;=5000,"Médio-agudo","Agudo")))))</f>
        <v/>
      </c>
      <c r="J44" s="25" t="str">
        <f aca="false">IF(OR(E44="",AND(H44&lt;&gt;"Gráfico",OR(G44="",G44&lt;=0))),"",IF(H44="Gráfico",0.33,ROUND(2*LOG10(1/(2*G44)+(1/(4*G44^2)+1)^0.5)/LOG10(2),2)))</f>
        <v/>
      </c>
      <c r="K44" s="20" t="str">
        <f aca="false">IF(OR(E44="",AND(H44&lt;&gt;"Gráfico",OR(G44="",G44&lt;=0))),"",ROUND(E44*IF(H44="Gráfico",0.232,1/G44),0))</f>
        <v/>
      </c>
      <c r="L44" s="23" t="str">
        <f aca="false">IF(E44="","",IF(COUNTIF($C$14:$C$21,C44)=0,"Saída?",IF(AND(F44&lt;&gt;"",F44&gt;0),"Realce",IF(AND(F44&lt;&gt;"",F44&lt;$L$5),"Corte fundo",IF(AND(H44&lt;&gt;"Gráfico",G44&lt;&gt;"",G44&lt;$L$6),"Corte largo","OK")))))</f>
        <v/>
      </c>
      <c r="M44" s="24" t="str">
        <f aca="false">IF(L44="","",IF(L44="Saída?","Escreva a saída igual à da tabela de cima",IF(L44="Realce","Realce aumenta o ganho do ciclo: troque por corte",IF(L44="Corte fundo","Corte além de "&amp;ABS($L$5)&amp;" dB: reveja a posição antes de aprofundar",IF(L44="Corte largo","Estreite o corte: Q de pelo menos "&amp;$L$6,"Manter")))))</f>
        <v/>
      </c>
      <c r="N44" s="5"/>
    </row>
    <row r="45" customFormat="false" ht="19.5" hidden="false" customHeight="true" outlineLevel="0" collapsed="false">
      <c r="B45" s="19" t="n">
        <v>19</v>
      </c>
      <c r="C45" s="5"/>
      <c r="D45" s="20" t="str">
        <f aca="false">IF(OR(C45="",E45=""),"",COUNTIF($C$27:C45,C45))</f>
        <v/>
      </c>
      <c r="E45" s="9"/>
      <c r="F45" s="11"/>
      <c r="G45" s="9"/>
      <c r="H45" s="9"/>
      <c r="I45" s="20" t="str">
        <f aca="false">IF(E45="","",IF(E45&lt;250,"Grave",IF(E45&lt;500,"Médio-grave",IF(E45&lt;2000,"Médio",IF(E45&lt;=5000,"Médio-agudo","Agudo")))))</f>
        <v/>
      </c>
      <c r="J45" s="25" t="str">
        <f aca="false">IF(OR(E45="",AND(H45&lt;&gt;"Gráfico",OR(G45="",G45&lt;=0))),"",IF(H45="Gráfico",0.33,ROUND(2*LOG10(1/(2*G45)+(1/(4*G45^2)+1)^0.5)/LOG10(2),2)))</f>
        <v/>
      </c>
      <c r="K45" s="20" t="str">
        <f aca="false">IF(OR(E45="",AND(H45&lt;&gt;"Gráfico",OR(G45="",G45&lt;=0))),"",ROUND(E45*IF(H45="Gráfico",0.232,1/G45),0))</f>
        <v/>
      </c>
      <c r="L45" s="23" t="str">
        <f aca="false">IF(E45="","",IF(COUNTIF($C$14:$C$21,C45)=0,"Saída?",IF(AND(F45&lt;&gt;"",F45&gt;0),"Realce",IF(AND(F45&lt;&gt;"",F45&lt;$L$5),"Corte fundo",IF(AND(H45&lt;&gt;"Gráfico",G45&lt;&gt;"",G45&lt;$L$6),"Corte largo","OK")))))</f>
        <v/>
      </c>
      <c r="M45" s="24" t="str">
        <f aca="false">IF(L45="","",IF(L45="Saída?","Escreva a saída igual à da tabela de cima",IF(L45="Realce","Realce aumenta o ganho do ciclo: troque por corte",IF(L45="Corte fundo","Corte além de "&amp;ABS($L$5)&amp;" dB: reveja a posição antes de aprofundar",IF(L45="Corte largo","Estreite o corte: Q de pelo menos "&amp;$L$6,"Manter")))))</f>
        <v/>
      </c>
      <c r="N45" s="5"/>
    </row>
    <row r="46" customFormat="false" ht="19.5" hidden="false" customHeight="true" outlineLevel="0" collapsed="false">
      <c r="B46" s="19" t="n">
        <v>20</v>
      </c>
      <c r="C46" s="5"/>
      <c r="D46" s="20" t="str">
        <f aca="false">IF(OR(C46="",E46=""),"",COUNTIF($C$27:C46,C46))</f>
        <v/>
      </c>
      <c r="E46" s="9"/>
      <c r="F46" s="11"/>
      <c r="G46" s="9"/>
      <c r="H46" s="9"/>
      <c r="I46" s="20" t="str">
        <f aca="false">IF(E46="","",IF(E46&lt;250,"Grave",IF(E46&lt;500,"Médio-grave",IF(E46&lt;2000,"Médio",IF(E46&lt;=5000,"Médio-agudo","Agudo")))))</f>
        <v/>
      </c>
      <c r="J46" s="25" t="str">
        <f aca="false">IF(OR(E46="",AND(H46&lt;&gt;"Gráfico",OR(G46="",G46&lt;=0))),"",IF(H46="Gráfico",0.33,ROUND(2*LOG10(1/(2*G46)+(1/(4*G46^2)+1)^0.5)/LOG10(2),2)))</f>
        <v/>
      </c>
      <c r="K46" s="20" t="str">
        <f aca="false">IF(OR(E46="",AND(H46&lt;&gt;"Gráfico",OR(G46="",G46&lt;=0))),"",ROUND(E46*IF(H46="Gráfico",0.232,1/G46),0))</f>
        <v/>
      </c>
      <c r="L46" s="23" t="str">
        <f aca="false">IF(E46="","",IF(COUNTIF($C$14:$C$21,C46)=0,"Saída?",IF(AND(F46&lt;&gt;"",F46&gt;0),"Realce",IF(AND(F46&lt;&gt;"",F46&lt;$L$5),"Corte fundo",IF(AND(H46&lt;&gt;"Gráfico",G46&lt;&gt;"",G46&lt;$L$6),"Corte largo","OK")))))</f>
        <v/>
      </c>
      <c r="M46" s="24" t="str">
        <f aca="false">IF(L46="","",IF(L46="Saída?","Escreva a saída igual à da tabela de cima",IF(L46="Realce","Realce aumenta o ganho do ciclo: troque por corte",IF(L46="Corte fundo","Corte além de "&amp;ABS($L$5)&amp;" dB: reveja a posição antes de aprofundar",IF(L46="Corte largo","Estreite o corte: Q de pelo menos "&amp;$L$6,"Manter")))))</f>
        <v/>
      </c>
      <c r="N46" s="5"/>
    </row>
    <row r="47" customFormat="false" ht="19.5" hidden="false" customHeight="true" outlineLevel="0" collapsed="false">
      <c r="B47" s="19" t="n">
        <v>21</v>
      </c>
      <c r="C47" s="5"/>
      <c r="D47" s="20" t="str">
        <f aca="false">IF(OR(C47="",E47=""),"",COUNTIF($C$27:C47,C47))</f>
        <v/>
      </c>
      <c r="E47" s="9"/>
      <c r="F47" s="11"/>
      <c r="G47" s="9"/>
      <c r="H47" s="9"/>
      <c r="I47" s="20" t="str">
        <f aca="false">IF(E47="","",IF(E47&lt;250,"Grave",IF(E47&lt;500,"Médio-grave",IF(E47&lt;2000,"Médio",IF(E47&lt;=5000,"Médio-agudo","Agudo")))))</f>
        <v/>
      </c>
      <c r="J47" s="25" t="str">
        <f aca="false">IF(OR(E47="",AND(H47&lt;&gt;"Gráfico",OR(G47="",G47&lt;=0))),"",IF(H47="Gráfico",0.33,ROUND(2*LOG10(1/(2*G47)+(1/(4*G47^2)+1)^0.5)/LOG10(2),2)))</f>
        <v/>
      </c>
      <c r="K47" s="20" t="str">
        <f aca="false">IF(OR(E47="",AND(H47&lt;&gt;"Gráfico",OR(G47="",G47&lt;=0))),"",ROUND(E47*IF(H47="Gráfico",0.232,1/G47),0))</f>
        <v/>
      </c>
      <c r="L47" s="23" t="str">
        <f aca="false">IF(E47="","",IF(COUNTIF($C$14:$C$21,C47)=0,"Saída?",IF(AND(F47&lt;&gt;"",F47&gt;0),"Realce",IF(AND(F47&lt;&gt;"",F47&lt;$L$5),"Corte fundo",IF(AND(H47&lt;&gt;"Gráfico",G47&lt;&gt;"",G47&lt;$L$6),"Corte largo","OK")))))</f>
        <v/>
      </c>
      <c r="M47" s="24" t="str">
        <f aca="false">IF(L47="","",IF(L47="Saída?","Escreva a saída igual à da tabela de cima",IF(L47="Realce","Realce aumenta o ganho do ciclo: troque por corte",IF(L47="Corte fundo","Corte além de "&amp;ABS($L$5)&amp;" dB: reveja a posição antes de aprofundar",IF(L47="Corte largo","Estreite o corte: Q de pelo menos "&amp;$L$6,"Manter")))))</f>
        <v/>
      </c>
      <c r="N47" s="5"/>
    </row>
    <row r="48" customFormat="false" ht="19.5" hidden="false" customHeight="true" outlineLevel="0" collapsed="false">
      <c r="B48" s="19" t="n">
        <v>22</v>
      </c>
      <c r="C48" s="5"/>
      <c r="D48" s="20" t="str">
        <f aca="false">IF(OR(C48="",E48=""),"",COUNTIF($C$27:C48,C48))</f>
        <v/>
      </c>
      <c r="E48" s="9"/>
      <c r="F48" s="11"/>
      <c r="G48" s="9"/>
      <c r="H48" s="9"/>
      <c r="I48" s="20" t="str">
        <f aca="false">IF(E48="","",IF(E48&lt;250,"Grave",IF(E48&lt;500,"Médio-grave",IF(E48&lt;2000,"Médio",IF(E48&lt;=5000,"Médio-agudo","Agudo")))))</f>
        <v/>
      </c>
      <c r="J48" s="25" t="str">
        <f aca="false">IF(OR(E48="",AND(H48&lt;&gt;"Gráfico",OR(G48="",G48&lt;=0))),"",IF(H48="Gráfico",0.33,ROUND(2*LOG10(1/(2*G48)+(1/(4*G48^2)+1)^0.5)/LOG10(2),2)))</f>
        <v/>
      </c>
      <c r="K48" s="20" t="str">
        <f aca="false">IF(OR(E48="",AND(H48&lt;&gt;"Gráfico",OR(G48="",G48&lt;=0))),"",ROUND(E48*IF(H48="Gráfico",0.232,1/G48),0))</f>
        <v/>
      </c>
      <c r="L48" s="23" t="str">
        <f aca="false">IF(E48="","",IF(COUNTIF($C$14:$C$21,C48)=0,"Saída?",IF(AND(F48&lt;&gt;"",F48&gt;0),"Realce",IF(AND(F48&lt;&gt;"",F48&lt;$L$5),"Corte fundo",IF(AND(H48&lt;&gt;"Gráfico",G48&lt;&gt;"",G48&lt;$L$6),"Corte largo","OK")))))</f>
        <v/>
      </c>
      <c r="M48" s="24" t="str">
        <f aca="false">IF(L48="","",IF(L48="Saída?","Escreva a saída igual à da tabela de cima",IF(L48="Realce","Realce aumenta o ganho do ciclo: troque por corte",IF(L48="Corte fundo","Corte além de "&amp;ABS($L$5)&amp;" dB: reveja a posição antes de aprofundar",IF(L48="Corte largo","Estreite o corte: Q de pelo menos "&amp;$L$6,"Manter")))))</f>
        <v/>
      </c>
      <c r="N48" s="5"/>
    </row>
    <row r="49" customFormat="false" ht="19.5" hidden="false" customHeight="true" outlineLevel="0" collapsed="false">
      <c r="B49" s="19" t="n">
        <v>23</v>
      </c>
      <c r="C49" s="5"/>
      <c r="D49" s="20" t="str">
        <f aca="false">IF(OR(C49="",E49=""),"",COUNTIF($C$27:C49,C49))</f>
        <v/>
      </c>
      <c r="E49" s="9"/>
      <c r="F49" s="11"/>
      <c r="G49" s="9"/>
      <c r="H49" s="9"/>
      <c r="I49" s="20" t="str">
        <f aca="false">IF(E49="","",IF(E49&lt;250,"Grave",IF(E49&lt;500,"Médio-grave",IF(E49&lt;2000,"Médio",IF(E49&lt;=5000,"Médio-agudo","Agudo")))))</f>
        <v/>
      </c>
      <c r="J49" s="25" t="str">
        <f aca="false">IF(OR(E49="",AND(H49&lt;&gt;"Gráfico",OR(G49="",G49&lt;=0))),"",IF(H49="Gráfico",0.33,ROUND(2*LOG10(1/(2*G49)+(1/(4*G49^2)+1)^0.5)/LOG10(2),2)))</f>
        <v/>
      </c>
      <c r="K49" s="20" t="str">
        <f aca="false">IF(OR(E49="",AND(H49&lt;&gt;"Gráfico",OR(G49="",G49&lt;=0))),"",ROUND(E49*IF(H49="Gráfico",0.232,1/G49),0))</f>
        <v/>
      </c>
      <c r="L49" s="23" t="str">
        <f aca="false">IF(E49="","",IF(COUNTIF($C$14:$C$21,C49)=0,"Saída?",IF(AND(F49&lt;&gt;"",F49&gt;0),"Realce",IF(AND(F49&lt;&gt;"",F49&lt;$L$5),"Corte fundo",IF(AND(H49&lt;&gt;"Gráfico",G49&lt;&gt;"",G49&lt;$L$6),"Corte largo","OK")))))</f>
        <v/>
      </c>
      <c r="M49" s="24" t="str">
        <f aca="false">IF(L49="","",IF(L49="Saída?","Escreva a saída igual à da tabela de cima",IF(L49="Realce","Realce aumenta o ganho do ciclo: troque por corte",IF(L49="Corte fundo","Corte além de "&amp;ABS($L$5)&amp;" dB: reveja a posição antes de aprofundar",IF(L49="Corte largo","Estreite o corte: Q de pelo menos "&amp;$L$6,"Manter")))))</f>
        <v/>
      </c>
      <c r="N49" s="5"/>
    </row>
    <row r="50" customFormat="false" ht="19.5" hidden="false" customHeight="true" outlineLevel="0" collapsed="false">
      <c r="B50" s="19" t="n">
        <v>24</v>
      </c>
      <c r="C50" s="5"/>
      <c r="D50" s="20" t="str">
        <f aca="false">IF(OR(C50="",E50=""),"",COUNTIF($C$27:C50,C50))</f>
        <v/>
      </c>
      <c r="E50" s="9"/>
      <c r="F50" s="11"/>
      <c r="G50" s="9"/>
      <c r="H50" s="9"/>
      <c r="I50" s="20" t="str">
        <f aca="false">IF(E50="","",IF(E50&lt;250,"Grave",IF(E50&lt;500,"Médio-grave",IF(E50&lt;2000,"Médio",IF(E50&lt;=5000,"Médio-agudo","Agudo")))))</f>
        <v/>
      </c>
      <c r="J50" s="25" t="str">
        <f aca="false">IF(OR(E50="",AND(H50&lt;&gt;"Gráfico",OR(G50="",G50&lt;=0))),"",IF(H50="Gráfico",0.33,ROUND(2*LOG10(1/(2*G50)+(1/(4*G50^2)+1)^0.5)/LOG10(2),2)))</f>
        <v/>
      </c>
      <c r="K50" s="20" t="str">
        <f aca="false">IF(OR(E50="",AND(H50&lt;&gt;"Gráfico",OR(G50="",G50&lt;=0))),"",ROUND(E50*IF(H50="Gráfico",0.232,1/G50),0))</f>
        <v/>
      </c>
      <c r="L50" s="23" t="str">
        <f aca="false">IF(E50="","",IF(COUNTIF($C$14:$C$21,C50)=0,"Saída?",IF(AND(F50&lt;&gt;"",F50&gt;0),"Realce",IF(AND(F50&lt;&gt;"",F50&lt;$L$5),"Corte fundo",IF(AND(H50&lt;&gt;"Gráfico",G50&lt;&gt;"",G50&lt;$L$6),"Corte largo","OK")))))</f>
        <v/>
      </c>
      <c r="M50" s="24" t="str">
        <f aca="false">IF(L50="","",IF(L50="Saída?","Escreva a saída igual à da tabela de cima",IF(L50="Realce","Realce aumenta o ganho do ciclo: troque por corte",IF(L50="Corte fundo","Corte além de "&amp;ABS($L$5)&amp;" dB: reveja a posição antes de aprofundar",IF(L50="Corte largo","Estreite o corte: Q de pelo menos "&amp;$L$6,"Manter")))))</f>
        <v/>
      </c>
      <c r="N50" s="5"/>
    </row>
    <row r="51" customFormat="false" ht="19.5" hidden="false" customHeight="true" outlineLevel="0" collapsed="false">
      <c r="B51" s="19" t="n">
        <v>25</v>
      </c>
      <c r="C51" s="5"/>
      <c r="D51" s="20" t="str">
        <f aca="false">IF(OR(C51="",E51=""),"",COUNTIF($C$27:C51,C51))</f>
        <v/>
      </c>
      <c r="E51" s="9"/>
      <c r="F51" s="11"/>
      <c r="G51" s="9"/>
      <c r="H51" s="9"/>
      <c r="I51" s="20" t="str">
        <f aca="false">IF(E51="","",IF(E51&lt;250,"Grave",IF(E51&lt;500,"Médio-grave",IF(E51&lt;2000,"Médio",IF(E51&lt;=5000,"Médio-agudo","Agudo")))))</f>
        <v/>
      </c>
      <c r="J51" s="25" t="str">
        <f aca="false">IF(OR(E51="",AND(H51&lt;&gt;"Gráfico",OR(G51="",G51&lt;=0))),"",IF(H51="Gráfico",0.33,ROUND(2*LOG10(1/(2*G51)+(1/(4*G51^2)+1)^0.5)/LOG10(2),2)))</f>
        <v/>
      </c>
      <c r="K51" s="20" t="str">
        <f aca="false">IF(OR(E51="",AND(H51&lt;&gt;"Gráfico",OR(G51="",G51&lt;=0))),"",ROUND(E51*IF(H51="Gráfico",0.232,1/G51),0))</f>
        <v/>
      </c>
      <c r="L51" s="23" t="str">
        <f aca="false">IF(E51="","",IF(COUNTIF($C$14:$C$21,C51)=0,"Saída?",IF(AND(F51&lt;&gt;"",F51&gt;0),"Realce",IF(AND(F51&lt;&gt;"",F51&lt;$L$5),"Corte fundo",IF(AND(H51&lt;&gt;"Gráfico",G51&lt;&gt;"",G51&lt;$L$6),"Corte largo","OK")))))</f>
        <v/>
      </c>
      <c r="M51" s="24" t="str">
        <f aca="false">IF(L51="","",IF(L51="Saída?","Escreva a saída igual à da tabela de cima",IF(L51="Realce","Realce aumenta o ganho do ciclo: troque por corte",IF(L51="Corte fundo","Corte além de "&amp;ABS($L$5)&amp;" dB: reveja a posição antes de aprofundar",IF(L51="Corte largo","Estreite o corte: Q de pelo menos "&amp;$L$6,"Manter")))))</f>
        <v/>
      </c>
      <c r="N51" s="5"/>
    </row>
    <row r="52" customFormat="false" ht="19.5" hidden="false" customHeight="true" outlineLevel="0" collapsed="false">
      <c r="B52" s="19" t="n">
        <v>26</v>
      </c>
      <c r="C52" s="5"/>
      <c r="D52" s="20" t="str">
        <f aca="false">IF(OR(C52="",E52=""),"",COUNTIF($C$27:C52,C52))</f>
        <v/>
      </c>
      <c r="E52" s="9"/>
      <c r="F52" s="11"/>
      <c r="G52" s="9"/>
      <c r="H52" s="9"/>
      <c r="I52" s="20" t="str">
        <f aca="false">IF(E52="","",IF(E52&lt;250,"Grave",IF(E52&lt;500,"Médio-grave",IF(E52&lt;2000,"Médio",IF(E52&lt;=5000,"Médio-agudo","Agudo")))))</f>
        <v/>
      </c>
      <c r="J52" s="25" t="str">
        <f aca="false">IF(OR(E52="",AND(H52&lt;&gt;"Gráfico",OR(G52="",G52&lt;=0))),"",IF(H52="Gráfico",0.33,ROUND(2*LOG10(1/(2*G52)+(1/(4*G52^2)+1)^0.5)/LOG10(2),2)))</f>
        <v/>
      </c>
      <c r="K52" s="20" t="str">
        <f aca="false">IF(OR(E52="",AND(H52&lt;&gt;"Gráfico",OR(G52="",G52&lt;=0))),"",ROUND(E52*IF(H52="Gráfico",0.232,1/G52),0))</f>
        <v/>
      </c>
      <c r="L52" s="23" t="str">
        <f aca="false">IF(E52="","",IF(COUNTIF($C$14:$C$21,C52)=0,"Saída?",IF(AND(F52&lt;&gt;"",F52&gt;0),"Realce",IF(AND(F52&lt;&gt;"",F52&lt;$L$5),"Corte fundo",IF(AND(H52&lt;&gt;"Gráfico",G52&lt;&gt;"",G52&lt;$L$6),"Corte largo","OK")))))</f>
        <v/>
      </c>
      <c r="M52" s="24" t="str">
        <f aca="false">IF(L52="","",IF(L52="Saída?","Escreva a saída igual à da tabela de cima",IF(L52="Realce","Realce aumenta o ganho do ciclo: troque por corte",IF(L52="Corte fundo","Corte além de "&amp;ABS($L$5)&amp;" dB: reveja a posição antes de aprofundar",IF(L52="Corte largo","Estreite o corte: Q de pelo menos "&amp;$L$6,"Manter")))))</f>
        <v/>
      </c>
      <c r="N52" s="5"/>
    </row>
    <row r="53" customFormat="false" ht="19.5" hidden="false" customHeight="true" outlineLevel="0" collapsed="false">
      <c r="B53" s="19" t="n">
        <v>27</v>
      </c>
      <c r="C53" s="5"/>
      <c r="D53" s="20" t="str">
        <f aca="false">IF(OR(C53="",E53=""),"",COUNTIF($C$27:C53,C53))</f>
        <v/>
      </c>
      <c r="E53" s="9"/>
      <c r="F53" s="11"/>
      <c r="G53" s="9"/>
      <c r="H53" s="9"/>
      <c r="I53" s="20" t="str">
        <f aca="false">IF(E53="","",IF(E53&lt;250,"Grave",IF(E53&lt;500,"Médio-grave",IF(E53&lt;2000,"Médio",IF(E53&lt;=5000,"Médio-agudo","Agudo")))))</f>
        <v/>
      </c>
      <c r="J53" s="25" t="str">
        <f aca="false">IF(OR(E53="",AND(H53&lt;&gt;"Gráfico",OR(G53="",G53&lt;=0))),"",IF(H53="Gráfico",0.33,ROUND(2*LOG10(1/(2*G53)+(1/(4*G53^2)+1)^0.5)/LOG10(2),2)))</f>
        <v/>
      </c>
      <c r="K53" s="20" t="str">
        <f aca="false">IF(OR(E53="",AND(H53&lt;&gt;"Gráfico",OR(G53="",G53&lt;=0))),"",ROUND(E53*IF(H53="Gráfico",0.232,1/G53),0))</f>
        <v/>
      </c>
      <c r="L53" s="23" t="str">
        <f aca="false">IF(E53="","",IF(COUNTIF($C$14:$C$21,C53)=0,"Saída?",IF(AND(F53&lt;&gt;"",F53&gt;0),"Realce",IF(AND(F53&lt;&gt;"",F53&lt;$L$5),"Corte fundo",IF(AND(H53&lt;&gt;"Gráfico",G53&lt;&gt;"",G53&lt;$L$6),"Corte largo","OK")))))</f>
        <v/>
      </c>
      <c r="M53" s="24" t="str">
        <f aca="false">IF(L53="","",IF(L53="Saída?","Escreva a saída igual à da tabela de cima",IF(L53="Realce","Realce aumenta o ganho do ciclo: troque por corte",IF(L53="Corte fundo","Corte além de "&amp;ABS($L$5)&amp;" dB: reveja a posição antes de aprofundar",IF(L53="Corte largo","Estreite o corte: Q de pelo menos "&amp;$L$6,"Manter")))))</f>
        <v/>
      </c>
      <c r="N53" s="5"/>
    </row>
    <row r="54" customFormat="false" ht="19.5" hidden="false" customHeight="true" outlineLevel="0" collapsed="false">
      <c r="B54" s="19" t="n">
        <v>28</v>
      </c>
      <c r="C54" s="5"/>
      <c r="D54" s="20" t="str">
        <f aca="false">IF(OR(C54="",E54=""),"",COUNTIF($C$27:C54,C54))</f>
        <v/>
      </c>
      <c r="E54" s="9"/>
      <c r="F54" s="11"/>
      <c r="G54" s="9"/>
      <c r="H54" s="9"/>
      <c r="I54" s="20" t="str">
        <f aca="false">IF(E54="","",IF(E54&lt;250,"Grave",IF(E54&lt;500,"Médio-grave",IF(E54&lt;2000,"Médio",IF(E54&lt;=5000,"Médio-agudo","Agudo")))))</f>
        <v/>
      </c>
      <c r="J54" s="25" t="str">
        <f aca="false">IF(OR(E54="",AND(H54&lt;&gt;"Gráfico",OR(G54="",G54&lt;=0))),"",IF(H54="Gráfico",0.33,ROUND(2*LOG10(1/(2*G54)+(1/(4*G54^2)+1)^0.5)/LOG10(2),2)))</f>
        <v/>
      </c>
      <c r="K54" s="20" t="str">
        <f aca="false">IF(OR(E54="",AND(H54&lt;&gt;"Gráfico",OR(G54="",G54&lt;=0))),"",ROUND(E54*IF(H54="Gráfico",0.232,1/G54),0))</f>
        <v/>
      </c>
      <c r="L54" s="23" t="str">
        <f aca="false">IF(E54="","",IF(COUNTIF($C$14:$C$21,C54)=0,"Saída?",IF(AND(F54&lt;&gt;"",F54&gt;0),"Realce",IF(AND(F54&lt;&gt;"",F54&lt;$L$5),"Corte fundo",IF(AND(H54&lt;&gt;"Gráfico",G54&lt;&gt;"",G54&lt;$L$6),"Corte largo","OK")))))</f>
        <v/>
      </c>
      <c r="M54" s="24" t="str">
        <f aca="false">IF(L54="","",IF(L54="Saída?","Escreva a saída igual à da tabela de cima",IF(L54="Realce","Realce aumenta o ganho do ciclo: troque por corte",IF(L54="Corte fundo","Corte além de "&amp;ABS($L$5)&amp;" dB: reveja a posição antes de aprofundar",IF(L54="Corte largo","Estreite o corte: Q de pelo menos "&amp;$L$6,"Manter")))))</f>
        <v/>
      </c>
      <c r="N54" s="5"/>
    </row>
    <row r="55" customFormat="false" ht="19.5" hidden="false" customHeight="true" outlineLevel="0" collapsed="false">
      <c r="B55" s="19" t="n">
        <v>29</v>
      </c>
      <c r="C55" s="5"/>
      <c r="D55" s="20" t="str">
        <f aca="false">IF(OR(C55="",E55=""),"",COUNTIF($C$27:C55,C55))</f>
        <v/>
      </c>
      <c r="E55" s="9"/>
      <c r="F55" s="11"/>
      <c r="G55" s="9"/>
      <c r="H55" s="9"/>
      <c r="I55" s="20" t="str">
        <f aca="false">IF(E55="","",IF(E55&lt;250,"Grave",IF(E55&lt;500,"Médio-grave",IF(E55&lt;2000,"Médio",IF(E55&lt;=5000,"Médio-agudo","Agudo")))))</f>
        <v/>
      </c>
      <c r="J55" s="25" t="str">
        <f aca="false">IF(OR(E55="",AND(H55&lt;&gt;"Gráfico",OR(G55="",G55&lt;=0))),"",IF(H55="Gráfico",0.33,ROUND(2*LOG10(1/(2*G55)+(1/(4*G55^2)+1)^0.5)/LOG10(2),2)))</f>
        <v/>
      </c>
      <c r="K55" s="20" t="str">
        <f aca="false">IF(OR(E55="",AND(H55&lt;&gt;"Gráfico",OR(G55="",G55&lt;=0))),"",ROUND(E55*IF(H55="Gráfico",0.232,1/G55),0))</f>
        <v/>
      </c>
      <c r="L55" s="23" t="str">
        <f aca="false">IF(E55="","",IF(COUNTIF($C$14:$C$21,C55)=0,"Saída?",IF(AND(F55&lt;&gt;"",F55&gt;0),"Realce",IF(AND(F55&lt;&gt;"",F55&lt;$L$5),"Corte fundo",IF(AND(H55&lt;&gt;"Gráfico",G55&lt;&gt;"",G55&lt;$L$6),"Corte largo","OK")))))</f>
        <v/>
      </c>
      <c r="M55" s="24" t="str">
        <f aca="false">IF(L55="","",IF(L55="Saída?","Escreva a saída igual à da tabela de cima",IF(L55="Realce","Realce aumenta o ganho do ciclo: troque por corte",IF(L55="Corte fundo","Corte além de "&amp;ABS($L$5)&amp;" dB: reveja a posição antes de aprofundar",IF(L55="Corte largo","Estreite o corte: Q de pelo menos "&amp;$L$6,"Manter")))))</f>
        <v/>
      </c>
      <c r="N55" s="5"/>
    </row>
    <row r="56" customFormat="false" ht="19.5" hidden="false" customHeight="true" outlineLevel="0" collapsed="false">
      <c r="B56" s="19" t="n">
        <v>30</v>
      </c>
      <c r="C56" s="5"/>
      <c r="D56" s="20" t="str">
        <f aca="false">IF(OR(C56="",E56=""),"",COUNTIF($C$27:C56,C56))</f>
        <v/>
      </c>
      <c r="E56" s="9"/>
      <c r="F56" s="11"/>
      <c r="G56" s="9"/>
      <c r="H56" s="9"/>
      <c r="I56" s="20" t="str">
        <f aca="false">IF(E56="","",IF(E56&lt;250,"Grave",IF(E56&lt;500,"Médio-grave",IF(E56&lt;2000,"Médio",IF(E56&lt;=5000,"Médio-agudo","Agudo")))))</f>
        <v/>
      </c>
      <c r="J56" s="25" t="str">
        <f aca="false">IF(OR(E56="",AND(H56&lt;&gt;"Gráfico",OR(G56="",G56&lt;=0))),"",IF(H56="Gráfico",0.33,ROUND(2*LOG10(1/(2*G56)+(1/(4*G56^2)+1)^0.5)/LOG10(2),2)))</f>
        <v/>
      </c>
      <c r="K56" s="20" t="str">
        <f aca="false">IF(OR(E56="",AND(H56&lt;&gt;"Gráfico",OR(G56="",G56&lt;=0))),"",ROUND(E56*IF(H56="Gráfico",0.232,1/G56),0))</f>
        <v/>
      </c>
      <c r="L56" s="23" t="str">
        <f aca="false">IF(E56="","",IF(COUNTIF($C$14:$C$21,C56)=0,"Saída?",IF(AND(F56&lt;&gt;"",F56&gt;0),"Realce",IF(AND(F56&lt;&gt;"",F56&lt;$L$5),"Corte fundo",IF(AND(H56&lt;&gt;"Gráfico",G56&lt;&gt;"",G56&lt;$L$6),"Corte largo","OK")))))</f>
        <v/>
      </c>
      <c r="M56" s="24" t="str">
        <f aca="false">IF(L56="","",IF(L56="Saída?","Escreva a saída igual à da tabela de cima",IF(L56="Realce","Realce aumenta o ganho do ciclo: troque por corte",IF(L56="Corte fundo","Corte além de "&amp;ABS($L$5)&amp;" dB: reveja a posição antes de aprofundar",IF(L56="Corte largo","Estreite o corte: Q de pelo menos "&amp;$L$6,"Manter")))))</f>
        <v/>
      </c>
      <c r="N56" s="5"/>
    </row>
    <row r="58" customFormat="false" ht="21.75" hidden="false" customHeight="true" outlineLevel="0" collapsed="false">
      <c r="B58" s="13" t="s">
        <v>111</v>
      </c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customFormat="false" ht="19.5" hidden="false" customHeight="true" outlineLevel="0" collapsed="false">
      <c r="B59" s="26" t="s">
        <v>112</v>
      </c>
      <c r="C59" s="26"/>
      <c r="D59" s="26"/>
      <c r="E59" s="26"/>
      <c r="F59" s="23" t="n">
        <f aca="false">COUNTA(C14:C21)</f>
        <v>0</v>
      </c>
      <c r="G59" s="23"/>
    </row>
    <row r="60" customFormat="false" ht="19.5" hidden="false" customHeight="true" outlineLevel="0" collapsed="false">
      <c r="B60" s="26" t="s">
        <v>113</v>
      </c>
      <c r="C60" s="26"/>
      <c r="D60" s="26"/>
      <c r="E60" s="26"/>
      <c r="F60" s="23" t="n">
        <f aca="false">COUNTIF($L$14:$L$21,"OK")</f>
        <v>0</v>
      </c>
      <c r="G60" s="23"/>
    </row>
    <row r="61" customFormat="false" ht="19.5" hidden="false" customHeight="true" outlineLevel="0" collapsed="false">
      <c r="B61" s="26" t="s">
        <v>114</v>
      </c>
      <c r="C61" s="26"/>
      <c r="D61" s="26"/>
      <c r="E61" s="26"/>
      <c r="F61" s="23" t="n">
        <f aca="false">COUNTIF($L$14:$L$21,"Sem margem")+COUNTIF($L$14:$L$21,"Margem curta")</f>
        <v>0</v>
      </c>
      <c r="G61" s="23"/>
    </row>
    <row r="62" customFormat="false" ht="19.5" hidden="false" customHeight="true" outlineLevel="0" collapsed="false">
      <c r="B62" s="26" t="s">
        <v>115</v>
      </c>
      <c r="C62" s="26"/>
      <c r="D62" s="26"/>
      <c r="E62" s="26"/>
      <c r="F62" s="22" t="str">
        <f aca="false">IF(COUNT(K14:K21)=0,"",MIN(K14:K21))</f>
        <v/>
      </c>
      <c r="G62" s="22"/>
    </row>
    <row r="63" customFormat="false" ht="19.5" hidden="false" customHeight="true" outlineLevel="0" collapsed="false">
      <c r="B63" s="26" t="s">
        <v>116</v>
      </c>
      <c r="C63" s="26"/>
      <c r="D63" s="26"/>
      <c r="E63" s="26"/>
      <c r="F63" s="23" t="n">
        <f aca="false">COUNT(E27:E56)</f>
        <v>0</v>
      </c>
      <c r="G63" s="23"/>
    </row>
    <row r="64" customFormat="false" ht="19.5" hidden="false" customHeight="true" outlineLevel="0" collapsed="false">
      <c r="B64" s="26" t="s">
        <v>117</v>
      </c>
      <c r="C64" s="26"/>
      <c r="D64" s="26"/>
      <c r="E64" s="26"/>
      <c r="F64" s="23" t="n">
        <f aca="false">COUNTIF($L$27:$L$56,"Corte fundo")+COUNTIF($L$27:$L$56,"Corte largo")+COUNTIF($L$27:$L$56,"Realce")+COUNTIF($L$27:$L$56,"Saída?")</f>
        <v>0</v>
      </c>
      <c r="G64" s="23"/>
    </row>
    <row r="65" customFormat="false" ht="21.75" hidden="false" customHeight="true" outlineLevel="0" collapsed="false">
      <c r="B65" s="26" t="s">
        <v>118</v>
      </c>
      <c r="C65" s="26"/>
      <c r="D65" s="26"/>
      <c r="E65" s="26"/>
      <c r="F65" s="27" t="str">
        <f aca="false">IF(COUNT(L4:L7)&lt;4,"Informe os quatro parâmetros",IF(F59=0,"Liste as saídas",IF(F61&gt;0,"Há saída sem a margem mínima: baixe o nível ou reveja a posição",IF(F60&lt;F59,"Há saída a rever: veja a coluna O que fazer",IF(F64&gt;0,"Há corte a rever","OK")))))</f>
        <v>Liste as saídas</v>
      </c>
      <c r="G65" s="27"/>
      <c r="H65" s="27"/>
      <c r="I65" s="27"/>
      <c r="J65" s="27"/>
      <c r="K65" s="27"/>
      <c r="L65" s="27"/>
      <c r="M65" s="27"/>
    </row>
    <row r="66" customFormat="false" ht="15" hidden="false" customHeight="true" outlineLevel="0" collapsed="false">
      <c r="B66" s="10" t="s">
        <v>119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</row>
  </sheetData>
  <mergeCells count="39">
    <mergeCell ref="B1:N1"/>
    <mergeCell ref="B2:N2"/>
    <mergeCell ref="B4:C4"/>
    <mergeCell ref="D4:H4"/>
    <mergeCell ref="I4:K4"/>
    <mergeCell ref="M4:N4"/>
    <mergeCell ref="B5:C5"/>
    <mergeCell ref="D5:H5"/>
    <mergeCell ref="I5:K5"/>
    <mergeCell ref="M5:N5"/>
    <mergeCell ref="B6:C6"/>
    <mergeCell ref="D6:H6"/>
    <mergeCell ref="I6:K6"/>
    <mergeCell ref="M6:N6"/>
    <mergeCell ref="B7:C7"/>
    <mergeCell ref="D7:H7"/>
    <mergeCell ref="I7:K7"/>
    <mergeCell ref="M7:N7"/>
    <mergeCell ref="B8:C8"/>
    <mergeCell ref="D8:H8"/>
    <mergeCell ref="I8:N8"/>
    <mergeCell ref="B10:N10"/>
    <mergeCell ref="B23:N23"/>
    <mergeCell ref="B58:N58"/>
    <mergeCell ref="B59:E59"/>
    <mergeCell ref="F59:G59"/>
    <mergeCell ref="B60:E60"/>
    <mergeCell ref="F60:G60"/>
    <mergeCell ref="B61:E61"/>
    <mergeCell ref="F61:G61"/>
    <mergeCell ref="B62:E62"/>
    <mergeCell ref="F62:G62"/>
    <mergeCell ref="B63:E63"/>
    <mergeCell ref="F63:G63"/>
    <mergeCell ref="B64:E64"/>
    <mergeCell ref="F64:G64"/>
    <mergeCell ref="B65:E65"/>
    <mergeCell ref="F65:M65"/>
    <mergeCell ref="B66:N66"/>
  </mergeCells>
  <conditionalFormatting sqref="L14:L21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"Sem margem"</formula>
    </cfRule>
    <cfRule type="cellIs" priority="4" operator="equal" aboveAverage="0" equalAverage="0" bottom="0" percent="0" rank="0" text="" dxfId="2">
      <formula>"Margem curta"</formula>
    </cfRule>
    <cfRule type="cellIs" priority="5" operator="equal" aboveAverage="0" equalAverage="0" bottom="0" percent="0" rank="0" text="" dxfId="2">
      <formula>"Cortes demais"</formula>
    </cfRule>
    <cfRule type="cellIs" priority="6" operator="equal" aboveAverage="0" equalAverage="0" bottom="0" percent="0" rank="0" text="" dxfId="2">
      <formula>"Rever cortes"</formula>
    </cfRule>
    <cfRule type="cellIs" priority="7" operator="equal" aboveAverage="0" equalAverage="0" bottom="0" percent="0" rank="0" text="" dxfId="2">
      <formula>"Incompleto"</formula>
    </cfRule>
    <cfRule type="cellIs" priority="8" operator="equal" aboveAverage="0" equalAverage="0" bottom="0" percent="0" rank="0" text="" dxfId="2">
      <formula>"Confira os níveis"</formula>
    </cfRule>
  </conditionalFormatting>
  <conditionalFormatting sqref="L27:L56">
    <cfRule type="cellIs" priority="9" operator="equal" aboveAverage="0" equalAverage="0" bottom="0" percent="0" rank="0" text="" dxfId="0">
      <formula>"OK"</formula>
    </cfRule>
    <cfRule type="cellIs" priority="10" operator="equal" aboveAverage="0" equalAverage="0" bottom="0" percent="0" rank="0" text="" dxfId="1">
      <formula>"Realce"</formula>
    </cfRule>
    <cfRule type="cellIs" priority="11" operator="equal" aboveAverage="0" equalAverage="0" bottom="0" percent="0" rank="0" text="" dxfId="2">
      <formula>"Corte fundo"</formula>
    </cfRule>
    <cfRule type="cellIs" priority="12" operator="equal" aboveAverage="0" equalAverage="0" bottom="0" percent="0" rank="0" text="" dxfId="2">
      <formula>"Corte largo"</formula>
    </cfRule>
    <cfRule type="cellIs" priority="13" operator="equal" aboveAverage="0" equalAverage="0" bottom="0" percent="0" rank="0" text="" dxfId="2">
      <formula>"Saída?"</formula>
    </cfRule>
  </conditionalFormatting>
  <conditionalFormatting sqref="F65:M65">
    <cfRule type="cellIs" priority="14" operator="equal" aboveAverage="0" equalAverage="0" bottom="0" percent="0" rank="0" text="" dxfId="0">
      <formula>"OK"</formula>
    </cfRule>
    <cfRule type="cellIs" priority="15" operator="notEqual" aboveAverage="0" equalAverage="0" bottom="0" percent="0" rank="0" text="" dxfId="2">
      <formula>"OK"</formula>
    </cfRule>
  </conditionalFormatting>
  <dataValidations count="7">
    <dataValidation allowBlank="true" error="Digite uma data no formato dia/mês/ano." errorStyle="stop" errorTitle="Data inválida" operator="greaterThanOrEqual" showDropDown="false" showErrorMessage="true" showInputMessage="false" sqref="D6" type="date">
      <formula1>36526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L4:L7" type="decimal">
      <formula1>-1000000000</formula1>
      <formula2>1000000000</formula2>
    </dataValidation>
    <dataValidation allowBlank="true" error="Escolha uma das opções da lista." errorStyle="stop" errorTitle="Valor inválido" operator="between" prompt="Tipo de saída." promptTitle="Opções" showDropDown="false" showErrorMessage="true" showInputMessage="true" sqref="D14:D21" type="list">
      <formula1>"Retorno,Frente,Lateral (side fill),Delay ou front fill,Outra"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E14:H21" type="decimal">
      <formula1>-1000000000</formula1>
      <formula2>1000000000</formula2>
    </dataValidation>
    <dataValidation allowBlank="true" error="Escolha uma das saídas da tabela de cima." errorStyle="stop" errorTitle="Valor inválido" operator="between" prompt="Escolha uma saída já listada na tabela de cima." promptTitle="Opções" showDropDown="false" showErrorMessage="true" showInputMessage="true" sqref="C27:C56" type="list">
      <formula1>$C$14:$C$21</formula1>
      <formula2>0</formula2>
    </dataValidation>
    <dataValidation allowBlank="true" error="Escolha uma das opções da lista." errorStyle="stop" errorTitle="Valor inválido" operator="between" prompt="Paramétrico ou Gráfico." promptTitle="Opções" showDropDown="false" showErrorMessage="true" showInputMessage="true" sqref="H27:H56" type="list">
      <formula1>"Paramétrico,Gráfico"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E27:G56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O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13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28"/>
    <col collapsed="false" customWidth="true" hidden="false" outlineLevel="0" max="10" min="10" style="0" width="32"/>
    <col collapsed="false" customWidth="true" hidden="false" outlineLevel="0" max="11" min="11" style="0" width="11"/>
    <col collapsed="false" customWidth="true" hidden="false" outlineLevel="0" max="12" min="12" style="0" width="14"/>
    <col collapsed="false" customWidth="true" hidden="false" outlineLevel="0" max="13" min="13" style="0" width="50"/>
    <col collapsed="false" customWidth="true" hidden="false" outlineLevel="0" max="14" min="14" style="0" width="13"/>
    <col collapsed="false" customWidth="true" hidden="false" outlineLevel="0" max="15" min="15" style="0" width="24"/>
    <col collapsed="false" customWidth="true" hidden="false" outlineLevel="0" max="16" min="16" style="0" width="2"/>
  </cols>
  <sheetData>
    <row r="1" customFormat="false" ht="31.5" hidden="false" customHeight="true" outlineLevel="0" collapsed="false">
      <c r="B1" s="1" t="s">
        <v>120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9.5" hidden="false" customHeight="true" outlineLevel="0" collapsed="false">
      <c r="B2" s="2" t="s">
        <v>121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21.75" hidden="false" customHeight="true" outlineLevel="0" collapsed="false">
      <c r="B4" s="13" t="s">
        <v>122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customFormat="false" ht="30" hidden="false" customHeight="true" outlineLevel="0" collapsed="false">
      <c r="B5" s="14" t="s">
        <v>74</v>
      </c>
      <c r="C5" s="14" t="s">
        <v>65</v>
      </c>
      <c r="D5" s="14" t="s">
        <v>123</v>
      </c>
      <c r="E5" s="15" t="s">
        <v>75</v>
      </c>
      <c r="F5" s="15" t="s">
        <v>124</v>
      </c>
      <c r="G5" s="15" t="s">
        <v>125</v>
      </c>
      <c r="H5" s="15" t="s">
        <v>97</v>
      </c>
      <c r="I5" s="15" t="s">
        <v>126</v>
      </c>
      <c r="J5" s="15" t="s">
        <v>127</v>
      </c>
      <c r="K5" s="15" t="s">
        <v>128</v>
      </c>
      <c r="L5" s="16" t="s">
        <v>129</v>
      </c>
      <c r="M5" s="16" t="s">
        <v>130</v>
      </c>
      <c r="N5" s="16" t="s">
        <v>81</v>
      </c>
      <c r="O5" s="14" t="s">
        <v>83</v>
      </c>
    </row>
    <row r="6" customFormat="false" ht="21.75" hidden="false" customHeight="true" outlineLevel="0" collapsed="false">
      <c r="B6" s="17"/>
      <c r="C6" s="17" t="s">
        <v>131</v>
      </c>
      <c r="D6" s="17"/>
      <c r="E6" s="17"/>
      <c r="F6" s="17"/>
      <c r="G6" s="17" t="s">
        <v>132</v>
      </c>
      <c r="H6" s="17" t="s">
        <v>133</v>
      </c>
      <c r="I6" s="17" t="s">
        <v>102</v>
      </c>
      <c r="J6" s="17"/>
      <c r="K6" s="17" t="s">
        <v>134</v>
      </c>
      <c r="L6" s="17"/>
      <c r="M6" s="17"/>
      <c r="N6" s="17"/>
      <c r="O6" s="17"/>
    </row>
    <row r="7" customFormat="false" ht="31.5" hidden="false" customHeight="true" outlineLevel="0" collapsed="false">
      <c r="B7" s="17" t="s">
        <v>90</v>
      </c>
      <c r="C7" s="17"/>
      <c r="D7" s="10" t="s">
        <v>135</v>
      </c>
      <c r="E7" s="17" t="s">
        <v>136</v>
      </c>
      <c r="F7" s="10" t="s">
        <v>137</v>
      </c>
      <c r="G7" s="17" t="s">
        <v>110</v>
      </c>
      <c r="H7" s="17" t="n">
        <v>2500</v>
      </c>
      <c r="I7" s="10" t="s">
        <v>138</v>
      </c>
      <c r="J7" s="10" t="s">
        <v>139</v>
      </c>
      <c r="K7" s="17" t="s">
        <v>140</v>
      </c>
      <c r="L7" s="17" t="s">
        <v>110</v>
      </c>
      <c r="M7" s="10" t="s">
        <v>141</v>
      </c>
      <c r="N7" s="17" t="s">
        <v>142</v>
      </c>
      <c r="O7" s="10"/>
    </row>
    <row r="8" customFormat="false" ht="15" hidden="false" customHeight="true" outlineLevel="0" collapsed="false">
      <c r="B8" s="10" t="s">
        <v>143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customFormat="false" ht="31.5" hidden="false" customHeight="true" outlineLevel="0" collapsed="false">
      <c r="B9" s="19" t="n">
        <v>1</v>
      </c>
      <c r="C9" s="28"/>
      <c r="D9" s="5"/>
      <c r="E9" s="9"/>
      <c r="F9" s="5"/>
      <c r="G9" s="9"/>
      <c r="H9" s="9"/>
      <c r="I9" s="5"/>
      <c r="J9" s="5"/>
      <c r="K9" s="9"/>
      <c r="L9" s="20" t="str">
        <f aca="false">IF(H9="","",IF(H9&lt;250,"Grave",IF(H9&lt;500,"Médio-grave",IF(H9&lt;2000,"Médio",IF(H9&lt;=5000,"Médio-agudo","Agudo")))))</f>
        <v/>
      </c>
      <c r="M9" s="24" t="str">
        <f aca="false">IF(I9="","",IFERROR(VLOOKUP(I9,Referência!$B$45:$C$55,2,FALSE()),""))</f>
        <v/>
      </c>
      <c r="N9" s="23" t="str">
        <f aca="false">IF(AND(C9="",D9="",F9="",I9=""),"",IF(K9="Sim","Resolvida","Aberta"))</f>
        <v/>
      </c>
      <c r="O9" s="5"/>
    </row>
    <row r="10" customFormat="false" ht="31.5" hidden="false" customHeight="true" outlineLevel="0" collapsed="false">
      <c r="B10" s="19" t="n">
        <v>2</v>
      </c>
      <c r="C10" s="28"/>
      <c r="D10" s="5"/>
      <c r="E10" s="9"/>
      <c r="F10" s="5"/>
      <c r="G10" s="9"/>
      <c r="H10" s="9"/>
      <c r="I10" s="5"/>
      <c r="J10" s="5"/>
      <c r="K10" s="9"/>
      <c r="L10" s="20" t="str">
        <f aca="false">IF(H10="","",IF(H10&lt;250,"Grave",IF(H10&lt;500,"Médio-grave",IF(H10&lt;2000,"Médio",IF(H10&lt;=5000,"Médio-agudo","Agudo")))))</f>
        <v/>
      </c>
      <c r="M10" s="24" t="str">
        <f aca="false">IF(I10="","",IFERROR(VLOOKUP(I10,Referência!$B$45:$C$55,2,FALSE()),""))</f>
        <v/>
      </c>
      <c r="N10" s="23" t="str">
        <f aca="false">IF(AND(C10="",D10="",F10="",I10=""),"",IF(K10="Sim","Resolvida","Aberta"))</f>
        <v/>
      </c>
      <c r="O10" s="5"/>
    </row>
    <row r="11" customFormat="false" ht="31.5" hidden="false" customHeight="true" outlineLevel="0" collapsed="false">
      <c r="B11" s="19" t="n">
        <v>3</v>
      </c>
      <c r="C11" s="28"/>
      <c r="D11" s="5"/>
      <c r="E11" s="9"/>
      <c r="F11" s="5"/>
      <c r="G11" s="9"/>
      <c r="H11" s="9"/>
      <c r="I11" s="5"/>
      <c r="J11" s="5"/>
      <c r="K11" s="9"/>
      <c r="L11" s="20" t="str">
        <f aca="false">IF(H11="","",IF(H11&lt;250,"Grave",IF(H11&lt;500,"Médio-grave",IF(H11&lt;2000,"Médio",IF(H11&lt;=5000,"Médio-agudo","Agudo")))))</f>
        <v/>
      </c>
      <c r="M11" s="24" t="str">
        <f aca="false">IF(I11="","",IFERROR(VLOOKUP(I11,Referência!$B$45:$C$55,2,FALSE()),""))</f>
        <v/>
      </c>
      <c r="N11" s="23" t="str">
        <f aca="false">IF(AND(C11="",D11="",F11="",I11=""),"",IF(K11="Sim","Resolvida","Aberta"))</f>
        <v/>
      </c>
      <c r="O11" s="5"/>
    </row>
    <row r="12" customFormat="false" ht="31.5" hidden="false" customHeight="true" outlineLevel="0" collapsed="false">
      <c r="B12" s="19" t="n">
        <v>4</v>
      </c>
      <c r="C12" s="28"/>
      <c r="D12" s="5"/>
      <c r="E12" s="9"/>
      <c r="F12" s="5"/>
      <c r="G12" s="9"/>
      <c r="H12" s="9"/>
      <c r="I12" s="5"/>
      <c r="J12" s="5"/>
      <c r="K12" s="9"/>
      <c r="L12" s="20" t="str">
        <f aca="false">IF(H12="","",IF(H12&lt;250,"Grave",IF(H12&lt;500,"Médio-grave",IF(H12&lt;2000,"Médio",IF(H12&lt;=5000,"Médio-agudo","Agudo")))))</f>
        <v/>
      </c>
      <c r="M12" s="24" t="str">
        <f aca="false">IF(I12="","",IFERROR(VLOOKUP(I12,Referência!$B$45:$C$55,2,FALSE()),""))</f>
        <v/>
      </c>
      <c r="N12" s="23" t="str">
        <f aca="false">IF(AND(C12="",D12="",F12="",I12=""),"",IF(K12="Sim","Resolvida","Aberta"))</f>
        <v/>
      </c>
      <c r="O12" s="5"/>
    </row>
    <row r="13" customFormat="false" ht="31.5" hidden="false" customHeight="true" outlineLevel="0" collapsed="false">
      <c r="B13" s="19" t="n">
        <v>5</v>
      </c>
      <c r="C13" s="28"/>
      <c r="D13" s="5"/>
      <c r="E13" s="9"/>
      <c r="F13" s="5"/>
      <c r="G13" s="9"/>
      <c r="H13" s="9"/>
      <c r="I13" s="5"/>
      <c r="J13" s="5"/>
      <c r="K13" s="9"/>
      <c r="L13" s="20" t="str">
        <f aca="false">IF(H13="","",IF(H13&lt;250,"Grave",IF(H13&lt;500,"Médio-grave",IF(H13&lt;2000,"Médio",IF(H13&lt;=5000,"Médio-agudo","Agudo")))))</f>
        <v/>
      </c>
      <c r="M13" s="24" t="str">
        <f aca="false">IF(I13="","",IFERROR(VLOOKUP(I13,Referência!$B$45:$C$55,2,FALSE()),""))</f>
        <v/>
      </c>
      <c r="N13" s="23" t="str">
        <f aca="false">IF(AND(C13="",D13="",F13="",I13=""),"",IF(K13="Sim","Resolvida","Aberta"))</f>
        <v/>
      </c>
      <c r="O13" s="5"/>
    </row>
    <row r="14" customFormat="false" ht="31.5" hidden="false" customHeight="true" outlineLevel="0" collapsed="false">
      <c r="B14" s="19" t="n">
        <v>6</v>
      </c>
      <c r="C14" s="28"/>
      <c r="D14" s="5"/>
      <c r="E14" s="9"/>
      <c r="F14" s="5"/>
      <c r="G14" s="9"/>
      <c r="H14" s="9"/>
      <c r="I14" s="5"/>
      <c r="J14" s="5"/>
      <c r="K14" s="9"/>
      <c r="L14" s="20" t="str">
        <f aca="false">IF(H14="","",IF(H14&lt;250,"Grave",IF(H14&lt;500,"Médio-grave",IF(H14&lt;2000,"Médio",IF(H14&lt;=5000,"Médio-agudo","Agudo")))))</f>
        <v/>
      </c>
      <c r="M14" s="24" t="str">
        <f aca="false">IF(I14="","",IFERROR(VLOOKUP(I14,Referência!$B$45:$C$55,2,FALSE()),""))</f>
        <v/>
      </c>
      <c r="N14" s="23" t="str">
        <f aca="false">IF(AND(C14="",D14="",F14="",I14=""),"",IF(K14="Sim","Resolvida","Aberta"))</f>
        <v/>
      </c>
      <c r="O14" s="5"/>
    </row>
    <row r="15" customFormat="false" ht="31.5" hidden="false" customHeight="true" outlineLevel="0" collapsed="false">
      <c r="B15" s="19" t="n">
        <v>7</v>
      </c>
      <c r="C15" s="28"/>
      <c r="D15" s="5"/>
      <c r="E15" s="9"/>
      <c r="F15" s="5"/>
      <c r="G15" s="9"/>
      <c r="H15" s="9"/>
      <c r="I15" s="5"/>
      <c r="J15" s="5"/>
      <c r="K15" s="9"/>
      <c r="L15" s="20" t="str">
        <f aca="false">IF(H15="","",IF(H15&lt;250,"Grave",IF(H15&lt;500,"Médio-grave",IF(H15&lt;2000,"Médio",IF(H15&lt;=5000,"Médio-agudo","Agudo")))))</f>
        <v/>
      </c>
      <c r="M15" s="24" t="str">
        <f aca="false">IF(I15="","",IFERROR(VLOOKUP(I15,Referência!$B$45:$C$55,2,FALSE()),""))</f>
        <v/>
      </c>
      <c r="N15" s="23" t="str">
        <f aca="false">IF(AND(C15="",D15="",F15="",I15=""),"",IF(K15="Sim","Resolvida","Aberta"))</f>
        <v/>
      </c>
      <c r="O15" s="5"/>
    </row>
    <row r="16" customFormat="false" ht="31.5" hidden="false" customHeight="true" outlineLevel="0" collapsed="false">
      <c r="B16" s="19" t="n">
        <v>8</v>
      </c>
      <c r="C16" s="28"/>
      <c r="D16" s="5"/>
      <c r="E16" s="9"/>
      <c r="F16" s="5"/>
      <c r="G16" s="9"/>
      <c r="H16" s="9"/>
      <c r="I16" s="5"/>
      <c r="J16" s="5"/>
      <c r="K16" s="9"/>
      <c r="L16" s="20" t="str">
        <f aca="false">IF(H16="","",IF(H16&lt;250,"Grave",IF(H16&lt;500,"Médio-grave",IF(H16&lt;2000,"Médio",IF(H16&lt;=5000,"Médio-agudo","Agudo")))))</f>
        <v/>
      </c>
      <c r="M16" s="24" t="str">
        <f aca="false">IF(I16="","",IFERROR(VLOOKUP(I16,Referência!$B$45:$C$55,2,FALSE()),""))</f>
        <v/>
      </c>
      <c r="N16" s="23" t="str">
        <f aca="false">IF(AND(C16="",D16="",F16="",I16=""),"",IF(K16="Sim","Resolvida","Aberta"))</f>
        <v/>
      </c>
      <c r="O16" s="5"/>
    </row>
    <row r="17" customFormat="false" ht="31.5" hidden="false" customHeight="true" outlineLevel="0" collapsed="false">
      <c r="B17" s="19" t="n">
        <v>9</v>
      </c>
      <c r="C17" s="28"/>
      <c r="D17" s="5"/>
      <c r="E17" s="9"/>
      <c r="F17" s="5"/>
      <c r="G17" s="9"/>
      <c r="H17" s="9"/>
      <c r="I17" s="5"/>
      <c r="J17" s="5"/>
      <c r="K17" s="9"/>
      <c r="L17" s="20" t="str">
        <f aca="false">IF(H17="","",IF(H17&lt;250,"Grave",IF(H17&lt;500,"Médio-grave",IF(H17&lt;2000,"Médio",IF(H17&lt;=5000,"Médio-agudo","Agudo")))))</f>
        <v/>
      </c>
      <c r="M17" s="24" t="str">
        <f aca="false">IF(I17="","",IFERROR(VLOOKUP(I17,Referência!$B$45:$C$55,2,FALSE()),""))</f>
        <v/>
      </c>
      <c r="N17" s="23" t="str">
        <f aca="false">IF(AND(C17="",D17="",F17="",I17=""),"",IF(K17="Sim","Resolvida","Aberta"))</f>
        <v/>
      </c>
      <c r="O17" s="5"/>
    </row>
    <row r="18" customFormat="false" ht="31.5" hidden="false" customHeight="true" outlineLevel="0" collapsed="false">
      <c r="B18" s="19" t="n">
        <v>10</v>
      </c>
      <c r="C18" s="28"/>
      <c r="D18" s="5"/>
      <c r="E18" s="9"/>
      <c r="F18" s="5"/>
      <c r="G18" s="9"/>
      <c r="H18" s="9"/>
      <c r="I18" s="5"/>
      <c r="J18" s="5"/>
      <c r="K18" s="9"/>
      <c r="L18" s="20" t="str">
        <f aca="false">IF(H18="","",IF(H18&lt;250,"Grave",IF(H18&lt;500,"Médio-grave",IF(H18&lt;2000,"Médio",IF(H18&lt;=5000,"Médio-agudo","Agudo")))))</f>
        <v/>
      </c>
      <c r="M18" s="24" t="str">
        <f aca="false">IF(I18="","",IFERROR(VLOOKUP(I18,Referência!$B$45:$C$55,2,FALSE()),""))</f>
        <v/>
      </c>
      <c r="N18" s="23" t="str">
        <f aca="false">IF(AND(C18="",D18="",F18="",I18=""),"",IF(K18="Sim","Resolvida","Aberta"))</f>
        <v/>
      </c>
      <c r="O18" s="5"/>
    </row>
    <row r="19" customFormat="false" ht="31.5" hidden="false" customHeight="true" outlineLevel="0" collapsed="false">
      <c r="B19" s="19" t="n">
        <v>11</v>
      </c>
      <c r="C19" s="28"/>
      <c r="D19" s="5"/>
      <c r="E19" s="9"/>
      <c r="F19" s="5"/>
      <c r="G19" s="9"/>
      <c r="H19" s="9"/>
      <c r="I19" s="5"/>
      <c r="J19" s="5"/>
      <c r="K19" s="9"/>
      <c r="L19" s="20" t="str">
        <f aca="false">IF(H19="","",IF(H19&lt;250,"Grave",IF(H19&lt;500,"Médio-grave",IF(H19&lt;2000,"Médio",IF(H19&lt;=5000,"Médio-agudo","Agudo")))))</f>
        <v/>
      </c>
      <c r="M19" s="24" t="str">
        <f aca="false">IF(I19="","",IFERROR(VLOOKUP(I19,Referência!$B$45:$C$55,2,FALSE()),""))</f>
        <v/>
      </c>
      <c r="N19" s="23" t="str">
        <f aca="false">IF(AND(C19="",D19="",F19="",I19=""),"",IF(K19="Sim","Resolvida","Aberta"))</f>
        <v/>
      </c>
      <c r="O19" s="5"/>
    </row>
    <row r="20" customFormat="false" ht="31.5" hidden="false" customHeight="true" outlineLevel="0" collapsed="false">
      <c r="B20" s="19" t="n">
        <v>12</v>
      </c>
      <c r="C20" s="28"/>
      <c r="D20" s="5"/>
      <c r="E20" s="9"/>
      <c r="F20" s="5"/>
      <c r="G20" s="9"/>
      <c r="H20" s="9"/>
      <c r="I20" s="5"/>
      <c r="J20" s="5"/>
      <c r="K20" s="9"/>
      <c r="L20" s="20" t="str">
        <f aca="false">IF(H20="","",IF(H20&lt;250,"Grave",IF(H20&lt;500,"Médio-grave",IF(H20&lt;2000,"Médio",IF(H20&lt;=5000,"Médio-agudo","Agudo")))))</f>
        <v/>
      </c>
      <c r="M20" s="24" t="str">
        <f aca="false">IF(I20="","",IFERROR(VLOOKUP(I20,Referência!$B$45:$C$55,2,FALSE()),""))</f>
        <v/>
      </c>
      <c r="N20" s="23" t="str">
        <f aca="false">IF(AND(C20="",D20="",F20="",I20=""),"",IF(K20="Sim","Resolvida","Aberta"))</f>
        <v/>
      </c>
      <c r="O20" s="5"/>
    </row>
    <row r="21" customFormat="false" ht="31.5" hidden="false" customHeight="true" outlineLevel="0" collapsed="false">
      <c r="B21" s="19" t="n">
        <v>13</v>
      </c>
      <c r="C21" s="28"/>
      <c r="D21" s="5"/>
      <c r="E21" s="9"/>
      <c r="F21" s="5"/>
      <c r="G21" s="9"/>
      <c r="H21" s="9"/>
      <c r="I21" s="5"/>
      <c r="J21" s="5"/>
      <c r="K21" s="9"/>
      <c r="L21" s="20" t="str">
        <f aca="false">IF(H21="","",IF(H21&lt;250,"Grave",IF(H21&lt;500,"Médio-grave",IF(H21&lt;2000,"Médio",IF(H21&lt;=5000,"Médio-agudo","Agudo")))))</f>
        <v/>
      </c>
      <c r="M21" s="24" t="str">
        <f aca="false">IF(I21="","",IFERROR(VLOOKUP(I21,Referência!$B$45:$C$55,2,FALSE()),""))</f>
        <v/>
      </c>
      <c r="N21" s="23" t="str">
        <f aca="false">IF(AND(C21="",D21="",F21="",I21=""),"",IF(K21="Sim","Resolvida","Aberta"))</f>
        <v/>
      </c>
      <c r="O21" s="5"/>
    </row>
    <row r="22" customFormat="false" ht="31.5" hidden="false" customHeight="true" outlineLevel="0" collapsed="false">
      <c r="B22" s="19" t="n">
        <v>14</v>
      </c>
      <c r="C22" s="28"/>
      <c r="D22" s="5"/>
      <c r="E22" s="9"/>
      <c r="F22" s="5"/>
      <c r="G22" s="9"/>
      <c r="H22" s="9"/>
      <c r="I22" s="5"/>
      <c r="J22" s="5"/>
      <c r="K22" s="9"/>
      <c r="L22" s="20" t="str">
        <f aca="false">IF(H22="","",IF(H22&lt;250,"Grave",IF(H22&lt;500,"Médio-grave",IF(H22&lt;2000,"Médio",IF(H22&lt;=5000,"Médio-agudo","Agudo")))))</f>
        <v/>
      </c>
      <c r="M22" s="24" t="str">
        <f aca="false">IF(I22="","",IFERROR(VLOOKUP(I22,Referência!$B$45:$C$55,2,FALSE()),""))</f>
        <v/>
      </c>
      <c r="N22" s="23" t="str">
        <f aca="false">IF(AND(C22="",D22="",F22="",I22=""),"",IF(K22="Sim","Resolvida","Aberta"))</f>
        <v/>
      </c>
      <c r="O22" s="5"/>
    </row>
    <row r="23" customFormat="false" ht="31.5" hidden="false" customHeight="true" outlineLevel="0" collapsed="false">
      <c r="B23" s="19" t="n">
        <v>15</v>
      </c>
      <c r="C23" s="28"/>
      <c r="D23" s="5"/>
      <c r="E23" s="9"/>
      <c r="F23" s="5"/>
      <c r="G23" s="9"/>
      <c r="H23" s="9"/>
      <c r="I23" s="5"/>
      <c r="J23" s="5"/>
      <c r="K23" s="9"/>
      <c r="L23" s="20" t="str">
        <f aca="false">IF(H23="","",IF(H23&lt;250,"Grave",IF(H23&lt;500,"Médio-grave",IF(H23&lt;2000,"Médio",IF(H23&lt;=5000,"Médio-agudo","Agudo")))))</f>
        <v/>
      </c>
      <c r="M23" s="24" t="str">
        <f aca="false">IF(I23="","",IFERROR(VLOOKUP(I23,Referência!$B$45:$C$55,2,FALSE()),""))</f>
        <v/>
      </c>
      <c r="N23" s="23" t="str">
        <f aca="false">IF(AND(C23="",D23="",F23="",I23=""),"",IF(K23="Sim","Resolvida","Aberta"))</f>
        <v/>
      </c>
      <c r="O23" s="5"/>
    </row>
    <row r="24" customFormat="false" ht="31.5" hidden="false" customHeight="true" outlineLevel="0" collapsed="false">
      <c r="B24" s="19" t="n">
        <v>16</v>
      </c>
      <c r="C24" s="28"/>
      <c r="D24" s="5"/>
      <c r="E24" s="9"/>
      <c r="F24" s="5"/>
      <c r="G24" s="9"/>
      <c r="H24" s="9"/>
      <c r="I24" s="5"/>
      <c r="J24" s="5"/>
      <c r="K24" s="9"/>
      <c r="L24" s="20" t="str">
        <f aca="false">IF(H24="","",IF(H24&lt;250,"Grave",IF(H24&lt;500,"Médio-grave",IF(H24&lt;2000,"Médio",IF(H24&lt;=5000,"Médio-agudo","Agudo")))))</f>
        <v/>
      </c>
      <c r="M24" s="24" t="str">
        <f aca="false">IF(I24="","",IFERROR(VLOOKUP(I24,Referência!$B$45:$C$55,2,FALSE()),""))</f>
        <v/>
      </c>
      <c r="N24" s="23" t="str">
        <f aca="false">IF(AND(C24="",D24="",F24="",I24=""),"",IF(K24="Sim","Resolvida","Aberta"))</f>
        <v/>
      </c>
      <c r="O24" s="5"/>
    </row>
    <row r="25" customFormat="false" ht="31.5" hidden="false" customHeight="true" outlineLevel="0" collapsed="false">
      <c r="B25" s="19" t="n">
        <v>17</v>
      </c>
      <c r="C25" s="28"/>
      <c r="D25" s="5"/>
      <c r="E25" s="9"/>
      <c r="F25" s="5"/>
      <c r="G25" s="9"/>
      <c r="H25" s="9"/>
      <c r="I25" s="5"/>
      <c r="J25" s="5"/>
      <c r="K25" s="9"/>
      <c r="L25" s="20" t="str">
        <f aca="false">IF(H25="","",IF(H25&lt;250,"Grave",IF(H25&lt;500,"Médio-grave",IF(H25&lt;2000,"Médio",IF(H25&lt;=5000,"Médio-agudo","Agudo")))))</f>
        <v/>
      </c>
      <c r="M25" s="24" t="str">
        <f aca="false">IF(I25="","",IFERROR(VLOOKUP(I25,Referência!$B$45:$C$55,2,FALSE()),""))</f>
        <v/>
      </c>
      <c r="N25" s="23" t="str">
        <f aca="false">IF(AND(C25="",D25="",F25="",I25=""),"",IF(K25="Sim","Resolvida","Aberta"))</f>
        <v/>
      </c>
      <c r="O25" s="5"/>
    </row>
    <row r="26" customFormat="false" ht="31.5" hidden="false" customHeight="true" outlineLevel="0" collapsed="false">
      <c r="B26" s="19" t="n">
        <v>18</v>
      </c>
      <c r="C26" s="28"/>
      <c r="D26" s="5"/>
      <c r="E26" s="9"/>
      <c r="F26" s="5"/>
      <c r="G26" s="9"/>
      <c r="H26" s="9"/>
      <c r="I26" s="5"/>
      <c r="J26" s="5"/>
      <c r="K26" s="9"/>
      <c r="L26" s="20" t="str">
        <f aca="false">IF(H26="","",IF(H26&lt;250,"Grave",IF(H26&lt;500,"Médio-grave",IF(H26&lt;2000,"Médio",IF(H26&lt;=5000,"Médio-agudo","Agudo")))))</f>
        <v/>
      </c>
      <c r="M26" s="24" t="str">
        <f aca="false">IF(I26="","",IFERROR(VLOOKUP(I26,Referência!$B$45:$C$55,2,FALSE()),""))</f>
        <v/>
      </c>
      <c r="N26" s="23" t="str">
        <f aca="false">IF(AND(C26="",D26="",F26="",I26=""),"",IF(K26="Sim","Resolvida","Aberta"))</f>
        <v/>
      </c>
      <c r="O26" s="5"/>
    </row>
    <row r="27" customFormat="false" ht="31.5" hidden="false" customHeight="true" outlineLevel="0" collapsed="false">
      <c r="B27" s="19" t="n">
        <v>19</v>
      </c>
      <c r="C27" s="28"/>
      <c r="D27" s="5"/>
      <c r="E27" s="9"/>
      <c r="F27" s="5"/>
      <c r="G27" s="9"/>
      <c r="H27" s="9"/>
      <c r="I27" s="5"/>
      <c r="J27" s="5"/>
      <c r="K27" s="9"/>
      <c r="L27" s="20" t="str">
        <f aca="false">IF(H27="","",IF(H27&lt;250,"Grave",IF(H27&lt;500,"Médio-grave",IF(H27&lt;2000,"Médio",IF(H27&lt;=5000,"Médio-agudo","Agudo")))))</f>
        <v/>
      </c>
      <c r="M27" s="24" t="str">
        <f aca="false">IF(I27="","",IFERROR(VLOOKUP(I27,Referência!$B$45:$C$55,2,FALSE()),""))</f>
        <v/>
      </c>
      <c r="N27" s="23" t="str">
        <f aca="false">IF(AND(C27="",D27="",F27="",I27=""),"",IF(K27="Sim","Resolvida","Aberta"))</f>
        <v/>
      </c>
      <c r="O27" s="5"/>
    </row>
    <row r="28" customFormat="false" ht="31.5" hidden="false" customHeight="true" outlineLevel="0" collapsed="false">
      <c r="B28" s="19" t="n">
        <v>20</v>
      </c>
      <c r="C28" s="28"/>
      <c r="D28" s="5"/>
      <c r="E28" s="9"/>
      <c r="F28" s="5"/>
      <c r="G28" s="9"/>
      <c r="H28" s="9"/>
      <c r="I28" s="5"/>
      <c r="J28" s="5"/>
      <c r="K28" s="9"/>
      <c r="L28" s="20" t="str">
        <f aca="false">IF(H28="","",IF(H28&lt;250,"Grave",IF(H28&lt;500,"Médio-grave",IF(H28&lt;2000,"Médio",IF(H28&lt;=5000,"Médio-agudo","Agudo")))))</f>
        <v/>
      </c>
      <c r="M28" s="24" t="str">
        <f aca="false">IF(I28="","",IFERROR(VLOOKUP(I28,Referência!$B$45:$C$55,2,FALSE()),""))</f>
        <v/>
      </c>
      <c r="N28" s="23" t="str">
        <f aca="false">IF(AND(C28="",D28="",F28="",I28=""),"",IF(K28="Sim","Resolvida","Aberta"))</f>
        <v/>
      </c>
      <c r="O28" s="5"/>
    </row>
    <row r="30" customFormat="false" ht="21.75" hidden="false" customHeight="true" outlineLevel="0" collapsed="false">
      <c r="B30" s="13" t="s">
        <v>144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</row>
    <row r="31" customFormat="false" ht="19.5" hidden="false" customHeight="true" outlineLevel="0" collapsed="false">
      <c r="B31" s="4"/>
      <c r="C31" s="4"/>
      <c r="D31" s="4" t="s">
        <v>145</v>
      </c>
      <c r="E31" s="4"/>
      <c r="F31" s="4"/>
      <c r="G31" s="8" t="n">
        <f aca="false">COUNTIF($I$9:$I$28,D31)</f>
        <v>0</v>
      </c>
    </row>
    <row r="32" customFormat="false" ht="19.5" hidden="false" customHeight="true" outlineLevel="0" collapsed="false">
      <c r="B32" s="4"/>
      <c r="C32" s="4"/>
      <c r="D32" s="4" t="s">
        <v>146</v>
      </c>
      <c r="E32" s="4"/>
      <c r="F32" s="4"/>
      <c r="G32" s="8" t="n">
        <f aca="false">COUNTIF($I$9:$I$28,D32)</f>
        <v>0</v>
      </c>
    </row>
    <row r="33" customFormat="false" ht="19.5" hidden="false" customHeight="true" outlineLevel="0" collapsed="false">
      <c r="B33" s="4"/>
      <c r="C33" s="4"/>
      <c r="D33" s="4" t="s">
        <v>147</v>
      </c>
      <c r="E33" s="4"/>
      <c r="F33" s="4"/>
      <c r="G33" s="8" t="n">
        <f aca="false">COUNTIF($I$9:$I$28,D33)</f>
        <v>0</v>
      </c>
    </row>
    <row r="34" customFormat="false" ht="19.5" hidden="false" customHeight="true" outlineLevel="0" collapsed="false">
      <c r="B34" s="4"/>
      <c r="C34" s="4"/>
      <c r="D34" s="4" t="s">
        <v>148</v>
      </c>
      <c r="E34" s="4"/>
      <c r="F34" s="4"/>
      <c r="G34" s="8" t="n">
        <f aca="false">COUNTIF($I$9:$I$28,D34)</f>
        <v>0</v>
      </c>
    </row>
    <row r="35" customFormat="false" ht="19.5" hidden="false" customHeight="true" outlineLevel="0" collapsed="false">
      <c r="B35" s="4"/>
      <c r="C35" s="4"/>
      <c r="D35" s="4" t="s">
        <v>138</v>
      </c>
      <c r="E35" s="4"/>
      <c r="F35" s="4"/>
      <c r="G35" s="8" t="n">
        <f aca="false">COUNTIF($I$9:$I$28,D35)</f>
        <v>0</v>
      </c>
    </row>
    <row r="36" customFormat="false" ht="19.5" hidden="false" customHeight="true" outlineLevel="0" collapsed="false">
      <c r="B36" s="4"/>
      <c r="C36" s="4"/>
      <c r="D36" s="4" t="s">
        <v>149</v>
      </c>
      <c r="E36" s="4"/>
      <c r="F36" s="4"/>
      <c r="G36" s="8" t="n">
        <f aca="false">COUNTIF($I$9:$I$28,D36)</f>
        <v>0</v>
      </c>
    </row>
    <row r="37" customFormat="false" ht="19.5" hidden="false" customHeight="true" outlineLevel="0" collapsed="false">
      <c r="B37" s="4"/>
      <c r="C37" s="4"/>
      <c r="D37" s="4" t="s">
        <v>150</v>
      </c>
      <c r="E37" s="4"/>
      <c r="F37" s="4"/>
      <c r="G37" s="8" t="n">
        <f aca="false">COUNTIF($I$9:$I$28,D37)</f>
        <v>0</v>
      </c>
    </row>
    <row r="38" customFormat="false" ht="19.5" hidden="false" customHeight="true" outlineLevel="0" collapsed="false">
      <c r="B38" s="4"/>
      <c r="C38" s="4"/>
      <c r="D38" s="4" t="s">
        <v>151</v>
      </c>
      <c r="E38" s="4"/>
      <c r="F38" s="4"/>
      <c r="G38" s="8" t="n">
        <f aca="false">COUNTIF($I$9:$I$28,D38)</f>
        <v>0</v>
      </c>
    </row>
    <row r="39" customFormat="false" ht="19.5" hidden="false" customHeight="true" outlineLevel="0" collapsed="false">
      <c r="B39" s="4"/>
      <c r="C39" s="4"/>
      <c r="D39" s="4" t="s">
        <v>152</v>
      </c>
      <c r="E39" s="4"/>
      <c r="F39" s="4"/>
      <c r="G39" s="8" t="n">
        <f aca="false">COUNTIF($I$9:$I$28,D39)</f>
        <v>0</v>
      </c>
    </row>
    <row r="40" customFormat="false" ht="19.5" hidden="false" customHeight="true" outlineLevel="0" collapsed="false">
      <c r="B40" s="4"/>
      <c r="C40" s="4"/>
      <c r="D40" s="4" t="s">
        <v>153</v>
      </c>
      <c r="E40" s="4"/>
      <c r="F40" s="4"/>
      <c r="G40" s="8" t="n">
        <f aca="false">COUNTIF($I$9:$I$28,D40)</f>
        <v>0</v>
      </c>
    </row>
    <row r="41" customFormat="false" ht="19.5" hidden="false" customHeight="true" outlineLevel="0" collapsed="false">
      <c r="B41" s="4"/>
      <c r="C41" s="4"/>
      <c r="D41" s="4" t="s">
        <v>154</v>
      </c>
      <c r="E41" s="4"/>
      <c r="F41" s="4"/>
      <c r="G41" s="8" t="n">
        <f aca="false">COUNTIF($I$9:$I$28,D41)</f>
        <v>0</v>
      </c>
    </row>
    <row r="43" customFormat="false" ht="19.5" hidden="false" customHeight="true" outlineLevel="0" collapsed="false">
      <c r="B43" s="26" t="s">
        <v>155</v>
      </c>
      <c r="C43" s="26"/>
      <c r="D43" s="26"/>
      <c r="E43" s="26"/>
      <c r="F43" s="26"/>
      <c r="G43" s="8" t="n">
        <f aca="false">COUNTIF($N$9:$N$28,"Resolvida")+COUNTIF($N$9:$N$28,"Aberta")</f>
        <v>0</v>
      </c>
    </row>
    <row r="44" customFormat="false" ht="19.5" hidden="false" customHeight="true" outlineLevel="0" collapsed="false">
      <c r="B44" s="26" t="s">
        <v>156</v>
      </c>
      <c r="C44" s="26"/>
      <c r="D44" s="26"/>
      <c r="E44" s="26"/>
      <c r="F44" s="26"/>
      <c r="G44" s="8" t="n">
        <f aca="false">COUNTIF($N$9:$N$28,"Aberta")</f>
        <v>0</v>
      </c>
    </row>
    <row r="45" customFormat="false" ht="21.75" hidden="false" customHeight="true" outlineLevel="0" collapsed="false">
      <c r="B45" s="26" t="s">
        <v>157</v>
      </c>
      <c r="C45" s="26"/>
      <c r="D45" s="26"/>
      <c r="E45" s="26"/>
      <c r="F45" s="26"/>
      <c r="G45" s="29" t="str">
        <f aca="false">IF(MAX(G31:G41)=0,"",INDEX(D31:D41,MATCH(MAX(G31:G41),G31:G41,0)))</f>
        <v/>
      </c>
      <c r="H45" s="29"/>
      <c r="I45" s="29"/>
      <c r="J45" s="29"/>
    </row>
    <row r="46" customFormat="false" ht="21.75" hidden="false" customHeight="true" outlineLevel="0" collapsed="false">
      <c r="B46" s="26" t="s">
        <v>118</v>
      </c>
      <c r="C46" s="26"/>
      <c r="D46" s="26"/>
      <c r="E46" s="26"/>
      <c r="F46" s="26"/>
      <c r="G46" s="27" t="str">
        <f aca="false">IF(G43=0,"Sem ocorrências registradas",IF(G44&gt;0,"Há ocorrência aberta: aplique a medida definitiva antes do próximo evento","OK"))</f>
        <v>Sem ocorrências registradas</v>
      </c>
      <c r="H46" s="27"/>
      <c r="I46" s="27"/>
      <c r="J46" s="27"/>
      <c r="K46" s="27"/>
      <c r="L46" s="27"/>
      <c r="M46" s="27"/>
    </row>
  </sheetData>
  <mergeCells count="33">
    <mergeCell ref="B1:O1"/>
    <mergeCell ref="B2:O2"/>
    <mergeCell ref="B4:O4"/>
    <mergeCell ref="B8:O8"/>
    <mergeCell ref="B30:O30"/>
    <mergeCell ref="B31:C31"/>
    <mergeCell ref="D31:F31"/>
    <mergeCell ref="B32:C32"/>
    <mergeCell ref="D32:F32"/>
    <mergeCell ref="B33:C33"/>
    <mergeCell ref="D33:F33"/>
    <mergeCell ref="B34:C34"/>
    <mergeCell ref="D34:F34"/>
    <mergeCell ref="B35:C35"/>
    <mergeCell ref="D35:F35"/>
    <mergeCell ref="B36:C36"/>
    <mergeCell ref="D36:F36"/>
    <mergeCell ref="B37:C37"/>
    <mergeCell ref="D37:F37"/>
    <mergeCell ref="B38:C38"/>
    <mergeCell ref="D38:F38"/>
    <mergeCell ref="B39:C39"/>
    <mergeCell ref="D39:F39"/>
    <mergeCell ref="B40:C40"/>
    <mergeCell ref="D40:F40"/>
    <mergeCell ref="B41:C41"/>
    <mergeCell ref="D41:F41"/>
    <mergeCell ref="B43:F43"/>
    <mergeCell ref="B44:F44"/>
    <mergeCell ref="B45:F45"/>
    <mergeCell ref="G45:J45"/>
    <mergeCell ref="B46:F46"/>
    <mergeCell ref="G46:M46"/>
  </mergeCells>
  <conditionalFormatting sqref="N9:N28">
    <cfRule type="cellIs" priority="2" operator="equal" aboveAverage="0" equalAverage="0" bottom="0" percent="0" rank="0" text="" dxfId="0">
      <formula>"Resolvida"</formula>
    </cfRule>
    <cfRule type="cellIs" priority="3" operator="equal" aboveAverage="0" equalAverage="0" bottom="0" percent="0" rank="0" text="" dxfId="2">
      <formula>"Aberta"</formula>
    </cfRule>
  </conditionalFormatting>
  <conditionalFormatting sqref="G46:M46">
    <cfRule type="cellIs" priority="4" operator="equal" aboveAverage="0" equalAverage="0" bottom="0" percent="0" rank="0" text="" dxfId="0">
      <formula>"OK"</formula>
    </cfRule>
    <cfRule type="cellIs" priority="5" operator="notEqual" aboveAverage="0" equalAverage="0" bottom="0" percent="0" rank="0" text="" dxfId="2">
      <formula>"OK"</formula>
    </cfRule>
  </conditionalFormatting>
  <dataValidations count="6">
    <dataValidation allowBlank="true" error="Digite uma data no formato dia/mês/ano." errorStyle="stop" errorTitle="Data inválida" operator="greaterThanOrEqual" showDropDown="false" showErrorMessage="true" showInputMessage="false" sqref="C9:C28" type="date">
      <formula1>36526</formula1>
      <formula2>0</formula2>
    </dataValidation>
    <dataValidation allowBlank="true" error="Escolha uma das opções da lista." errorStyle="stop" errorTitle="Valor inválido" operator="between" prompt="Em que saída apitou?" promptTitle="Opções" showDropDown="false" showErrorMessage="true" showInputMessage="true" sqref="E9:E28" type="list">
      <formula1>"Frente,Retorno,Lateral,Delay,Outra"</formula1>
      <formula2>0</formula2>
    </dataValidation>
    <dataValidation allowBlank="true" error="Escolha uma das opções da lista." errorStyle="stop" errorTitle="Valor inválido" operator="between" prompt="Como soava o apito." promptTitle="Opções" showDropDown="false" showErrorMessage="true" showInputMessage="true" sqref="G9:G28" type="list">
      <formula1>"Grave,Médio-grave,Médio,Médio-agudo,Agudo"</formula1>
      <formula2>0</formula2>
    </dataValidation>
    <dataValidation allowBlank="true" error="Escolha uma das opções da lista." errorStyle="stop" errorTitle="Valor inválido" operator="between" prompt="A causa encontrada." promptTitle="Opções" showDropDown="false" showErrorMessage="true" showInputMessage="true" sqref="I9:I28" type="list">
      <formula1>"Caixa mal posicionada,Microfone longe da fonte,Mão na cápsula,Microfone virado para a caixa,Microfones abertos sem uso,Retorno alto,Volume da sala alto,Realce de EQ ou compressor,Pessoa na frente da caixa,Sala reflexiva,Não identificada"</formula1>
      <formula2>0</formula2>
    </dataValidation>
    <dataValidation allowBlank="true" error="Escolha uma das opções da lista." errorStyle="stop" errorTitle="Valor inválido" operator="between" prompt="A medida na hora resolveu?" promptTitle="Opções" showDropDown="false" showErrorMessage="true" showInputMessage="true" sqref="K9:K28" type="list">
      <formula1>"Sim,Não"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H9:H28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B73"/>
    <pageSetUpPr fitToPage="true"/>
  </sheetPr>
  <dimension ref="B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36"/>
    <col collapsed="false" customWidth="true" hidden="false" outlineLevel="0" max="4" min="4" style="0" width="14"/>
    <col collapsed="false" customWidth="true" hidden="false" outlineLevel="0" max="7" min="5" style="0" width="15"/>
    <col collapsed="false" customWidth="true" hidden="false" outlineLevel="0" max="8" min="8" style="0" width="58"/>
    <col collapsed="false" customWidth="true" hidden="false" outlineLevel="0" max="9" min="9" style="0" width="2"/>
  </cols>
  <sheetData>
    <row r="1" customFormat="false" ht="31.5" hidden="false" customHeight="true" outlineLevel="0" collapsed="false">
      <c r="B1" s="1" t="s">
        <v>158</v>
      </c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B2" s="2" t="s">
        <v>159</v>
      </c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B4" s="13" t="s">
        <v>160</v>
      </c>
      <c r="C4" s="13"/>
      <c r="D4" s="13"/>
      <c r="E4" s="13"/>
      <c r="F4" s="13"/>
      <c r="G4" s="13"/>
      <c r="H4" s="13"/>
    </row>
    <row r="5" customFormat="false" ht="21.75" hidden="false" customHeight="true" outlineLevel="0" collapsed="false">
      <c r="B5" s="4" t="s">
        <v>161</v>
      </c>
      <c r="C5" s="4"/>
      <c r="D5" s="9"/>
      <c r="E5" s="10" t="s">
        <v>162</v>
      </c>
      <c r="F5" s="10"/>
      <c r="G5" s="10"/>
      <c r="H5" s="10"/>
    </row>
    <row r="6" customFormat="false" ht="21.75" hidden="false" customHeight="true" outlineLevel="0" collapsed="false">
      <c r="B6" s="4" t="s">
        <v>163</v>
      </c>
      <c r="C6" s="4"/>
      <c r="D6" s="9"/>
      <c r="E6" s="10" t="s">
        <v>164</v>
      </c>
      <c r="F6" s="10"/>
      <c r="G6" s="10"/>
      <c r="H6" s="10"/>
    </row>
    <row r="7" customFormat="false" ht="21.75" hidden="false" customHeight="true" outlineLevel="0" collapsed="false">
      <c r="B7" s="4" t="s">
        <v>60</v>
      </c>
      <c r="C7" s="4"/>
      <c r="D7" s="9" t="n">
        <v>6</v>
      </c>
      <c r="E7" s="10" t="s">
        <v>165</v>
      </c>
      <c r="F7" s="10"/>
      <c r="G7" s="10"/>
      <c r="H7" s="10"/>
    </row>
    <row r="8" customFormat="false" ht="21.75" hidden="false" customHeight="true" outlineLevel="0" collapsed="false">
      <c r="B8" s="4" t="s">
        <v>166</v>
      </c>
      <c r="C8" s="4"/>
      <c r="D8" s="8" t="str">
        <f aca="false">IF(OR(D5="",D6="",D7="",D6&lt;1),"",MAX(0,ROUND(D6*10^((D5-D7)/10)-0.4999,0)))</f>
        <v/>
      </c>
      <c r="E8" s="10" t="s">
        <v>167</v>
      </c>
      <c r="F8" s="10"/>
      <c r="G8" s="10"/>
      <c r="H8" s="10"/>
    </row>
    <row r="10" customFormat="false" ht="21.75" hidden="false" customHeight="true" outlineLevel="0" collapsed="false">
      <c r="B10" s="13" t="s">
        <v>168</v>
      </c>
      <c r="C10" s="13"/>
      <c r="D10" s="13"/>
      <c r="E10" s="13"/>
      <c r="F10" s="13"/>
      <c r="G10" s="13"/>
      <c r="H10" s="13"/>
    </row>
    <row r="11" customFormat="false" ht="30" hidden="false" customHeight="true" outlineLevel="0" collapsed="false">
      <c r="B11" s="14" t="s">
        <v>74</v>
      </c>
      <c r="C11" s="14" t="s">
        <v>123</v>
      </c>
      <c r="D11" s="15" t="s">
        <v>51</v>
      </c>
      <c r="E11" s="16" t="s">
        <v>169</v>
      </c>
      <c r="F11" s="16" t="s">
        <v>170</v>
      </c>
      <c r="G11" s="16" t="s">
        <v>81</v>
      </c>
      <c r="H11" s="16" t="s">
        <v>82</v>
      </c>
    </row>
    <row r="12" customFormat="false" ht="15" hidden="false" customHeight="false" outlineLevel="0" collapsed="false">
      <c r="B12" s="17"/>
      <c r="C12" s="17"/>
      <c r="D12" s="17" t="s">
        <v>171</v>
      </c>
      <c r="E12" s="17" t="s">
        <v>86</v>
      </c>
      <c r="F12" s="17" t="s">
        <v>86</v>
      </c>
      <c r="G12" s="17"/>
      <c r="H12" s="17"/>
    </row>
    <row r="13" customFormat="false" ht="31.5" hidden="false" customHeight="true" outlineLevel="0" collapsed="false">
      <c r="B13" s="17" t="s">
        <v>90</v>
      </c>
      <c r="C13" s="10" t="s">
        <v>172</v>
      </c>
      <c r="D13" s="17" t="n">
        <v>8</v>
      </c>
      <c r="E13" s="30" t="n">
        <v>-6</v>
      </c>
      <c r="F13" s="30" t="n">
        <v>1</v>
      </c>
      <c r="G13" s="17" t="s">
        <v>173</v>
      </c>
      <c r="H13" s="10" t="s">
        <v>174</v>
      </c>
    </row>
    <row r="14" customFormat="false" ht="21.75" hidden="false" customHeight="true" outlineLevel="0" collapsed="false">
      <c r="B14" s="19" t="n">
        <v>1</v>
      </c>
      <c r="C14" s="5"/>
      <c r="D14" s="9"/>
      <c r="E14" s="31" t="str">
        <f aca="false">IF(OR(D14="",$D$6="",D14&lt;1,$D$6&lt;1),"",ROUND(10*LOG10($D$6/D14),1))</f>
        <v/>
      </c>
      <c r="F14" s="32" t="str">
        <f aca="false">IF(OR(E14="",$D$5=""),"",$D$5+E14)</f>
        <v/>
      </c>
      <c r="G14" s="23" t="str">
        <f aca="false">IF(F14="","",IF(F14&lt;3,"Sem margem",IF(F14&lt;$D$7,"Margem curta","OK")))</f>
        <v/>
      </c>
      <c r="H14" s="24" t="str">
        <f aca="false">IF(G14="","",IF(G14="OK","Manter","Feche microfones sem uso: com a margem mínima, até "&amp;$D$8&amp;" abertos"))</f>
        <v/>
      </c>
    </row>
    <row r="15" customFormat="false" ht="21.75" hidden="false" customHeight="true" outlineLevel="0" collapsed="false">
      <c r="B15" s="19" t="n">
        <v>2</v>
      </c>
      <c r="C15" s="5"/>
      <c r="D15" s="9"/>
      <c r="E15" s="31" t="str">
        <f aca="false">IF(OR(D15="",$D$6="",D15&lt;1,$D$6&lt;1),"",ROUND(10*LOG10($D$6/D15),1))</f>
        <v/>
      </c>
      <c r="F15" s="32" t="str">
        <f aca="false">IF(OR(E15="",$D$5=""),"",$D$5+E15)</f>
        <v/>
      </c>
      <c r="G15" s="23" t="str">
        <f aca="false">IF(F15="","",IF(F15&lt;3,"Sem margem",IF(F15&lt;$D$7,"Margem curta","OK")))</f>
        <v/>
      </c>
      <c r="H15" s="24" t="str">
        <f aca="false">IF(G15="","",IF(G15="OK","Manter","Feche microfones sem uso: com a margem mínima, até "&amp;$D$8&amp;" abertos"))</f>
        <v/>
      </c>
    </row>
    <row r="16" customFormat="false" ht="21.75" hidden="false" customHeight="true" outlineLevel="0" collapsed="false">
      <c r="B16" s="19" t="n">
        <v>3</v>
      </c>
      <c r="C16" s="5"/>
      <c r="D16" s="9"/>
      <c r="E16" s="31" t="str">
        <f aca="false">IF(OR(D16="",$D$6="",D16&lt;1,$D$6&lt;1),"",ROUND(10*LOG10($D$6/D16),1))</f>
        <v/>
      </c>
      <c r="F16" s="32" t="str">
        <f aca="false">IF(OR(E16="",$D$5=""),"",$D$5+E16)</f>
        <v/>
      </c>
      <c r="G16" s="23" t="str">
        <f aca="false">IF(F16="","",IF(F16&lt;3,"Sem margem",IF(F16&lt;$D$7,"Margem curta","OK")))</f>
        <v/>
      </c>
      <c r="H16" s="24" t="str">
        <f aca="false">IF(G16="","",IF(G16="OK","Manter","Feche microfones sem uso: com a margem mínima, até "&amp;$D$8&amp;" abertos"))</f>
        <v/>
      </c>
    </row>
    <row r="17" customFormat="false" ht="21.75" hidden="false" customHeight="true" outlineLevel="0" collapsed="false">
      <c r="B17" s="19" t="n">
        <v>4</v>
      </c>
      <c r="C17" s="5"/>
      <c r="D17" s="9"/>
      <c r="E17" s="31" t="str">
        <f aca="false">IF(OR(D17="",$D$6="",D17&lt;1,$D$6&lt;1),"",ROUND(10*LOG10($D$6/D17),1))</f>
        <v/>
      </c>
      <c r="F17" s="32" t="str">
        <f aca="false">IF(OR(E17="",$D$5=""),"",$D$5+E17)</f>
        <v/>
      </c>
      <c r="G17" s="23" t="str">
        <f aca="false">IF(F17="","",IF(F17&lt;3,"Sem margem",IF(F17&lt;$D$7,"Margem curta","OK")))</f>
        <v/>
      </c>
      <c r="H17" s="24" t="str">
        <f aca="false">IF(G17="","",IF(G17="OK","Manter","Feche microfones sem uso: com a margem mínima, até "&amp;$D$8&amp;" abertos"))</f>
        <v/>
      </c>
    </row>
    <row r="18" customFormat="false" ht="21.75" hidden="false" customHeight="true" outlineLevel="0" collapsed="false">
      <c r="B18" s="19" t="n">
        <v>5</v>
      </c>
      <c r="C18" s="5"/>
      <c r="D18" s="9"/>
      <c r="E18" s="31" t="str">
        <f aca="false">IF(OR(D18="",$D$6="",D18&lt;1,$D$6&lt;1),"",ROUND(10*LOG10($D$6/D18),1))</f>
        <v/>
      </c>
      <c r="F18" s="32" t="str">
        <f aca="false">IF(OR(E18="",$D$5=""),"",$D$5+E18)</f>
        <v/>
      </c>
      <c r="G18" s="23" t="str">
        <f aca="false">IF(F18="","",IF(F18&lt;3,"Sem margem",IF(F18&lt;$D$7,"Margem curta","OK")))</f>
        <v/>
      </c>
      <c r="H18" s="24" t="str">
        <f aca="false">IF(G18="","",IF(G18="OK","Manter","Feche microfones sem uso: com a margem mínima, até "&amp;$D$8&amp;" abertos"))</f>
        <v/>
      </c>
    </row>
    <row r="19" customFormat="false" ht="21.75" hidden="false" customHeight="true" outlineLevel="0" collapsed="false">
      <c r="B19" s="19" t="n">
        <v>6</v>
      </c>
      <c r="C19" s="5"/>
      <c r="D19" s="9"/>
      <c r="E19" s="31" t="str">
        <f aca="false">IF(OR(D19="",$D$6="",D19&lt;1,$D$6&lt;1),"",ROUND(10*LOG10($D$6/D19),1))</f>
        <v/>
      </c>
      <c r="F19" s="32" t="str">
        <f aca="false">IF(OR(E19="",$D$5=""),"",$D$5+E19)</f>
        <v/>
      </c>
      <c r="G19" s="23" t="str">
        <f aca="false">IF(F19="","",IF(F19&lt;3,"Sem margem",IF(F19&lt;$D$7,"Margem curta","OK")))</f>
        <v/>
      </c>
      <c r="H19" s="24" t="str">
        <f aca="false">IF(G19="","",IF(G19="OK","Manter","Feche microfones sem uso: com a margem mínima, até "&amp;$D$8&amp;" abertos"))</f>
        <v/>
      </c>
    </row>
    <row r="20" customFormat="false" ht="21.75" hidden="false" customHeight="true" outlineLevel="0" collapsed="false">
      <c r="B20" s="19" t="n">
        <v>7</v>
      </c>
      <c r="C20" s="5"/>
      <c r="D20" s="9"/>
      <c r="E20" s="31" t="str">
        <f aca="false">IF(OR(D20="",$D$6="",D20&lt;1,$D$6&lt;1),"",ROUND(10*LOG10($D$6/D20),1))</f>
        <v/>
      </c>
      <c r="F20" s="32" t="str">
        <f aca="false">IF(OR(E20="",$D$5=""),"",$D$5+E20)</f>
        <v/>
      </c>
      <c r="G20" s="23" t="str">
        <f aca="false">IF(F20="","",IF(F20&lt;3,"Sem margem",IF(F20&lt;$D$7,"Margem curta","OK")))</f>
        <v/>
      </c>
      <c r="H20" s="24" t="str">
        <f aca="false">IF(G20="","",IF(G20="OK","Manter","Feche microfones sem uso: com a margem mínima, até "&amp;$D$8&amp;" abertos"))</f>
        <v/>
      </c>
    </row>
    <row r="21" customFormat="false" ht="21.75" hidden="false" customHeight="true" outlineLevel="0" collapsed="false">
      <c r="B21" s="19" t="n">
        <v>8</v>
      </c>
      <c r="C21" s="5"/>
      <c r="D21" s="9"/>
      <c r="E21" s="31" t="str">
        <f aca="false">IF(OR(D21="",$D$6="",D21&lt;1,$D$6&lt;1),"",ROUND(10*LOG10($D$6/D21),1))</f>
        <v/>
      </c>
      <c r="F21" s="32" t="str">
        <f aca="false">IF(OR(E21="",$D$5=""),"",$D$5+E21)</f>
        <v/>
      </c>
      <c r="G21" s="23" t="str">
        <f aca="false">IF(F21="","",IF(F21&lt;3,"Sem margem",IF(F21&lt;$D$7,"Margem curta","OK")))</f>
        <v/>
      </c>
      <c r="H21" s="24" t="str">
        <f aca="false">IF(G21="","",IF(G21="OK","Manter","Feche microfones sem uso: com a margem mínima, até "&amp;$D$8&amp;" abertos"))</f>
        <v/>
      </c>
    </row>
    <row r="22" customFormat="false" ht="21.75" hidden="false" customHeight="true" outlineLevel="0" collapsed="false">
      <c r="B22" s="19" t="n">
        <v>9</v>
      </c>
      <c r="C22" s="5"/>
      <c r="D22" s="9"/>
      <c r="E22" s="31" t="str">
        <f aca="false">IF(OR(D22="",$D$6="",D22&lt;1,$D$6&lt;1),"",ROUND(10*LOG10($D$6/D22),1))</f>
        <v/>
      </c>
      <c r="F22" s="32" t="str">
        <f aca="false">IF(OR(E22="",$D$5=""),"",$D$5+E22)</f>
        <v/>
      </c>
      <c r="G22" s="23" t="str">
        <f aca="false">IF(F22="","",IF(F22&lt;3,"Sem margem",IF(F22&lt;$D$7,"Margem curta","OK")))</f>
        <v/>
      </c>
      <c r="H22" s="24" t="str">
        <f aca="false">IF(G22="","",IF(G22="OK","Manter","Feche microfones sem uso: com a margem mínima, até "&amp;$D$8&amp;" abertos"))</f>
        <v/>
      </c>
    </row>
    <row r="23" customFormat="false" ht="21.75" hidden="false" customHeight="true" outlineLevel="0" collapsed="false">
      <c r="B23" s="19" t="n">
        <v>10</v>
      </c>
      <c r="C23" s="5"/>
      <c r="D23" s="9"/>
      <c r="E23" s="31" t="str">
        <f aca="false">IF(OR(D23="",$D$6="",D23&lt;1,$D$6&lt;1),"",ROUND(10*LOG10($D$6/D23),1))</f>
        <v/>
      </c>
      <c r="F23" s="32" t="str">
        <f aca="false">IF(OR(E23="",$D$5=""),"",$D$5+E23)</f>
        <v/>
      </c>
      <c r="G23" s="23" t="str">
        <f aca="false">IF(F23="","",IF(F23&lt;3,"Sem margem",IF(F23&lt;$D$7,"Margem curta","OK")))</f>
        <v/>
      </c>
      <c r="H23" s="24" t="str">
        <f aca="false">IF(G23="","",IF(G23="OK","Manter","Feche microfones sem uso: com a margem mínima, até "&amp;$D$8&amp;" abertos"))</f>
        <v/>
      </c>
    </row>
    <row r="25" customFormat="false" ht="21.75" hidden="false" customHeight="true" outlineLevel="0" collapsed="false">
      <c r="B25" s="13" t="s">
        <v>175</v>
      </c>
      <c r="C25" s="13"/>
      <c r="D25" s="13"/>
      <c r="E25" s="13"/>
      <c r="F25" s="13"/>
      <c r="G25" s="13"/>
      <c r="H25" s="13"/>
    </row>
    <row r="26" customFormat="false" ht="19.5" hidden="false" customHeight="true" outlineLevel="0" collapsed="false">
      <c r="B26" s="33" t="s">
        <v>176</v>
      </c>
      <c r="C26" s="33"/>
      <c r="D26" s="33"/>
    </row>
    <row r="27" customFormat="false" ht="19.5" hidden="false" customHeight="true" outlineLevel="0" collapsed="false">
      <c r="B27" s="4" t="s">
        <v>177</v>
      </c>
      <c r="C27" s="4"/>
      <c r="D27" s="9"/>
      <c r="E27" s="10" t="s">
        <v>178</v>
      </c>
      <c r="F27" s="10"/>
      <c r="G27" s="10"/>
      <c r="H27" s="10"/>
    </row>
    <row r="28" customFormat="false" ht="19.5" hidden="false" customHeight="true" outlineLevel="0" collapsed="false">
      <c r="B28" s="4" t="s">
        <v>179</v>
      </c>
      <c r="C28" s="4"/>
      <c r="D28" s="9"/>
      <c r="E28" s="10"/>
      <c r="F28" s="10"/>
      <c r="G28" s="10"/>
      <c r="H28" s="10"/>
    </row>
    <row r="29" customFormat="false" ht="19.5" hidden="false" customHeight="true" outlineLevel="0" collapsed="false">
      <c r="B29" s="4" t="s">
        <v>180</v>
      </c>
      <c r="C29" s="4"/>
      <c r="D29" s="32" t="str">
        <f aca="false">IF(OR(D27="",D28="",D27&lt;=0,D28&lt;=0),"",ROUND(20*LOG10(D27/D28),1))</f>
        <v/>
      </c>
      <c r="E29" s="10"/>
      <c r="F29" s="10"/>
      <c r="G29" s="10"/>
      <c r="H29" s="10"/>
    </row>
    <row r="30" customFormat="false" ht="19.5" hidden="false" customHeight="true" outlineLevel="0" collapsed="false">
      <c r="B30" s="33" t="s">
        <v>181</v>
      </c>
      <c r="C30" s="33"/>
      <c r="D30" s="33"/>
    </row>
    <row r="31" customFormat="false" ht="19.5" hidden="false" customHeight="true" outlineLevel="0" collapsed="false">
      <c r="B31" s="4" t="s">
        <v>182</v>
      </c>
      <c r="C31" s="4"/>
      <c r="D31" s="9"/>
      <c r="E31" s="10" t="s">
        <v>183</v>
      </c>
      <c r="F31" s="10"/>
      <c r="G31" s="10"/>
      <c r="H31" s="10"/>
    </row>
    <row r="32" customFormat="false" ht="19.5" hidden="false" customHeight="true" outlineLevel="0" collapsed="false">
      <c r="B32" s="4" t="s">
        <v>184</v>
      </c>
      <c r="C32" s="4"/>
      <c r="D32" s="9"/>
      <c r="E32" s="10"/>
      <c r="F32" s="10"/>
      <c r="G32" s="10"/>
      <c r="H32" s="10"/>
    </row>
    <row r="33" customFormat="false" ht="19.5" hidden="false" customHeight="true" outlineLevel="0" collapsed="false">
      <c r="B33" s="4" t="s">
        <v>185</v>
      </c>
      <c r="C33" s="4"/>
      <c r="D33" s="32" t="str">
        <f aca="false">IF(OR(D31="",D32="",D31&lt;=0,D32&lt;=0),"",ROUND(20*LOG10(D32/D31),1))</f>
        <v/>
      </c>
      <c r="E33" s="10"/>
      <c r="F33" s="10"/>
      <c r="G33" s="10"/>
      <c r="H33" s="10"/>
    </row>
    <row r="35" customFormat="false" ht="15" hidden="false" customHeight="true" outlineLevel="0" collapsed="false">
      <c r="B35" s="10" t="s">
        <v>186</v>
      </c>
      <c r="C35" s="10"/>
      <c r="D35" s="10"/>
      <c r="E35" s="10"/>
      <c r="F35" s="10"/>
      <c r="G35" s="10"/>
      <c r="H35" s="10"/>
    </row>
  </sheetData>
  <mergeCells count="24">
    <mergeCell ref="B1:H1"/>
    <mergeCell ref="B2:H2"/>
    <mergeCell ref="B4:H4"/>
    <mergeCell ref="B5:C5"/>
    <mergeCell ref="E5:H5"/>
    <mergeCell ref="B6:C6"/>
    <mergeCell ref="E6:H6"/>
    <mergeCell ref="B7:C7"/>
    <mergeCell ref="E7:H7"/>
    <mergeCell ref="B8:C8"/>
    <mergeCell ref="E8:H8"/>
    <mergeCell ref="B10:H10"/>
    <mergeCell ref="B25:H25"/>
    <mergeCell ref="B26:D26"/>
    <mergeCell ref="B27:C27"/>
    <mergeCell ref="E27:H29"/>
    <mergeCell ref="B28:C28"/>
    <mergeCell ref="B29:C29"/>
    <mergeCell ref="B30:D30"/>
    <mergeCell ref="B31:C31"/>
    <mergeCell ref="E31:H33"/>
    <mergeCell ref="B32:C32"/>
    <mergeCell ref="B33:C33"/>
    <mergeCell ref="B35:H35"/>
  </mergeCells>
  <conditionalFormatting sqref="G14:G23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2">
      <formula>"Margem curta"</formula>
    </cfRule>
    <cfRule type="cellIs" priority="4" operator="equal" aboveAverage="0" equalAverage="0" bottom="0" percent="0" rank="0" text="" dxfId="1">
      <formula>"Sem margem"</formula>
    </cfRule>
  </conditionalFormatting>
  <dataValidations count="4">
    <dataValidation allowBlank="true" error="Digite apenas o número, sem texto nem unidade." errorStyle="stop" errorTitle="Valor inválido" operator="between" showDropDown="false" showErrorMessage="true" showInputMessage="false" sqref="D5:D7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D14:D23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D27:D28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D31:D32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E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60"/>
    <col collapsed="false" customWidth="true" hidden="false" outlineLevel="0" max="6" min="6" style="0" width="2"/>
  </cols>
  <sheetData>
    <row r="1" customFormat="false" ht="31.5" hidden="false" customHeight="true" outlineLevel="0" collapsed="false">
      <c r="B1" s="1" t="s">
        <v>187</v>
      </c>
      <c r="C1" s="1"/>
      <c r="D1" s="1"/>
      <c r="E1" s="1"/>
    </row>
    <row r="2" customFormat="false" ht="19.5" hidden="false" customHeight="true" outlineLevel="0" collapsed="false">
      <c r="B2" s="2" t="s">
        <v>188</v>
      </c>
      <c r="C2" s="2"/>
      <c r="D2" s="2"/>
      <c r="E2" s="2"/>
    </row>
    <row r="4" customFormat="false" ht="21.75" hidden="false" customHeight="true" outlineLevel="0" collapsed="false">
      <c r="B4" s="13" t="s">
        <v>189</v>
      </c>
      <c r="C4" s="13"/>
      <c r="D4" s="13"/>
      <c r="E4" s="13"/>
    </row>
    <row r="5" customFormat="false" ht="21.75" hidden="false" customHeight="true" outlineLevel="0" collapsed="false">
      <c r="B5" s="8" t="s">
        <v>101</v>
      </c>
      <c r="C5" s="8" t="s">
        <v>97</v>
      </c>
      <c r="D5" s="8" t="s">
        <v>190</v>
      </c>
      <c r="E5" s="8" t="s">
        <v>191</v>
      </c>
    </row>
    <row r="6" customFormat="false" ht="31.5" hidden="false" customHeight="true" outlineLevel="0" collapsed="false">
      <c r="B6" s="34" t="s">
        <v>192</v>
      </c>
      <c r="C6" s="35" t="s">
        <v>193</v>
      </c>
      <c r="D6" s="35" t="s">
        <v>194</v>
      </c>
      <c r="E6" s="7" t="s">
        <v>195</v>
      </c>
    </row>
    <row r="7" customFormat="false" ht="31.5" hidden="false" customHeight="true" outlineLevel="0" collapsed="false">
      <c r="B7" s="34" t="s">
        <v>196</v>
      </c>
      <c r="C7" s="35" t="s">
        <v>197</v>
      </c>
      <c r="D7" s="35" t="s">
        <v>198</v>
      </c>
      <c r="E7" s="7" t="s">
        <v>199</v>
      </c>
    </row>
    <row r="8" customFormat="false" ht="31.5" hidden="false" customHeight="true" outlineLevel="0" collapsed="false">
      <c r="B8" s="34" t="s">
        <v>200</v>
      </c>
      <c r="C8" s="35" t="s">
        <v>201</v>
      </c>
      <c r="D8" s="35" t="s">
        <v>202</v>
      </c>
      <c r="E8" s="7" t="s">
        <v>203</v>
      </c>
    </row>
    <row r="9" customFormat="false" ht="31.5" hidden="false" customHeight="true" outlineLevel="0" collapsed="false">
      <c r="B9" s="34" t="s">
        <v>110</v>
      </c>
      <c r="C9" s="35" t="s">
        <v>204</v>
      </c>
      <c r="D9" s="35" t="s">
        <v>205</v>
      </c>
      <c r="E9" s="7" t="s">
        <v>206</v>
      </c>
    </row>
    <row r="10" customFormat="false" ht="31.5" hidden="false" customHeight="true" outlineLevel="0" collapsed="false">
      <c r="B10" s="34" t="s">
        <v>207</v>
      </c>
      <c r="C10" s="35" t="s">
        <v>208</v>
      </c>
      <c r="D10" s="35" t="s">
        <v>209</v>
      </c>
      <c r="E10" s="7" t="s">
        <v>210</v>
      </c>
    </row>
    <row r="12" customFormat="false" ht="21.75" hidden="false" customHeight="true" outlineLevel="0" collapsed="false">
      <c r="B12" s="13" t="s">
        <v>211</v>
      </c>
      <c r="C12" s="13"/>
      <c r="D12" s="13"/>
      <c r="E12" s="13"/>
    </row>
    <row r="13" customFormat="false" ht="21.75" hidden="false" customHeight="true" outlineLevel="0" collapsed="false">
      <c r="B13" s="8" t="s">
        <v>99</v>
      </c>
      <c r="C13" s="8" t="s">
        <v>49</v>
      </c>
      <c r="D13" s="8" t="s">
        <v>212</v>
      </c>
      <c r="E13" s="8" t="s">
        <v>83</v>
      </c>
    </row>
    <row r="14" customFormat="false" ht="21.75" hidden="false" customHeight="true" outlineLevel="0" collapsed="false">
      <c r="B14" s="34" t="s">
        <v>213</v>
      </c>
      <c r="C14" s="35" t="s">
        <v>214</v>
      </c>
      <c r="D14" s="35" t="s">
        <v>215</v>
      </c>
      <c r="E14" s="7" t="s">
        <v>216</v>
      </c>
    </row>
    <row r="15" customFormat="false" ht="21.75" hidden="false" customHeight="true" outlineLevel="0" collapsed="false">
      <c r="B15" s="34" t="s">
        <v>217</v>
      </c>
      <c r="C15" s="35" t="s">
        <v>218</v>
      </c>
      <c r="D15" s="35" t="s">
        <v>219</v>
      </c>
      <c r="E15" s="7" t="s">
        <v>220</v>
      </c>
    </row>
    <row r="16" customFormat="false" ht="21.75" hidden="false" customHeight="true" outlineLevel="0" collapsed="false">
      <c r="B16" s="34" t="s">
        <v>221</v>
      </c>
      <c r="C16" s="35" t="s">
        <v>222</v>
      </c>
      <c r="D16" s="35" t="s">
        <v>223</v>
      </c>
      <c r="E16" s="7" t="s">
        <v>224</v>
      </c>
    </row>
    <row r="17" customFormat="false" ht="21.75" hidden="false" customHeight="true" outlineLevel="0" collapsed="false">
      <c r="B17" s="34" t="s">
        <v>225</v>
      </c>
      <c r="C17" s="35" t="s">
        <v>226</v>
      </c>
      <c r="D17" s="35" t="s">
        <v>227</v>
      </c>
      <c r="E17" s="7" t="s">
        <v>228</v>
      </c>
    </row>
    <row r="18" customFormat="false" ht="21.75" hidden="false" customHeight="true" outlineLevel="0" collapsed="false">
      <c r="B18" s="34" t="s">
        <v>229</v>
      </c>
      <c r="C18" s="35" t="s">
        <v>230</v>
      </c>
      <c r="D18" s="35" t="s">
        <v>231</v>
      </c>
      <c r="E18" s="7" t="s">
        <v>232</v>
      </c>
    </row>
    <row r="20" customFormat="false" ht="21.75" hidden="false" customHeight="true" outlineLevel="0" collapsed="false">
      <c r="B20" s="13" t="s">
        <v>233</v>
      </c>
      <c r="C20" s="13"/>
      <c r="D20" s="13"/>
      <c r="E20" s="13"/>
    </row>
    <row r="21" customFormat="false" ht="21.75" hidden="false" customHeight="true" outlineLevel="0" collapsed="false">
      <c r="B21" s="8" t="s">
        <v>51</v>
      </c>
      <c r="C21" s="8" t="s">
        <v>169</v>
      </c>
      <c r="D21" s="8" t="s">
        <v>234</v>
      </c>
      <c r="E21" s="8" t="s">
        <v>83</v>
      </c>
    </row>
    <row r="22" customFormat="false" ht="21.75" hidden="false" customHeight="true" outlineLevel="0" collapsed="false">
      <c r="B22" s="34" t="s">
        <v>16</v>
      </c>
      <c r="C22" s="35" t="s">
        <v>235</v>
      </c>
      <c r="D22" s="35" t="s">
        <v>236</v>
      </c>
      <c r="E22" s="7" t="s">
        <v>237</v>
      </c>
    </row>
    <row r="23" customFormat="false" ht="21.75" hidden="false" customHeight="true" outlineLevel="0" collapsed="false">
      <c r="B23" s="34" t="s">
        <v>18</v>
      </c>
      <c r="C23" s="35" t="s">
        <v>238</v>
      </c>
      <c r="D23" s="35" t="s">
        <v>239</v>
      </c>
      <c r="E23" s="7" t="s">
        <v>240</v>
      </c>
    </row>
    <row r="24" customFormat="false" ht="21.75" hidden="false" customHeight="true" outlineLevel="0" collapsed="false">
      <c r="B24" s="34" t="s">
        <v>22</v>
      </c>
      <c r="C24" s="35" t="s">
        <v>241</v>
      </c>
      <c r="D24" s="35" t="s">
        <v>242</v>
      </c>
      <c r="E24" s="7" t="s">
        <v>243</v>
      </c>
    </row>
    <row r="25" customFormat="false" ht="21.75" hidden="false" customHeight="true" outlineLevel="0" collapsed="false">
      <c r="B25" s="34" t="s">
        <v>244</v>
      </c>
      <c r="C25" s="35" t="s">
        <v>245</v>
      </c>
      <c r="D25" s="35" t="s">
        <v>246</v>
      </c>
      <c r="E25" s="7" t="s">
        <v>247</v>
      </c>
    </row>
    <row r="26" customFormat="false" ht="21.75" hidden="false" customHeight="true" outlineLevel="0" collapsed="false">
      <c r="B26" s="34" t="s">
        <v>248</v>
      </c>
      <c r="C26" s="35" t="s">
        <v>249</v>
      </c>
      <c r="D26" s="35" t="s">
        <v>250</v>
      </c>
      <c r="E26" s="7" t="s">
        <v>251</v>
      </c>
    </row>
    <row r="28" customFormat="false" ht="21.75" hidden="false" customHeight="true" outlineLevel="0" collapsed="false">
      <c r="B28" s="13" t="s">
        <v>252</v>
      </c>
      <c r="C28" s="13"/>
      <c r="D28" s="13"/>
      <c r="E28" s="13"/>
    </row>
    <row r="29" customFormat="false" ht="21.75" hidden="false" customHeight="true" outlineLevel="0" collapsed="false">
      <c r="B29" s="8" t="s">
        <v>253</v>
      </c>
      <c r="C29" s="8" t="s">
        <v>254</v>
      </c>
      <c r="D29" s="8" t="s">
        <v>255</v>
      </c>
      <c r="E29" s="8" t="s">
        <v>256</v>
      </c>
    </row>
    <row r="30" customFormat="false" ht="31.5" hidden="false" customHeight="true" outlineLevel="0" collapsed="false">
      <c r="B30" s="34" t="s">
        <v>257</v>
      </c>
      <c r="C30" s="35" t="s">
        <v>258</v>
      </c>
      <c r="D30" s="35" t="s">
        <v>16</v>
      </c>
      <c r="E30" s="7" t="s">
        <v>259</v>
      </c>
    </row>
    <row r="31" customFormat="false" ht="31.5" hidden="false" customHeight="true" outlineLevel="0" collapsed="false">
      <c r="B31" s="34" t="s">
        <v>260</v>
      </c>
      <c r="C31" s="35" t="s">
        <v>261</v>
      </c>
      <c r="D31" s="35" t="s">
        <v>18</v>
      </c>
      <c r="E31" s="7" t="s">
        <v>262</v>
      </c>
    </row>
    <row r="32" customFormat="false" ht="31.5" hidden="false" customHeight="true" outlineLevel="0" collapsed="false">
      <c r="B32" s="34" t="s">
        <v>263</v>
      </c>
      <c r="C32" s="35" t="s">
        <v>264</v>
      </c>
      <c r="D32" s="35" t="s">
        <v>16</v>
      </c>
      <c r="E32" s="7" t="s">
        <v>265</v>
      </c>
    </row>
    <row r="33" customFormat="false" ht="31.5" hidden="false" customHeight="true" outlineLevel="0" collapsed="false">
      <c r="B33" s="34" t="s">
        <v>266</v>
      </c>
      <c r="C33" s="35" t="s">
        <v>267</v>
      </c>
      <c r="D33" s="35" t="s">
        <v>20</v>
      </c>
      <c r="E33" s="7" t="s">
        <v>268</v>
      </c>
    </row>
    <row r="34" customFormat="false" ht="31.5" hidden="false" customHeight="true" outlineLevel="0" collapsed="false">
      <c r="B34" s="34" t="s">
        <v>31</v>
      </c>
      <c r="C34" s="35" t="s">
        <v>269</v>
      </c>
      <c r="D34" s="35" t="s">
        <v>22</v>
      </c>
      <c r="E34" s="7" t="s">
        <v>270</v>
      </c>
    </row>
    <row r="36" customFormat="false" ht="21.75" hidden="false" customHeight="true" outlineLevel="0" collapsed="false">
      <c r="B36" s="13" t="s">
        <v>271</v>
      </c>
      <c r="C36" s="13"/>
      <c r="D36" s="13"/>
      <c r="E36" s="13"/>
    </row>
    <row r="37" customFormat="false" ht="21.75" hidden="false" customHeight="true" outlineLevel="0" collapsed="false">
      <c r="B37" s="8" t="s">
        <v>272</v>
      </c>
      <c r="C37" s="8" t="s">
        <v>273</v>
      </c>
      <c r="D37" s="8" t="s">
        <v>274</v>
      </c>
      <c r="E37" s="8" t="s">
        <v>83</v>
      </c>
    </row>
    <row r="38" customFormat="false" ht="31.5" hidden="false" customHeight="true" outlineLevel="0" collapsed="false">
      <c r="B38" s="34" t="s">
        <v>275</v>
      </c>
      <c r="C38" s="35" t="s">
        <v>276</v>
      </c>
      <c r="D38" s="35" t="s">
        <v>277</v>
      </c>
      <c r="E38" s="7" t="s">
        <v>278</v>
      </c>
    </row>
    <row r="39" customFormat="false" ht="31.5" hidden="false" customHeight="true" outlineLevel="0" collapsed="false">
      <c r="B39" s="34" t="s">
        <v>279</v>
      </c>
      <c r="C39" s="35" t="s">
        <v>280</v>
      </c>
      <c r="D39" s="35" t="s">
        <v>281</v>
      </c>
      <c r="E39" s="7" t="s">
        <v>282</v>
      </c>
    </row>
    <row r="40" customFormat="false" ht="31.5" hidden="false" customHeight="true" outlineLevel="0" collapsed="false">
      <c r="B40" s="34" t="s">
        <v>283</v>
      </c>
      <c r="C40" s="35" t="s">
        <v>284</v>
      </c>
      <c r="D40" s="35" t="s">
        <v>285</v>
      </c>
      <c r="E40" s="7" t="s">
        <v>286</v>
      </c>
    </row>
    <row r="41" customFormat="false" ht="31.5" hidden="false" customHeight="true" outlineLevel="0" collapsed="false">
      <c r="B41" s="34" t="s">
        <v>287</v>
      </c>
      <c r="C41" s="35" t="s">
        <v>288</v>
      </c>
      <c r="D41" s="35" t="s">
        <v>289</v>
      </c>
      <c r="E41" s="7" t="s">
        <v>290</v>
      </c>
    </row>
    <row r="43" customFormat="false" ht="21.75" hidden="false" customHeight="true" outlineLevel="0" collapsed="false">
      <c r="B43" s="13" t="s">
        <v>291</v>
      </c>
      <c r="C43" s="13"/>
      <c r="D43" s="13"/>
      <c r="E43" s="13"/>
    </row>
    <row r="44" customFormat="false" ht="21.75" hidden="false" customHeight="true" outlineLevel="0" collapsed="false">
      <c r="B44" s="8" t="s">
        <v>126</v>
      </c>
      <c r="C44" s="4" t="s">
        <v>292</v>
      </c>
      <c r="D44" s="4"/>
      <c r="E44" s="4"/>
    </row>
    <row r="45" customFormat="false" ht="21.75" hidden="false" customHeight="true" outlineLevel="0" collapsed="false">
      <c r="B45" s="34" t="s">
        <v>145</v>
      </c>
      <c r="C45" s="7" t="s">
        <v>293</v>
      </c>
      <c r="D45" s="7"/>
      <c r="E45" s="7"/>
    </row>
    <row r="46" customFormat="false" ht="21.75" hidden="false" customHeight="true" outlineLevel="0" collapsed="false">
      <c r="B46" s="34" t="s">
        <v>146</v>
      </c>
      <c r="C46" s="7" t="s">
        <v>294</v>
      </c>
      <c r="D46" s="7"/>
      <c r="E46" s="7"/>
    </row>
    <row r="47" customFormat="false" ht="21.75" hidden="false" customHeight="true" outlineLevel="0" collapsed="false">
      <c r="B47" s="34" t="s">
        <v>147</v>
      </c>
      <c r="C47" s="7" t="s">
        <v>295</v>
      </c>
      <c r="D47" s="7"/>
      <c r="E47" s="7"/>
    </row>
    <row r="48" customFormat="false" ht="21.75" hidden="false" customHeight="true" outlineLevel="0" collapsed="false">
      <c r="B48" s="34" t="s">
        <v>148</v>
      </c>
      <c r="C48" s="7" t="s">
        <v>296</v>
      </c>
      <c r="D48" s="7"/>
      <c r="E48" s="7"/>
    </row>
    <row r="49" customFormat="false" ht="21.75" hidden="false" customHeight="true" outlineLevel="0" collapsed="false">
      <c r="B49" s="34" t="s">
        <v>138</v>
      </c>
      <c r="C49" s="7" t="s">
        <v>141</v>
      </c>
      <c r="D49" s="7"/>
      <c r="E49" s="7"/>
    </row>
    <row r="50" customFormat="false" ht="21.75" hidden="false" customHeight="true" outlineLevel="0" collapsed="false">
      <c r="B50" s="34" t="s">
        <v>149</v>
      </c>
      <c r="C50" s="7" t="s">
        <v>297</v>
      </c>
      <c r="D50" s="7"/>
      <c r="E50" s="7"/>
    </row>
    <row r="51" customFormat="false" ht="21.75" hidden="false" customHeight="true" outlineLevel="0" collapsed="false">
      <c r="B51" s="34" t="s">
        <v>150</v>
      </c>
      <c r="C51" s="7" t="s">
        <v>298</v>
      </c>
      <c r="D51" s="7"/>
      <c r="E51" s="7"/>
    </row>
    <row r="52" customFormat="false" ht="21.75" hidden="false" customHeight="true" outlineLevel="0" collapsed="false">
      <c r="B52" s="34" t="s">
        <v>151</v>
      </c>
      <c r="C52" s="7" t="s">
        <v>299</v>
      </c>
      <c r="D52" s="7"/>
      <c r="E52" s="7"/>
    </row>
    <row r="53" customFormat="false" ht="21.75" hidden="false" customHeight="true" outlineLevel="0" collapsed="false">
      <c r="B53" s="34" t="s">
        <v>152</v>
      </c>
      <c r="C53" s="7" t="s">
        <v>300</v>
      </c>
      <c r="D53" s="7"/>
      <c r="E53" s="7"/>
    </row>
    <row r="54" customFormat="false" ht="21.75" hidden="false" customHeight="true" outlineLevel="0" collapsed="false">
      <c r="B54" s="34" t="s">
        <v>153</v>
      </c>
      <c r="C54" s="7" t="s">
        <v>301</v>
      </c>
      <c r="D54" s="7"/>
      <c r="E54" s="7"/>
    </row>
    <row r="55" customFormat="false" ht="21.75" hidden="false" customHeight="true" outlineLevel="0" collapsed="false">
      <c r="B55" s="34" t="s">
        <v>154</v>
      </c>
      <c r="C55" s="7" t="s">
        <v>302</v>
      </c>
      <c r="D55" s="7"/>
      <c r="E55" s="7"/>
    </row>
    <row r="56" customFormat="false" ht="15" hidden="false" customHeight="true" outlineLevel="0" collapsed="false">
      <c r="B56" s="10" t="s">
        <v>303</v>
      </c>
      <c r="C56" s="10"/>
      <c r="D56" s="10"/>
      <c r="E56" s="10"/>
    </row>
  </sheetData>
  <mergeCells count="21">
    <mergeCell ref="B1:E1"/>
    <mergeCell ref="B2:E2"/>
    <mergeCell ref="B4:E4"/>
    <mergeCell ref="B12:E12"/>
    <mergeCell ref="B20:E20"/>
    <mergeCell ref="B28:E28"/>
    <mergeCell ref="B36:E36"/>
    <mergeCell ref="B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B56:E56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A"/>
    <pageSetUpPr fitToPage="true"/>
  </sheetPr>
  <dimension ref="B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4" min="4" style="0" width="70"/>
    <col collapsed="false" customWidth="true" hidden="false" outlineLevel="0" max="5" min="5" style="0" width="14"/>
    <col collapsed="false" customWidth="true" hidden="false" outlineLevel="0" max="6" min="6" style="0" width="40"/>
    <col collapsed="false" customWidth="true" hidden="false" outlineLevel="0" max="7" min="7" style="0" width="2"/>
  </cols>
  <sheetData>
    <row r="1" customFormat="false" ht="31.5" hidden="false" customHeight="true" outlineLevel="0" collapsed="false">
      <c r="B1" s="1" t="s">
        <v>304</v>
      </c>
      <c r="C1" s="1"/>
      <c r="D1" s="1"/>
      <c r="E1" s="1"/>
      <c r="F1" s="1"/>
    </row>
    <row r="2" customFormat="false" ht="19.5" hidden="false" customHeight="true" outlineLevel="0" collapsed="false">
      <c r="B2" s="2" t="s">
        <v>305</v>
      </c>
      <c r="C2" s="2"/>
      <c r="D2" s="2"/>
      <c r="E2" s="2"/>
      <c r="F2" s="2"/>
    </row>
    <row r="4" customFormat="false" ht="21.75" hidden="false" customHeight="true" outlineLevel="0" collapsed="false">
      <c r="B4" s="14" t="s">
        <v>74</v>
      </c>
      <c r="C4" s="14" t="s">
        <v>306</v>
      </c>
      <c r="D4" s="14" t="s">
        <v>307</v>
      </c>
      <c r="E4" s="14" t="s">
        <v>81</v>
      </c>
      <c r="F4" s="14" t="s">
        <v>83</v>
      </c>
    </row>
    <row r="5" customFormat="false" ht="31.5" hidden="false" customHeight="true" outlineLevel="0" collapsed="false">
      <c r="B5" s="19" t="n">
        <v>1</v>
      </c>
      <c r="C5" s="6" t="s">
        <v>308</v>
      </c>
      <c r="D5" s="7" t="s">
        <v>309</v>
      </c>
      <c r="E5" s="9"/>
      <c r="F5" s="5"/>
    </row>
    <row r="6" customFormat="false" ht="19.5" hidden="false" customHeight="true" outlineLevel="0" collapsed="false">
      <c r="B6" s="19" t="n">
        <v>2</v>
      </c>
      <c r="C6" s="6" t="s">
        <v>308</v>
      </c>
      <c r="D6" s="7" t="s">
        <v>310</v>
      </c>
      <c r="E6" s="9"/>
      <c r="F6" s="5"/>
    </row>
    <row r="7" customFormat="false" ht="31.5" hidden="false" customHeight="true" outlineLevel="0" collapsed="false">
      <c r="B7" s="19" t="n">
        <v>3</v>
      </c>
      <c r="C7" s="6" t="s">
        <v>308</v>
      </c>
      <c r="D7" s="7" t="s">
        <v>311</v>
      </c>
      <c r="E7" s="9"/>
      <c r="F7" s="5"/>
    </row>
    <row r="8" customFormat="false" ht="31.5" hidden="false" customHeight="true" outlineLevel="0" collapsed="false">
      <c r="B8" s="19" t="n">
        <v>4</v>
      </c>
      <c r="C8" s="6" t="s">
        <v>312</v>
      </c>
      <c r="D8" s="7" t="s">
        <v>313</v>
      </c>
      <c r="E8" s="9"/>
      <c r="F8" s="5"/>
    </row>
    <row r="9" customFormat="false" ht="31.5" hidden="false" customHeight="true" outlineLevel="0" collapsed="false">
      <c r="B9" s="19" t="n">
        <v>5</v>
      </c>
      <c r="C9" s="6" t="s">
        <v>314</v>
      </c>
      <c r="D9" s="7" t="s">
        <v>315</v>
      </c>
      <c r="E9" s="9"/>
      <c r="F9" s="5"/>
    </row>
    <row r="10" customFormat="false" ht="19.5" hidden="false" customHeight="true" outlineLevel="0" collapsed="false">
      <c r="B10" s="19" t="n">
        <v>6</v>
      </c>
      <c r="C10" s="6" t="s">
        <v>314</v>
      </c>
      <c r="D10" s="7" t="s">
        <v>316</v>
      </c>
      <c r="E10" s="9"/>
      <c r="F10" s="5"/>
    </row>
    <row r="11" customFormat="false" ht="31.5" hidden="false" customHeight="true" outlineLevel="0" collapsed="false">
      <c r="B11" s="19" t="n">
        <v>7</v>
      </c>
      <c r="C11" s="6" t="s">
        <v>314</v>
      </c>
      <c r="D11" s="7" t="s">
        <v>317</v>
      </c>
      <c r="E11" s="9"/>
      <c r="F11" s="5"/>
    </row>
    <row r="12" customFormat="false" ht="31.5" hidden="false" customHeight="true" outlineLevel="0" collapsed="false">
      <c r="B12" s="19" t="n">
        <v>8</v>
      </c>
      <c r="C12" s="6" t="s">
        <v>31</v>
      </c>
      <c r="D12" s="7" t="s">
        <v>318</v>
      </c>
      <c r="E12" s="9"/>
      <c r="F12" s="5"/>
    </row>
    <row r="13" customFormat="false" ht="31.5" hidden="false" customHeight="true" outlineLevel="0" collapsed="false">
      <c r="B13" s="19" t="n">
        <v>9</v>
      </c>
      <c r="C13" s="6" t="s">
        <v>31</v>
      </c>
      <c r="D13" s="7" t="s">
        <v>319</v>
      </c>
      <c r="E13" s="9"/>
      <c r="F13" s="5"/>
    </row>
    <row r="14" customFormat="false" ht="31.5" hidden="false" customHeight="true" outlineLevel="0" collapsed="false">
      <c r="B14" s="19" t="n">
        <v>10</v>
      </c>
      <c r="C14" s="6" t="s">
        <v>31</v>
      </c>
      <c r="D14" s="7" t="s">
        <v>320</v>
      </c>
      <c r="E14" s="9"/>
      <c r="F14" s="5"/>
    </row>
    <row r="15" customFormat="false" ht="31.5" hidden="false" customHeight="true" outlineLevel="0" collapsed="false">
      <c r="B15" s="19" t="n">
        <v>11</v>
      </c>
      <c r="C15" s="6" t="s">
        <v>321</v>
      </c>
      <c r="D15" s="7" t="s">
        <v>322</v>
      </c>
      <c r="E15" s="9"/>
      <c r="F15" s="5"/>
    </row>
    <row r="16" customFormat="false" ht="19.5" hidden="false" customHeight="true" outlineLevel="0" collapsed="false">
      <c r="B16" s="19" t="n">
        <v>12</v>
      </c>
      <c r="C16" s="6" t="s">
        <v>323</v>
      </c>
      <c r="D16" s="7" t="s">
        <v>324</v>
      </c>
      <c r="E16" s="9"/>
      <c r="F16" s="5"/>
    </row>
    <row r="18" customFormat="false" ht="19.5" hidden="false" customHeight="true" outlineLevel="0" collapsed="false">
      <c r="B18" s="26" t="s">
        <v>325</v>
      </c>
      <c r="C18" s="26"/>
      <c r="D18" s="26"/>
      <c r="E18" s="8" t="n">
        <f aca="false">COUNTA(E5:E16)</f>
        <v>0</v>
      </c>
    </row>
    <row r="19" customFormat="false" ht="19.5" hidden="false" customHeight="true" outlineLevel="0" collapsed="false">
      <c r="B19" s="26" t="s">
        <v>326</v>
      </c>
      <c r="C19" s="26"/>
      <c r="D19" s="26"/>
      <c r="E19" s="36" t="str">
        <f aca="false">IF(COUNTA(E5:E16)=0,"",(COUNTIF(E5:E16,"Sim")+COUNTIF(E5:E16,"Parcial")/2)/COUNTA(E5:E16))</f>
        <v/>
      </c>
    </row>
    <row r="20" customFormat="false" ht="19.5" hidden="false" customHeight="true" outlineLevel="0" collapsed="false">
      <c r="B20" s="26" t="s">
        <v>81</v>
      </c>
      <c r="C20" s="26"/>
      <c r="D20" s="26"/>
      <c r="E20" s="23" t="str">
        <f aca="false">IF(COUNTA(E5:E16)&lt;12,"Incompleto",IF(COUNTIF(E5:E16,"Não")=0,"OK","Há itens a resolver"))</f>
        <v>Incompleto</v>
      </c>
    </row>
  </sheetData>
  <mergeCells count="5">
    <mergeCell ref="B1:F1"/>
    <mergeCell ref="B2:F2"/>
    <mergeCell ref="B18:D18"/>
    <mergeCell ref="B19:D19"/>
    <mergeCell ref="B20:D20"/>
  </mergeCells>
  <conditionalFormatting sqref="E5:E16">
    <cfRule type="cellIs" priority="2" operator="equal" aboveAverage="0" equalAverage="0" bottom="0" percent="0" rank="0" text="" dxfId="0">
      <formula>"Sim"</formula>
    </cfRule>
    <cfRule type="cellIs" priority="3" operator="equal" aboveAverage="0" equalAverage="0" bottom="0" percent="0" rank="0" text="" dxfId="2">
      <formula>"Parcial"</formula>
    </cfRule>
    <cfRule type="cellIs" priority="4" operator="equal" aboveAverage="0" equalAverage="0" bottom="0" percent="0" rank="0" text="" dxfId="1">
      <formula>"Não"</formula>
    </cfRule>
  </conditionalFormatting>
  <conditionalFormatting sqref="E20">
    <cfRule type="cellIs" priority="5" operator="equal" aboveAverage="0" equalAverage="0" bottom="0" percent="0" rank="0" text="" dxfId="0">
      <formula>"OK"</formula>
    </cfRule>
    <cfRule type="cellIs" priority="6" operator="notEqual" aboveAverage="0" equalAverage="0" bottom="0" percent="0" rank="0" text="" dxfId="2">
      <formula>"OK"</formula>
    </cfRule>
  </conditionalFormatting>
  <dataValidations count="1">
    <dataValidation allowBlank="true" error="Escolha uma das opções da lista." errorStyle="stop" errorTitle="Valor inválido" operator="between" prompt="Sim, Parcial ou Não." promptTitle="Opções" showDropDown="false" showErrorMessage="true" showInputMessage="true" sqref="E5:E16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N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7" min="5" style="0" width="11"/>
    <col collapsed="false" customWidth="true" hidden="false" outlineLevel="0" max="9" min="8" style="0" width="13"/>
    <col collapsed="false" customWidth="true" hidden="false" outlineLevel="0" max="11" min="10" style="0" width="11"/>
    <col collapsed="false" customWidth="true" hidden="false" outlineLevel="0" max="12" min="12" style="0" width="15"/>
    <col collapsed="false" customWidth="true" hidden="false" outlineLevel="0" max="13" min="13" style="0" width="50"/>
    <col collapsed="false" customWidth="true" hidden="false" outlineLevel="0" max="14" min="14" style="0" width="26"/>
    <col collapsed="false" customWidth="true" hidden="false" outlineLevel="0" max="15" min="15" style="0" width="2"/>
  </cols>
  <sheetData>
    <row r="1" customFormat="false" ht="31.5" hidden="false" customHeight="true" outlineLevel="0" collapsed="false">
      <c r="B1" s="1" t="s">
        <v>57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B2" s="2" t="s">
        <v>327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1.75" hidden="false" customHeight="true" outlineLevel="0" collapsed="false">
      <c r="B4" s="4" t="s">
        <v>59</v>
      </c>
      <c r="C4" s="4"/>
      <c r="D4" s="37" t="s">
        <v>328</v>
      </c>
      <c r="E4" s="37"/>
      <c r="F4" s="37"/>
      <c r="G4" s="37"/>
      <c r="H4" s="37"/>
      <c r="I4" s="4" t="s">
        <v>60</v>
      </c>
      <c r="J4" s="4"/>
      <c r="K4" s="4"/>
      <c r="L4" s="38" t="n">
        <v>6</v>
      </c>
      <c r="M4" s="10" t="s">
        <v>61</v>
      </c>
      <c r="N4" s="10"/>
    </row>
    <row r="5" customFormat="false" ht="21.75" hidden="false" customHeight="true" outlineLevel="0" collapsed="false">
      <c r="B5" s="4" t="s">
        <v>62</v>
      </c>
      <c r="C5" s="4"/>
      <c r="D5" s="37" t="s">
        <v>329</v>
      </c>
      <c r="E5" s="37"/>
      <c r="F5" s="37"/>
      <c r="G5" s="37"/>
      <c r="H5" s="37"/>
      <c r="I5" s="4" t="s">
        <v>63</v>
      </c>
      <c r="J5" s="4"/>
      <c r="K5" s="4"/>
      <c r="L5" s="39" t="n">
        <v>-9</v>
      </c>
      <c r="M5" s="10" t="s">
        <v>64</v>
      </c>
      <c r="N5" s="10"/>
    </row>
    <row r="6" customFormat="false" ht="21.75" hidden="false" customHeight="true" outlineLevel="0" collapsed="false">
      <c r="B6" s="4" t="s">
        <v>65</v>
      </c>
      <c r="C6" s="4"/>
      <c r="D6" s="40" t="n">
        <v>46299</v>
      </c>
      <c r="E6" s="40"/>
      <c r="F6" s="40"/>
      <c r="G6" s="40"/>
      <c r="H6" s="40"/>
      <c r="I6" s="4" t="s">
        <v>66</v>
      </c>
      <c r="J6" s="4"/>
      <c r="K6" s="4"/>
      <c r="L6" s="38" t="n">
        <v>4</v>
      </c>
      <c r="M6" s="10" t="s">
        <v>67</v>
      </c>
      <c r="N6" s="10"/>
    </row>
    <row r="7" customFormat="false" ht="21.75" hidden="false" customHeight="true" outlineLevel="0" collapsed="false">
      <c r="B7" s="4" t="s">
        <v>68</v>
      </c>
      <c r="C7" s="4"/>
      <c r="D7" s="37" t="s">
        <v>330</v>
      </c>
      <c r="E7" s="37"/>
      <c r="F7" s="37"/>
      <c r="G7" s="37"/>
      <c r="H7" s="37"/>
      <c r="I7" s="4" t="s">
        <v>69</v>
      </c>
      <c r="J7" s="4"/>
      <c r="K7" s="4"/>
      <c r="L7" s="38" t="n">
        <v>5</v>
      </c>
      <c r="M7" s="10" t="s">
        <v>70</v>
      </c>
      <c r="N7" s="10"/>
    </row>
    <row r="8" customFormat="false" ht="21.75" hidden="false" customHeight="true" outlineLevel="0" collapsed="false">
      <c r="B8" s="4" t="s">
        <v>71</v>
      </c>
      <c r="C8" s="4"/>
      <c r="D8" s="37" t="s">
        <v>331</v>
      </c>
      <c r="E8" s="37"/>
      <c r="F8" s="37"/>
      <c r="G8" s="37"/>
      <c r="H8" s="37"/>
      <c r="I8" s="10" t="s">
        <v>72</v>
      </c>
      <c r="J8" s="10"/>
      <c r="K8" s="10"/>
      <c r="L8" s="10"/>
      <c r="M8" s="10"/>
      <c r="N8" s="10"/>
    </row>
    <row r="10" customFormat="false" ht="21.75" hidden="false" customHeight="true" outlineLevel="0" collapsed="false">
      <c r="B10" s="13" t="s">
        <v>73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customFormat="false" ht="30" hidden="false" customHeight="true" outlineLevel="0" collapsed="false">
      <c r="B11" s="14" t="s">
        <v>74</v>
      </c>
      <c r="C11" s="14" t="s">
        <v>75</v>
      </c>
      <c r="D11" s="14" t="s">
        <v>76</v>
      </c>
      <c r="E11" s="14" t="s">
        <v>51</v>
      </c>
      <c r="F11" s="15" t="s">
        <v>77</v>
      </c>
      <c r="G11" s="15" t="s">
        <v>78</v>
      </c>
      <c r="H11" s="15" t="s">
        <v>79</v>
      </c>
      <c r="I11" s="16" t="s">
        <v>47</v>
      </c>
      <c r="J11" s="16" t="s">
        <v>80</v>
      </c>
      <c r="K11" s="16" t="s">
        <v>35</v>
      </c>
      <c r="L11" s="16" t="s">
        <v>81</v>
      </c>
      <c r="M11" s="16" t="s">
        <v>82</v>
      </c>
      <c r="N11" s="14" t="s">
        <v>83</v>
      </c>
    </row>
    <row r="12" customFormat="false" ht="21.75" hidden="false" customHeight="true" outlineLevel="0" collapsed="false">
      <c r="B12" s="17"/>
      <c r="C12" s="17" t="s">
        <v>84</v>
      </c>
      <c r="D12" s="17"/>
      <c r="E12" s="17" t="s">
        <v>85</v>
      </c>
      <c r="F12" s="17" t="s">
        <v>86</v>
      </c>
      <c r="G12" s="17" t="s">
        <v>86</v>
      </c>
      <c r="H12" s="17" t="s">
        <v>86</v>
      </c>
      <c r="I12" s="17" t="s">
        <v>87</v>
      </c>
      <c r="J12" s="17" t="s">
        <v>88</v>
      </c>
      <c r="K12" s="17" t="s">
        <v>89</v>
      </c>
      <c r="L12" s="17"/>
      <c r="M12" s="17"/>
      <c r="N12" s="17"/>
    </row>
    <row r="13" customFormat="false" ht="21.75" hidden="false" customHeight="true" outlineLevel="0" collapsed="false">
      <c r="B13" s="10" t="s">
        <v>332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customFormat="false" ht="21.75" hidden="false" customHeight="true" outlineLevel="0" collapsed="false">
      <c r="B14" s="19" t="n">
        <v>1</v>
      </c>
      <c r="C14" s="37" t="s">
        <v>333</v>
      </c>
      <c r="D14" s="38" t="s">
        <v>92</v>
      </c>
      <c r="E14" s="38" t="n">
        <v>1</v>
      </c>
      <c r="F14" s="39" t="n">
        <v>-8</v>
      </c>
      <c r="G14" s="39" t="n">
        <v>-2</v>
      </c>
      <c r="H14" s="39" t="n">
        <v>-9</v>
      </c>
      <c r="I14" s="20" t="n">
        <f aca="false">IF(C14="","",COUNTIF($C$27:$C$56,C14))</f>
        <v>4</v>
      </c>
      <c r="J14" s="21" t="n">
        <f aca="false">IF(OR(F14="",G14=""),"",G14-F14)</f>
        <v>6</v>
      </c>
      <c r="K14" s="22" t="n">
        <f aca="false">IF(OR(G14="",H14=""),"",G14-H14)</f>
        <v>7</v>
      </c>
      <c r="L14" s="23" t="str">
        <f aca="false">IF(AND(C14="",F14="",G14="",H14=""),"",IF(OR(G14="",H14=""),"Incompleto",IF(AND(J14&lt;&gt;"",J14&lt;0),"Confira os níveis",IF(K14&lt;3,"Sem margem",IF(K14&lt;$L$4,"Margem curta",IF(I14&gt;$L$7,"Cortes demais",IF(COUNTIFS($C$27:$C$56,C14,$L$27:$L$56,"Corte fundo")+COUNTIFS($C$27:$C$56,C14,$L$27:$L$56,"Corte largo")+COUNTIFS($C$27:$C$56,C14,$L$27:$L$56,"Realce")&gt;0,"Rever cortes","OK")))))))</f>
        <v>OK</v>
      </c>
      <c r="M14" s="24" t="str">
        <f aca="false">IF(L14="","",IF(L14="Incompleto","Anote o apito depois dos cortes e o nível de operação",IF(L14="Confira os níveis","O apito depois dos cortes ficou abaixo do de antes: meça de novo",IF(OR(L14="Sem margem",L14="Margem curta"),"Baixe a saída "&amp;($L$4-K14)&amp;" dB, ou reveja a posição e a distância",IF(L14="Cortes demais","Cortes demais: reveja a posição das caixas e dos microfones",IF(L14="Rever cortes","Há corte fundo, largo ou realce nesta saída: veja a tabela de cortes","Manter"))))))</f>
        <v>Manter</v>
      </c>
      <c r="N14" s="37"/>
    </row>
    <row r="15" customFormat="false" ht="21.75" hidden="false" customHeight="true" outlineLevel="0" collapsed="false">
      <c r="B15" s="19" t="n">
        <v>2</v>
      </c>
      <c r="C15" s="37" t="s">
        <v>334</v>
      </c>
      <c r="D15" s="38" t="s">
        <v>92</v>
      </c>
      <c r="E15" s="38" t="n">
        <v>3</v>
      </c>
      <c r="F15" s="39" t="n">
        <v>-10</v>
      </c>
      <c r="G15" s="39" t="n">
        <v>-5</v>
      </c>
      <c r="H15" s="39" t="n">
        <v>-9</v>
      </c>
      <c r="I15" s="20" t="n">
        <f aca="false">IF(C15="","",COUNTIF($C$27:$C$56,C15))</f>
        <v>3</v>
      </c>
      <c r="J15" s="21" t="n">
        <f aca="false">IF(OR(F15="",G15=""),"",G15-F15)</f>
        <v>5</v>
      </c>
      <c r="K15" s="22" t="n">
        <f aca="false">IF(OR(G15="",H15=""),"",G15-H15)</f>
        <v>4</v>
      </c>
      <c r="L15" s="23" t="str">
        <f aca="false">IF(AND(C15="",F15="",G15="",H15=""),"",IF(OR(G15="",H15=""),"Incompleto",IF(AND(J15&lt;&gt;"",J15&lt;0),"Confira os níveis",IF(K15&lt;3,"Sem margem",IF(K15&lt;$L$4,"Margem curta",IF(I15&gt;$L$7,"Cortes demais",IF(COUNTIFS($C$27:$C$56,C15,$L$27:$L$56,"Corte fundo")+COUNTIFS($C$27:$C$56,C15,$L$27:$L$56,"Corte largo")+COUNTIFS($C$27:$C$56,C15,$L$27:$L$56,"Realce")&gt;0,"Rever cortes","OK")))))))</f>
        <v>Margem curta</v>
      </c>
      <c r="M15" s="24" t="str">
        <f aca="false">IF(L15="","",IF(L15="Incompleto","Anote o apito depois dos cortes e o nível de operação",IF(L15="Confira os níveis","O apito depois dos cortes ficou abaixo do de antes: meça de novo",IF(OR(L15="Sem margem",L15="Margem curta"),"Baixe a saída "&amp;($L$4-K15)&amp;" dB, ou reveja a posição e a distância",IF(L15="Cortes demais","Cortes demais: reveja a posição das caixas e dos microfones",IF(L15="Rever cortes","Há corte fundo, largo ou realce nesta saída: veja a tabela de cortes","Manter"))))))</f>
        <v>Baixe a saída 2 dB, ou reveja a posição e a distância</v>
      </c>
      <c r="N15" s="37"/>
    </row>
    <row r="16" customFormat="false" ht="21.75" hidden="false" customHeight="true" outlineLevel="0" collapsed="false">
      <c r="B16" s="19" t="n">
        <v>3</v>
      </c>
      <c r="C16" s="37" t="s">
        <v>335</v>
      </c>
      <c r="D16" s="38" t="s">
        <v>136</v>
      </c>
      <c r="E16" s="38" t="n">
        <v>4</v>
      </c>
      <c r="F16" s="39" t="n">
        <v>3</v>
      </c>
      <c r="G16" s="39" t="n">
        <v>7</v>
      </c>
      <c r="H16" s="39" t="n">
        <v>0</v>
      </c>
      <c r="I16" s="20" t="n">
        <f aca="false">IF(C16="","",COUNTIF($C$27:$C$56,C16))</f>
        <v>2</v>
      </c>
      <c r="J16" s="21" t="n">
        <f aca="false">IF(OR(F16="",G16=""),"",G16-F16)</f>
        <v>4</v>
      </c>
      <c r="K16" s="22" t="n">
        <f aca="false">IF(OR(G16="",H16=""),"",G16-H16)</f>
        <v>7</v>
      </c>
      <c r="L16" s="23" t="str">
        <f aca="false">IF(AND(C16="",F16="",G16="",H16=""),"",IF(OR(G16="",H16=""),"Incompleto",IF(AND(J16&lt;&gt;"",J16&lt;0),"Confira os níveis",IF(K16&lt;3,"Sem margem",IF(K16&lt;$L$4,"Margem curta",IF(I16&gt;$L$7,"Cortes demais",IF(COUNTIFS($C$27:$C$56,C16,$L$27:$L$56,"Corte fundo")+COUNTIFS($C$27:$C$56,C16,$L$27:$L$56,"Corte largo")+COUNTIFS($C$27:$C$56,C16,$L$27:$L$56,"Realce")&gt;0,"Rever cortes","OK")))))))</f>
        <v>Rever cortes</v>
      </c>
      <c r="M16" s="24" t="str">
        <f aca="false">IF(L16="","",IF(L16="Incompleto","Anote o apito depois dos cortes e o nível de operação",IF(L16="Confira os níveis","O apito depois dos cortes ficou abaixo do de antes: meça de novo",IF(OR(L16="Sem margem",L16="Margem curta"),"Baixe a saída "&amp;($L$4-K16)&amp;" dB, ou reveja a posição e a distância",IF(L16="Cortes demais","Cortes demais: reveja a posição das caixas e dos microfones",IF(L16="Rever cortes","Há corte fundo, largo ou realce nesta saída: veja a tabela de cortes","Manter"))))))</f>
        <v>Há corte fundo, largo ou realce nesta saída: veja a tabela de cortes</v>
      </c>
      <c r="N16" s="37"/>
    </row>
    <row r="17" customFormat="false" ht="21.75" hidden="false" customHeight="true" outlineLevel="0" collapsed="false">
      <c r="B17" s="19" t="n">
        <v>4</v>
      </c>
      <c r="C17" s="37"/>
      <c r="D17" s="38"/>
      <c r="E17" s="38"/>
      <c r="F17" s="39"/>
      <c r="G17" s="39"/>
      <c r="H17" s="39"/>
      <c r="I17" s="20" t="str">
        <f aca="false">IF(C17="","",COUNTIF($C$27:$C$56,C17))</f>
        <v/>
      </c>
      <c r="J17" s="21" t="str">
        <f aca="false">IF(OR(F17="",G17=""),"",G17-F17)</f>
        <v/>
      </c>
      <c r="K17" s="22" t="str">
        <f aca="false">IF(OR(G17="",H17=""),"",G17-H17)</f>
        <v/>
      </c>
      <c r="L17" s="23" t="str">
        <f aca="false">IF(AND(C17="",F17="",G17="",H17=""),"",IF(OR(G17="",H17=""),"Incompleto",IF(AND(J17&lt;&gt;"",J17&lt;0),"Confira os níveis",IF(K17&lt;3,"Sem margem",IF(K17&lt;$L$4,"Margem curta",IF(I17&gt;$L$7,"Cortes demais",IF(COUNTIFS($C$27:$C$56,C17,$L$27:$L$56,"Corte fundo")+COUNTIFS($C$27:$C$56,C17,$L$27:$L$56,"Corte largo")+COUNTIFS($C$27:$C$56,C17,$L$27:$L$56,"Realce")&gt;0,"Rever cortes","OK")))))))</f>
        <v/>
      </c>
      <c r="M17" s="24" t="str">
        <f aca="false">IF(L17="","",IF(L17="Incompleto","Anote o apito depois dos cortes e o nível de operação",IF(L17="Confira os níveis","O apito depois dos cortes ficou abaixo do de antes: meça de novo",IF(OR(L17="Sem margem",L17="Margem curta"),"Baixe a saída "&amp;($L$4-K17)&amp;" dB, ou reveja a posição e a distância",IF(L17="Cortes demais","Cortes demais: reveja a posição das caixas e dos microfones",IF(L17="Rever cortes","Há corte fundo, largo ou realce nesta saída: veja a tabela de cortes","Manter"))))))</f>
        <v/>
      </c>
      <c r="N17" s="37"/>
    </row>
    <row r="18" customFormat="false" ht="21.75" hidden="false" customHeight="true" outlineLevel="0" collapsed="false">
      <c r="B18" s="19" t="n">
        <v>5</v>
      </c>
      <c r="C18" s="37"/>
      <c r="D18" s="38"/>
      <c r="E18" s="38"/>
      <c r="F18" s="39"/>
      <c r="G18" s="39"/>
      <c r="H18" s="39"/>
      <c r="I18" s="20" t="str">
        <f aca="false">IF(C18="","",COUNTIF($C$27:$C$56,C18))</f>
        <v/>
      </c>
      <c r="J18" s="21" t="str">
        <f aca="false">IF(OR(F18="",G18=""),"",G18-F18)</f>
        <v/>
      </c>
      <c r="K18" s="22" t="str">
        <f aca="false">IF(OR(G18="",H18=""),"",G18-H18)</f>
        <v/>
      </c>
      <c r="L18" s="23" t="str">
        <f aca="false">IF(AND(C18="",F18="",G18="",H18=""),"",IF(OR(G18="",H18=""),"Incompleto",IF(AND(J18&lt;&gt;"",J18&lt;0),"Confira os níveis",IF(K18&lt;3,"Sem margem",IF(K18&lt;$L$4,"Margem curta",IF(I18&gt;$L$7,"Cortes demais",IF(COUNTIFS($C$27:$C$56,C18,$L$27:$L$56,"Corte fundo")+COUNTIFS($C$27:$C$56,C18,$L$27:$L$56,"Corte largo")+COUNTIFS($C$27:$C$56,C18,$L$27:$L$56,"Realce")&gt;0,"Rever cortes","OK")))))))</f>
        <v/>
      </c>
      <c r="M18" s="24" t="str">
        <f aca="false">IF(L18="","",IF(L18="Incompleto","Anote o apito depois dos cortes e o nível de operação",IF(L18="Confira os níveis","O apito depois dos cortes ficou abaixo do de antes: meça de novo",IF(OR(L18="Sem margem",L18="Margem curta"),"Baixe a saída "&amp;($L$4-K18)&amp;" dB, ou reveja a posição e a distância",IF(L18="Cortes demais","Cortes demais: reveja a posição das caixas e dos microfones",IF(L18="Rever cortes","Há corte fundo, largo ou realce nesta saída: veja a tabela de cortes","Manter"))))))</f>
        <v/>
      </c>
      <c r="N18" s="37"/>
    </row>
    <row r="19" customFormat="false" ht="21.75" hidden="false" customHeight="true" outlineLevel="0" collapsed="false">
      <c r="B19" s="19" t="n">
        <v>6</v>
      </c>
      <c r="C19" s="37"/>
      <c r="D19" s="38"/>
      <c r="E19" s="38"/>
      <c r="F19" s="39"/>
      <c r="G19" s="39"/>
      <c r="H19" s="39"/>
      <c r="I19" s="20" t="str">
        <f aca="false">IF(C19="","",COUNTIF($C$27:$C$56,C19))</f>
        <v/>
      </c>
      <c r="J19" s="21" t="str">
        <f aca="false">IF(OR(F19="",G19=""),"",G19-F19)</f>
        <v/>
      </c>
      <c r="K19" s="22" t="str">
        <f aca="false">IF(OR(G19="",H19=""),"",G19-H19)</f>
        <v/>
      </c>
      <c r="L19" s="23" t="str">
        <f aca="false">IF(AND(C19="",F19="",G19="",H19=""),"",IF(OR(G19="",H19=""),"Incompleto",IF(AND(J19&lt;&gt;"",J19&lt;0),"Confira os níveis",IF(K19&lt;3,"Sem margem",IF(K19&lt;$L$4,"Margem curta",IF(I19&gt;$L$7,"Cortes demais",IF(COUNTIFS($C$27:$C$56,C19,$L$27:$L$56,"Corte fundo")+COUNTIFS($C$27:$C$56,C19,$L$27:$L$56,"Corte largo")+COUNTIFS($C$27:$C$56,C19,$L$27:$L$56,"Realce")&gt;0,"Rever cortes","OK")))))))</f>
        <v/>
      </c>
      <c r="M19" s="24" t="str">
        <f aca="false">IF(L19="","",IF(L19="Incompleto","Anote o apito depois dos cortes e o nível de operação",IF(L19="Confira os níveis","O apito depois dos cortes ficou abaixo do de antes: meça de novo",IF(OR(L19="Sem margem",L19="Margem curta"),"Baixe a saída "&amp;($L$4-K19)&amp;" dB, ou reveja a posição e a distância",IF(L19="Cortes demais","Cortes demais: reveja a posição das caixas e dos microfones",IF(L19="Rever cortes","Há corte fundo, largo ou realce nesta saída: veja a tabela de cortes","Manter"))))))</f>
        <v/>
      </c>
      <c r="N19" s="37"/>
    </row>
    <row r="20" customFormat="false" ht="21.75" hidden="false" customHeight="true" outlineLevel="0" collapsed="false">
      <c r="B20" s="19" t="n">
        <v>7</v>
      </c>
      <c r="C20" s="37"/>
      <c r="D20" s="38"/>
      <c r="E20" s="38"/>
      <c r="F20" s="39"/>
      <c r="G20" s="39"/>
      <c r="H20" s="39"/>
      <c r="I20" s="20" t="str">
        <f aca="false">IF(C20="","",COUNTIF($C$27:$C$56,C20))</f>
        <v/>
      </c>
      <c r="J20" s="21" t="str">
        <f aca="false">IF(OR(F20="",G20=""),"",G20-F20)</f>
        <v/>
      </c>
      <c r="K20" s="22" t="str">
        <f aca="false">IF(OR(G20="",H20=""),"",G20-H20)</f>
        <v/>
      </c>
      <c r="L20" s="23" t="str">
        <f aca="false">IF(AND(C20="",F20="",G20="",H20=""),"",IF(OR(G20="",H20=""),"Incompleto",IF(AND(J20&lt;&gt;"",J20&lt;0),"Confira os níveis",IF(K20&lt;3,"Sem margem",IF(K20&lt;$L$4,"Margem curta",IF(I20&gt;$L$7,"Cortes demais",IF(COUNTIFS($C$27:$C$56,C20,$L$27:$L$56,"Corte fundo")+COUNTIFS($C$27:$C$56,C20,$L$27:$L$56,"Corte largo")+COUNTIFS($C$27:$C$56,C20,$L$27:$L$56,"Realce")&gt;0,"Rever cortes","OK")))))))</f>
        <v/>
      </c>
      <c r="M20" s="24" t="str">
        <f aca="false">IF(L20="","",IF(L20="Incompleto","Anote o apito depois dos cortes e o nível de operação",IF(L20="Confira os níveis","O apito depois dos cortes ficou abaixo do de antes: meça de novo",IF(OR(L20="Sem margem",L20="Margem curta"),"Baixe a saída "&amp;($L$4-K20)&amp;" dB, ou reveja a posição e a distância",IF(L20="Cortes demais","Cortes demais: reveja a posição das caixas e dos microfones",IF(L20="Rever cortes","Há corte fundo, largo ou realce nesta saída: veja a tabela de cortes","Manter"))))))</f>
        <v/>
      </c>
      <c r="N20" s="37"/>
    </row>
    <row r="21" customFormat="false" ht="21.75" hidden="false" customHeight="true" outlineLevel="0" collapsed="false">
      <c r="B21" s="19" t="n">
        <v>8</v>
      </c>
      <c r="C21" s="37"/>
      <c r="D21" s="38"/>
      <c r="E21" s="38"/>
      <c r="F21" s="39"/>
      <c r="G21" s="39"/>
      <c r="H21" s="39"/>
      <c r="I21" s="20" t="str">
        <f aca="false">IF(C21="","",COUNTIF($C$27:$C$56,C21))</f>
        <v/>
      </c>
      <c r="J21" s="21" t="str">
        <f aca="false">IF(OR(F21="",G21=""),"",G21-F21)</f>
        <v/>
      </c>
      <c r="K21" s="22" t="str">
        <f aca="false">IF(OR(G21="",H21=""),"",G21-H21)</f>
        <v/>
      </c>
      <c r="L21" s="23" t="str">
        <f aca="false">IF(AND(C21="",F21="",G21="",H21=""),"",IF(OR(G21="",H21=""),"Incompleto",IF(AND(J21&lt;&gt;"",J21&lt;0),"Confira os níveis",IF(K21&lt;3,"Sem margem",IF(K21&lt;$L$4,"Margem curta",IF(I21&gt;$L$7,"Cortes demais",IF(COUNTIFS($C$27:$C$56,C21,$L$27:$L$56,"Corte fundo")+COUNTIFS($C$27:$C$56,C21,$L$27:$L$56,"Corte largo")+COUNTIFS($C$27:$C$56,C21,$L$27:$L$56,"Realce")&gt;0,"Rever cortes","OK")))))))</f>
        <v/>
      </c>
      <c r="M21" s="24" t="str">
        <f aca="false">IF(L21="","",IF(L21="Incompleto","Anote o apito depois dos cortes e o nível de operação",IF(L21="Confira os níveis","O apito depois dos cortes ficou abaixo do de antes: meça de novo",IF(OR(L21="Sem margem",L21="Margem curta"),"Baixe a saída "&amp;($L$4-K21)&amp;" dB, ou reveja a posição e a distância",IF(L21="Cortes demais","Cortes demais: reveja a posição das caixas e dos microfones",IF(L21="Rever cortes","Há corte fundo, largo ou realce nesta saída: veja a tabela de cortes","Manter"))))))</f>
        <v/>
      </c>
      <c r="N21" s="37"/>
    </row>
    <row r="23" customFormat="false" ht="21.75" hidden="false" customHeight="true" outlineLevel="0" collapsed="false">
      <c r="B23" s="13" t="s">
        <v>95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customFormat="false" ht="30" hidden="false" customHeight="true" outlineLevel="0" collapsed="false">
      <c r="B24" s="14" t="s">
        <v>74</v>
      </c>
      <c r="C24" s="14" t="s">
        <v>75</v>
      </c>
      <c r="D24" s="16" t="s">
        <v>96</v>
      </c>
      <c r="E24" s="15" t="s">
        <v>97</v>
      </c>
      <c r="F24" s="15" t="s">
        <v>98</v>
      </c>
      <c r="G24" s="15" t="s">
        <v>99</v>
      </c>
      <c r="H24" s="15" t="s">
        <v>100</v>
      </c>
      <c r="I24" s="16" t="s">
        <v>101</v>
      </c>
      <c r="J24" s="16" t="s">
        <v>49</v>
      </c>
      <c r="K24" s="16" t="s">
        <v>49</v>
      </c>
      <c r="L24" s="16" t="s">
        <v>81</v>
      </c>
      <c r="M24" s="16" t="s">
        <v>82</v>
      </c>
      <c r="N24" s="14" t="s">
        <v>83</v>
      </c>
    </row>
    <row r="25" customFormat="false" ht="21.75" hidden="false" customHeight="true" outlineLevel="0" collapsed="false">
      <c r="B25" s="17"/>
      <c r="C25" s="17" t="s">
        <v>102</v>
      </c>
      <c r="D25" s="17"/>
      <c r="E25" s="17" t="s">
        <v>103</v>
      </c>
      <c r="F25" s="17" t="s">
        <v>104</v>
      </c>
      <c r="G25" s="17" t="s">
        <v>105</v>
      </c>
      <c r="H25" s="17"/>
      <c r="I25" s="17" t="s">
        <v>106</v>
      </c>
      <c r="J25" s="17" t="s">
        <v>107</v>
      </c>
      <c r="K25" s="17" t="s">
        <v>108</v>
      </c>
      <c r="L25" s="17"/>
      <c r="M25" s="17"/>
      <c r="N25" s="17"/>
    </row>
    <row r="26" customFormat="false" ht="21.75" hidden="false" customHeight="true" outlineLevel="0" collapsed="false">
      <c r="B26" s="10" t="s">
        <v>336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customFormat="false" ht="19.5" hidden="false" customHeight="true" outlineLevel="0" collapsed="false">
      <c r="B27" s="19" t="n">
        <v>1</v>
      </c>
      <c r="C27" s="37" t="s">
        <v>333</v>
      </c>
      <c r="D27" s="20" t="n">
        <f aca="false">IF(OR(C27="",E27=""),"",COUNTIF($C$27:C27,C27))</f>
        <v>1</v>
      </c>
      <c r="E27" s="38" t="n">
        <v>2500</v>
      </c>
      <c r="F27" s="39" t="n">
        <v>-6</v>
      </c>
      <c r="G27" s="38" t="n">
        <v>8</v>
      </c>
      <c r="H27" s="38" t="s">
        <v>109</v>
      </c>
      <c r="I27" s="20" t="str">
        <f aca="false">IF(E27="","",IF(E27&lt;250,"Grave",IF(E27&lt;500,"Médio-grave",IF(E27&lt;2000,"Médio",IF(E27&lt;=5000,"Médio-agudo","Agudo")))))</f>
        <v>Médio-agudo</v>
      </c>
      <c r="J27" s="25" t="n">
        <f aca="false">IF(OR(E27="",AND(H27&lt;&gt;"Gráfico",OR(G27="",G27&lt;=0))),"",IF(H27="Gráfico",0.33,ROUND(2*LOG10(1/(2*G27)+(1/(4*G27^2)+1)^0.5)/LOG10(2),2)))</f>
        <v>0.18</v>
      </c>
      <c r="K27" s="20" t="n">
        <f aca="false">IF(OR(E27="",AND(H27&lt;&gt;"Gráfico",OR(G27="",G27&lt;=0))),"",ROUND(E27*IF(H27="Gráfico",0.232,1/G27),0))</f>
        <v>313</v>
      </c>
      <c r="L27" s="23" t="str">
        <f aca="false">IF(E27="","",IF(COUNTIF($C$14:$C$21,C27)=0,"Saída?",IF(AND(F27&lt;&gt;"",F27&gt;0),"Realce",IF(AND(F27&lt;&gt;"",F27&lt;$L$5),"Corte fundo",IF(AND(H27&lt;&gt;"Gráfico",G27&lt;&gt;"",G27&lt;$L$6),"Corte largo","OK")))))</f>
        <v>OK</v>
      </c>
      <c r="M27" s="24" t="str">
        <f aca="false">IF(L27="","",IF(L27="Saída?","Escreva a saída igual à da tabela de cima",IF(L27="Realce","Realce aumenta o ganho do ciclo: troque por corte",IF(L27="Corte fundo","Corte além de "&amp;ABS($L$5)&amp;" dB: reveja a posição antes de aprofundar",IF(L27="Corte largo","Estreite o corte: Q de pelo menos "&amp;$L$6,"Manter")))))</f>
        <v>Manter</v>
      </c>
      <c r="N27" s="37"/>
    </row>
    <row r="28" customFormat="false" ht="19.5" hidden="false" customHeight="true" outlineLevel="0" collapsed="false">
      <c r="B28" s="19" t="n">
        <v>2</v>
      </c>
      <c r="C28" s="37" t="s">
        <v>333</v>
      </c>
      <c r="D28" s="20" t="n">
        <f aca="false">IF(OR(C28="",E28=""),"",COUNTIF($C$27:C28,C28))</f>
        <v>2</v>
      </c>
      <c r="E28" s="38" t="n">
        <v>630</v>
      </c>
      <c r="F28" s="39" t="n">
        <v>-4</v>
      </c>
      <c r="G28" s="38" t="n">
        <v>8</v>
      </c>
      <c r="H28" s="38" t="s">
        <v>109</v>
      </c>
      <c r="I28" s="20" t="str">
        <f aca="false">IF(E28="","",IF(E28&lt;250,"Grave",IF(E28&lt;500,"Médio-grave",IF(E28&lt;2000,"Médio",IF(E28&lt;=5000,"Médio-agudo","Agudo")))))</f>
        <v>Médio</v>
      </c>
      <c r="J28" s="25" t="n">
        <f aca="false">IF(OR(E28="",AND(H28&lt;&gt;"Gráfico",OR(G28="",G28&lt;=0))),"",IF(H28="Gráfico",0.33,ROUND(2*LOG10(1/(2*G28)+(1/(4*G28^2)+1)^0.5)/LOG10(2),2)))</f>
        <v>0.18</v>
      </c>
      <c r="K28" s="20" t="n">
        <f aca="false">IF(OR(E28="",AND(H28&lt;&gt;"Gráfico",OR(G28="",G28&lt;=0))),"",ROUND(E28*IF(H28="Gráfico",0.232,1/G28),0))</f>
        <v>79</v>
      </c>
      <c r="L28" s="23" t="str">
        <f aca="false">IF(E28="","",IF(COUNTIF($C$14:$C$21,C28)=0,"Saída?",IF(AND(F28&lt;&gt;"",F28&gt;0),"Realce",IF(AND(F28&lt;&gt;"",F28&lt;$L$5),"Corte fundo",IF(AND(H28&lt;&gt;"Gráfico",G28&lt;&gt;"",G28&lt;$L$6),"Corte largo","OK")))))</f>
        <v>OK</v>
      </c>
      <c r="M28" s="24" t="str">
        <f aca="false">IF(L28="","",IF(L28="Saída?","Escreva a saída igual à da tabela de cima",IF(L28="Realce","Realce aumenta o ganho do ciclo: troque por corte",IF(L28="Corte fundo","Corte além de "&amp;ABS($L$5)&amp;" dB: reveja a posição antes de aprofundar",IF(L28="Corte largo","Estreite o corte: Q de pelo menos "&amp;$L$6,"Manter")))))</f>
        <v>Manter</v>
      </c>
      <c r="N28" s="37"/>
    </row>
    <row r="29" customFormat="false" ht="19.5" hidden="false" customHeight="true" outlineLevel="0" collapsed="false">
      <c r="B29" s="19" t="n">
        <v>3</v>
      </c>
      <c r="C29" s="37" t="s">
        <v>333</v>
      </c>
      <c r="D29" s="20" t="n">
        <f aca="false">IF(OR(C29="",E29=""),"",COUNTIF($C$27:C29,C29))</f>
        <v>3</v>
      </c>
      <c r="E29" s="38" t="n">
        <v>4000</v>
      </c>
      <c r="F29" s="39" t="n">
        <v>-5</v>
      </c>
      <c r="G29" s="38" t="n">
        <v>8</v>
      </c>
      <c r="H29" s="38" t="s">
        <v>109</v>
      </c>
      <c r="I29" s="20" t="str">
        <f aca="false">IF(E29="","",IF(E29&lt;250,"Grave",IF(E29&lt;500,"Médio-grave",IF(E29&lt;2000,"Médio",IF(E29&lt;=5000,"Médio-agudo","Agudo")))))</f>
        <v>Médio-agudo</v>
      </c>
      <c r="J29" s="25" t="n">
        <f aca="false">IF(OR(E29="",AND(H29&lt;&gt;"Gráfico",OR(G29="",G29&lt;=0))),"",IF(H29="Gráfico",0.33,ROUND(2*LOG10(1/(2*G29)+(1/(4*G29^2)+1)^0.5)/LOG10(2),2)))</f>
        <v>0.18</v>
      </c>
      <c r="K29" s="20" t="n">
        <f aca="false">IF(OR(E29="",AND(H29&lt;&gt;"Gráfico",OR(G29="",G29&lt;=0))),"",ROUND(E29*IF(H29="Gráfico",0.232,1/G29),0))</f>
        <v>500</v>
      </c>
      <c r="L29" s="23" t="str">
        <f aca="false">IF(E29="","",IF(COUNTIF($C$14:$C$21,C29)=0,"Saída?",IF(AND(F29&lt;&gt;"",F29&gt;0),"Realce",IF(AND(F29&lt;&gt;"",F29&lt;$L$5),"Corte fundo",IF(AND(H29&lt;&gt;"Gráfico",G29&lt;&gt;"",G29&lt;$L$6),"Corte largo","OK")))))</f>
        <v>OK</v>
      </c>
      <c r="M29" s="24" t="str">
        <f aca="false">IF(L29="","",IF(L29="Saída?","Escreva a saída igual à da tabela de cima",IF(L29="Realce","Realce aumenta o ganho do ciclo: troque por corte",IF(L29="Corte fundo","Corte além de "&amp;ABS($L$5)&amp;" dB: reveja a posição antes de aprofundar",IF(L29="Corte largo","Estreite o corte: Q de pelo menos "&amp;$L$6,"Manter")))))</f>
        <v>Manter</v>
      </c>
      <c r="N29" s="37"/>
    </row>
    <row r="30" customFormat="false" ht="19.5" hidden="false" customHeight="true" outlineLevel="0" collapsed="false">
      <c r="B30" s="19" t="n">
        <v>4</v>
      </c>
      <c r="C30" s="37" t="s">
        <v>333</v>
      </c>
      <c r="D30" s="20" t="n">
        <f aca="false">IF(OR(C30="",E30=""),"",COUNTIF($C$27:C30,C30))</f>
        <v>4</v>
      </c>
      <c r="E30" s="38" t="n">
        <v>250</v>
      </c>
      <c r="F30" s="39" t="n">
        <v>-3</v>
      </c>
      <c r="G30" s="38" t="n">
        <v>8</v>
      </c>
      <c r="H30" s="38" t="s">
        <v>109</v>
      </c>
      <c r="I30" s="20" t="str">
        <f aca="false">IF(E30="","",IF(E30&lt;250,"Grave",IF(E30&lt;500,"Médio-grave",IF(E30&lt;2000,"Médio",IF(E30&lt;=5000,"Médio-agudo","Agudo")))))</f>
        <v>Médio-grave</v>
      </c>
      <c r="J30" s="25" t="n">
        <f aca="false">IF(OR(E30="",AND(H30&lt;&gt;"Gráfico",OR(G30="",G30&lt;=0))),"",IF(H30="Gráfico",0.33,ROUND(2*LOG10(1/(2*G30)+(1/(4*G30^2)+1)^0.5)/LOG10(2),2)))</f>
        <v>0.18</v>
      </c>
      <c r="K30" s="20" t="n">
        <f aca="false">IF(OR(E30="",AND(H30&lt;&gt;"Gráfico",OR(G30="",G30&lt;=0))),"",ROUND(E30*IF(H30="Gráfico",0.232,1/G30),0))</f>
        <v>31</v>
      </c>
      <c r="L30" s="23" t="str">
        <f aca="false">IF(E30="","",IF(COUNTIF($C$14:$C$21,C30)=0,"Saída?",IF(AND(F30&lt;&gt;"",F30&gt;0),"Realce",IF(AND(F30&lt;&gt;"",F30&lt;$L$5),"Corte fundo",IF(AND(H30&lt;&gt;"Gráfico",G30&lt;&gt;"",G30&lt;$L$6),"Corte largo","OK")))))</f>
        <v>OK</v>
      </c>
      <c r="M30" s="24" t="str">
        <f aca="false">IF(L30="","",IF(L30="Saída?","Escreva a saída igual à da tabela de cima",IF(L30="Realce","Realce aumenta o ganho do ciclo: troque por corte",IF(L30="Corte fundo","Corte além de "&amp;ABS($L$5)&amp;" dB: reveja a posição antes de aprofundar",IF(L30="Corte largo","Estreite o corte: Q de pelo menos "&amp;$L$6,"Manter")))))</f>
        <v>Manter</v>
      </c>
      <c r="N30" s="37"/>
    </row>
    <row r="31" customFormat="false" ht="19.5" hidden="false" customHeight="true" outlineLevel="0" collapsed="false">
      <c r="B31" s="19" t="n">
        <v>5</v>
      </c>
      <c r="C31" s="37" t="s">
        <v>334</v>
      </c>
      <c r="D31" s="20" t="n">
        <f aca="false">IF(OR(C31="",E31=""),"",COUNTIF($C$27:C31,C31))</f>
        <v>1</v>
      </c>
      <c r="E31" s="38" t="n">
        <v>1600</v>
      </c>
      <c r="F31" s="39" t="n">
        <v>-5</v>
      </c>
      <c r="G31" s="38" t="n">
        <v>8</v>
      </c>
      <c r="H31" s="38" t="s">
        <v>109</v>
      </c>
      <c r="I31" s="20" t="str">
        <f aca="false">IF(E31="","",IF(E31&lt;250,"Grave",IF(E31&lt;500,"Médio-grave",IF(E31&lt;2000,"Médio",IF(E31&lt;=5000,"Médio-agudo","Agudo")))))</f>
        <v>Médio</v>
      </c>
      <c r="J31" s="25" t="n">
        <f aca="false">IF(OR(E31="",AND(H31&lt;&gt;"Gráfico",OR(G31="",G31&lt;=0))),"",IF(H31="Gráfico",0.33,ROUND(2*LOG10(1/(2*G31)+(1/(4*G31^2)+1)^0.5)/LOG10(2),2)))</f>
        <v>0.18</v>
      </c>
      <c r="K31" s="20" t="n">
        <f aca="false">IF(OR(E31="",AND(H31&lt;&gt;"Gráfico",OR(G31="",G31&lt;=0))),"",ROUND(E31*IF(H31="Gráfico",0.232,1/G31),0))</f>
        <v>200</v>
      </c>
      <c r="L31" s="23" t="str">
        <f aca="false">IF(E31="","",IF(COUNTIF($C$14:$C$21,C31)=0,"Saída?",IF(AND(F31&lt;&gt;"",F31&gt;0),"Realce",IF(AND(F31&lt;&gt;"",F31&lt;$L$5),"Corte fundo",IF(AND(H31&lt;&gt;"Gráfico",G31&lt;&gt;"",G31&lt;$L$6),"Corte largo","OK")))))</f>
        <v>OK</v>
      </c>
      <c r="M31" s="24" t="str">
        <f aca="false">IF(L31="","",IF(L31="Saída?","Escreva a saída igual à da tabela de cima",IF(L31="Realce","Realce aumenta o ganho do ciclo: troque por corte",IF(L31="Corte fundo","Corte além de "&amp;ABS($L$5)&amp;" dB: reveja a posição antes de aprofundar",IF(L31="Corte largo","Estreite o corte: Q de pelo menos "&amp;$L$6,"Manter")))))</f>
        <v>Manter</v>
      </c>
      <c r="N31" s="37"/>
    </row>
    <row r="32" customFormat="false" ht="19.5" hidden="false" customHeight="true" outlineLevel="0" collapsed="false">
      <c r="B32" s="19" t="n">
        <v>6</v>
      </c>
      <c r="C32" s="37" t="s">
        <v>334</v>
      </c>
      <c r="D32" s="20" t="n">
        <f aca="false">IF(OR(C32="",E32=""),"",COUNTIF($C$27:C32,C32))</f>
        <v>2</v>
      </c>
      <c r="E32" s="38" t="n">
        <v>400</v>
      </c>
      <c r="F32" s="39" t="n">
        <v>-10</v>
      </c>
      <c r="G32" s="38" t="n">
        <v>8</v>
      </c>
      <c r="H32" s="38" t="s">
        <v>109</v>
      </c>
      <c r="I32" s="20" t="str">
        <f aca="false">IF(E32="","",IF(E32&lt;250,"Grave",IF(E32&lt;500,"Médio-grave",IF(E32&lt;2000,"Médio",IF(E32&lt;=5000,"Médio-agudo","Agudo")))))</f>
        <v>Médio-grave</v>
      </c>
      <c r="J32" s="25" t="n">
        <f aca="false">IF(OR(E32="",AND(H32&lt;&gt;"Gráfico",OR(G32="",G32&lt;=0))),"",IF(H32="Gráfico",0.33,ROUND(2*LOG10(1/(2*G32)+(1/(4*G32^2)+1)^0.5)/LOG10(2),2)))</f>
        <v>0.18</v>
      </c>
      <c r="K32" s="20" t="n">
        <f aca="false">IF(OR(E32="",AND(H32&lt;&gt;"Gráfico",OR(G32="",G32&lt;=0))),"",ROUND(E32*IF(H32="Gráfico",0.232,1/G32),0))</f>
        <v>50</v>
      </c>
      <c r="L32" s="23" t="str">
        <f aca="false">IF(E32="","",IF(COUNTIF($C$14:$C$21,C32)=0,"Saída?",IF(AND(F32&lt;&gt;"",F32&gt;0),"Realce",IF(AND(F32&lt;&gt;"",F32&lt;$L$5),"Corte fundo",IF(AND(H32&lt;&gt;"Gráfico",G32&lt;&gt;"",G32&lt;$L$6),"Corte largo","OK")))))</f>
        <v>Corte fundo</v>
      </c>
      <c r="M32" s="24" t="str">
        <f aca="false">IF(L32="","",IF(L32="Saída?","Escreva a saída igual à da tabela de cima",IF(L32="Realce","Realce aumenta o ganho do ciclo: troque por corte",IF(L32="Corte fundo","Corte além de "&amp;ABS($L$5)&amp;" dB: reveja a posição antes de aprofundar",IF(L32="Corte largo","Estreite o corte: Q de pelo menos "&amp;$L$6,"Manter")))))</f>
        <v>Corte além de 9 dB: reveja a posição antes de aprofundar</v>
      </c>
      <c r="N32" s="37"/>
    </row>
    <row r="33" customFormat="false" ht="19.5" hidden="false" customHeight="true" outlineLevel="0" collapsed="false">
      <c r="B33" s="19" t="n">
        <v>7</v>
      </c>
      <c r="C33" s="37" t="s">
        <v>334</v>
      </c>
      <c r="D33" s="20" t="n">
        <f aca="false">IF(OR(C33="",E33=""),"",COUNTIF($C$27:C33,C33))</f>
        <v>3</v>
      </c>
      <c r="E33" s="38" t="n">
        <v>3150</v>
      </c>
      <c r="F33" s="39" t="n">
        <v>-4</v>
      </c>
      <c r="G33" s="38" t="n">
        <v>8</v>
      </c>
      <c r="H33" s="38" t="s">
        <v>109</v>
      </c>
      <c r="I33" s="20" t="str">
        <f aca="false">IF(E33="","",IF(E33&lt;250,"Grave",IF(E33&lt;500,"Médio-grave",IF(E33&lt;2000,"Médio",IF(E33&lt;=5000,"Médio-agudo","Agudo")))))</f>
        <v>Médio-agudo</v>
      </c>
      <c r="J33" s="25" t="n">
        <f aca="false">IF(OR(E33="",AND(H33&lt;&gt;"Gráfico",OR(G33="",G33&lt;=0))),"",IF(H33="Gráfico",0.33,ROUND(2*LOG10(1/(2*G33)+(1/(4*G33^2)+1)^0.5)/LOG10(2),2)))</f>
        <v>0.18</v>
      </c>
      <c r="K33" s="20" t="n">
        <f aca="false">IF(OR(E33="",AND(H33&lt;&gt;"Gráfico",OR(G33="",G33&lt;=0))),"",ROUND(E33*IF(H33="Gráfico",0.232,1/G33),0))</f>
        <v>394</v>
      </c>
      <c r="L33" s="23" t="str">
        <f aca="false">IF(E33="","",IF(COUNTIF($C$14:$C$21,C33)=0,"Saída?",IF(AND(F33&lt;&gt;"",F33&gt;0),"Realce",IF(AND(F33&lt;&gt;"",F33&lt;$L$5),"Corte fundo",IF(AND(H33&lt;&gt;"Gráfico",G33&lt;&gt;"",G33&lt;$L$6),"Corte largo","OK")))))</f>
        <v>OK</v>
      </c>
      <c r="M33" s="24" t="str">
        <f aca="false">IF(L33="","",IF(L33="Saída?","Escreva a saída igual à da tabela de cima",IF(L33="Realce","Realce aumenta o ganho do ciclo: troque por corte",IF(L33="Corte fundo","Corte além de "&amp;ABS($L$5)&amp;" dB: reveja a posição antes de aprofundar",IF(L33="Corte largo","Estreite o corte: Q de pelo menos "&amp;$L$6,"Manter")))))</f>
        <v>Manter</v>
      </c>
      <c r="N33" s="37"/>
    </row>
    <row r="34" customFormat="false" ht="19.5" hidden="false" customHeight="true" outlineLevel="0" collapsed="false">
      <c r="B34" s="19" t="n">
        <v>8</v>
      </c>
      <c r="C34" s="37" t="s">
        <v>335</v>
      </c>
      <c r="D34" s="20" t="n">
        <f aca="false">IF(OR(C34="",E34=""),"",COUNTIF($C$27:C34,C34))</f>
        <v>1</v>
      </c>
      <c r="E34" s="38" t="n">
        <v>3150</v>
      </c>
      <c r="F34" s="39" t="n">
        <v>-4</v>
      </c>
      <c r="G34" s="38" t="n">
        <v>8</v>
      </c>
      <c r="H34" s="38" t="s">
        <v>109</v>
      </c>
      <c r="I34" s="20" t="str">
        <f aca="false">IF(E34="","",IF(E34&lt;250,"Grave",IF(E34&lt;500,"Médio-grave",IF(E34&lt;2000,"Médio",IF(E34&lt;=5000,"Médio-agudo","Agudo")))))</f>
        <v>Médio-agudo</v>
      </c>
      <c r="J34" s="25" t="n">
        <f aca="false">IF(OR(E34="",AND(H34&lt;&gt;"Gráfico",OR(G34="",G34&lt;=0))),"",IF(H34="Gráfico",0.33,ROUND(2*LOG10(1/(2*G34)+(1/(4*G34^2)+1)^0.5)/LOG10(2),2)))</f>
        <v>0.18</v>
      </c>
      <c r="K34" s="20" t="n">
        <f aca="false">IF(OR(E34="",AND(H34&lt;&gt;"Gráfico",OR(G34="",G34&lt;=0))),"",ROUND(E34*IF(H34="Gráfico",0.232,1/G34),0))</f>
        <v>394</v>
      </c>
      <c r="L34" s="23" t="str">
        <f aca="false">IF(E34="","",IF(COUNTIF($C$14:$C$21,C34)=0,"Saída?",IF(AND(F34&lt;&gt;"",F34&gt;0),"Realce",IF(AND(F34&lt;&gt;"",F34&lt;$L$5),"Corte fundo",IF(AND(H34&lt;&gt;"Gráfico",G34&lt;&gt;"",G34&lt;$L$6),"Corte largo","OK")))))</f>
        <v>OK</v>
      </c>
      <c r="M34" s="24" t="str">
        <f aca="false">IF(L34="","",IF(L34="Saída?","Escreva a saída igual à da tabela de cima",IF(L34="Realce","Realce aumenta o ganho do ciclo: troque por corte",IF(L34="Corte fundo","Corte além de "&amp;ABS($L$5)&amp;" dB: reveja a posição antes de aprofundar",IF(L34="Corte largo","Estreite o corte: Q de pelo menos "&amp;$L$6,"Manter")))))</f>
        <v>Manter</v>
      </c>
      <c r="N34" s="37"/>
    </row>
    <row r="35" customFormat="false" ht="19.5" hidden="false" customHeight="true" outlineLevel="0" collapsed="false">
      <c r="B35" s="19" t="n">
        <v>9</v>
      </c>
      <c r="C35" s="37" t="s">
        <v>335</v>
      </c>
      <c r="D35" s="20" t="n">
        <f aca="false">IF(OR(C35="",E35=""),"",COUNTIF($C$27:C35,C35))</f>
        <v>2</v>
      </c>
      <c r="E35" s="38" t="n">
        <v>500</v>
      </c>
      <c r="F35" s="39" t="n">
        <v>-3</v>
      </c>
      <c r="G35" s="38" t="n">
        <v>2</v>
      </c>
      <c r="H35" s="38" t="s">
        <v>109</v>
      </c>
      <c r="I35" s="20" t="str">
        <f aca="false">IF(E35="","",IF(E35&lt;250,"Grave",IF(E35&lt;500,"Médio-grave",IF(E35&lt;2000,"Médio",IF(E35&lt;=5000,"Médio-agudo","Agudo")))))</f>
        <v>Médio</v>
      </c>
      <c r="J35" s="25" t="n">
        <f aca="false">IF(OR(E35="",AND(H35&lt;&gt;"Gráfico",OR(G35="",G35&lt;=0))),"",IF(H35="Gráfico",0.33,ROUND(2*LOG10(1/(2*G35)+(1/(4*G35^2)+1)^0.5)/LOG10(2),2)))</f>
        <v>0.71</v>
      </c>
      <c r="K35" s="20" t="n">
        <f aca="false">IF(OR(E35="",AND(H35&lt;&gt;"Gráfico",OR(G35="",G35&lt;=0))),"",ROUND(E35*IF(H35="Gráfico",0.232,1/G35),0))</f>
        <v>250</v>
      </c>
      <c r="L35" s="23" t="str">
        <f aca="false">IF(E35="","",IF(COUNTIF($C$14:$C$21,C35)=0,"Saída?",IF(AND(F35&lt;&gt;"",F35&gt;0),"Realce",IF(AND(F35&lt;&gt;"",F35&lt;$L$5),"Corte fundo",IF(AND(H35&lt;&gt;"Gráfico",G35&lt;&gt;"",G35&lt;$L$6),"Corte largo","OK")))))</f>
        <v>Corte largo</v>
      </c>
      <c r="M35" s="24" t="str">
        <f aca="false">IF(L35="","",IF(L35="Saída?","Escreva a saída igual à da tabela de cima",IF(L35="Realce","Realce aumenta o ganho do ciclo: troque por corte",IF(L35="Corte fundo","Corte além de "&amp;ABS($L$5)&amp;" dB: reveja a posição antes de aprofundar",IF(L35="Corte largo","Estreite o corte: Q de pelo menos "&amp;$L$6,"Manter")))))</f>
        <v>Estreite o corte: Q de pelo menos 4</v>
      </c>
      <c r="N35" s="37"/>
    </row>
    <row r="36" customFormat="false" ht="19.5" hidden="false" customHeight="true" outlineLevel="0" collapsed="false">
      <c r="B36" s="19" t="n">
        <v>10</v>
      </c>
      <c r="C36" s="37"/>
      <c r="D36" s="20" t="str">
        <f aca="false">IF(OR(C36="",E36=""),"",COUNTIF($C$27:C36,C36))</f>
        <v/>
      </c>
      <c r="E36" s="38"/>
      <c r="F36" s="39"/>
      <c r="G36" s="38"/>
      <c r="H36" s="38"/>
      <c r="I36" s="20" t="str">
        <f aca="false">IF(E36="","",IF(E36&lt;250,"Grave",IF(E36&lt;500,"Médio-grave",IF(E36&lt;2000,"Médio",IF(E36&lt;=5000,"Médio-agudo","Agudo")))))</f>
        <v/>
      </c>
      <c r="J36" s="25" t="str">
        <f aca="false">IF(OR(E36="",AND(H36&lt;&gt;"Gráfico",OR(G36="",G36&lt;=0))),"",IF(H36="Gráfico",0.33,ROUND(2*LOG10(1/(2*G36)+(1/(4*G36^2)+1)^0.5)/LOG10(2),2)))</f>
        <v/>
      </c>
      <c r="K36" s="20" t="str">
        <f aca="false">IF(OR(E36="",AND(H36&lt;&gt;"Gráfico",OR(G36="",G36&lt;=0))),"",ROUND(E36*IF(H36="Gráfico",0.232,1/G36),0))</f>
        <v/>
      </c>
      <c r="L36" s="23" t="str">
        <f aca="false">IF(E36="","",IF(COUNTIF($C$14:$C$21,C36)=0,"Saída?",IF(AND(F36&lt;&gt;"",F36&gt;0),"Realce",IF(AND(F36&lt;&gt;"",F36&lt;$L$5),"Corte fundo",IF(AND(H36&lt;&gt;"Gráfico",G36&lt;&gt;"",G36&lt;$L$6),"Corte largo","OK")))))</f>
        <v/>
      </c>
      <c r="M36" s="24" t="str">
        <f aca="false">IF(L36="","",IF(L36="Saída?","Escreva a saída igual à da tabela de cima",IF(L36="Realce","Realce aumenta o ganho do ciclo: troque por corte",IF(L36="Corte fundo","Corte além de "&amp;ABS($L$5)&amp;" dB: reveja a posição antes de aprofundar",IF(L36="Corte largo","Estreite o corte: Q de pelo menos "&amp;$L$6,"Manter")))))</f>
        <v/>
      </c>
      <c r="N36" s="37"/>
    </row>
    <row r="37" customFormat="false" ht="19.5" hidden="false" customHeight="true" outlineLevel="0" collapsed="false">
      <c r="B37" s="19" t="n">
        <v>11</v>
      </c>
      <c r="C37" s="37"/>
      <c r="D37" s="20" t="str">
        <f aca="false">IF(OR(C37="",E37=""),"",COUNTIF($C$27:C37,C37))</f>
        <v/>
      </c>
      <c r="E37" s="38"/>
      <c r="F37" s="39"/>
      <c r="G37" s="38"/>
      <c r="H37" s="38"/>
      <c r="I37" s="20" t="str">
        <f aca="false">IF(E37="","",IF(E37&lt;250,"Grave",IF(E37&lt;500,"Médio-grave",IF(E37&lt;2000,"Médio",IF(E37&lt;=5000,"Médio-agudo","Agudo")))))</f>
        <v/>
      </c>
      <c r="J37" s="25" t="str">
        <f aca="false">IF(OR(E37="",AND(H37&lt;&gt;"Gráfico",OR(G37="",G37&lt;=0))),"",IF(H37="Gráfico",0.33,ROUND(2*LOG10(1/(2*G37)+(1/(4*G37^2)+1)^0.5)/LOG10(2),2)))</f>
        <v/>
      </c>
      <c r="K37" s="20" t="str">
        <f aca="false">IF(OR(E37="",AND(H37&lt;&gt;"Gráfico",OR(G37="",G37&lt;=0))),"",ROUND(E37*IF(H37="Gráfico",0.232,1/G37),0))</f>
        <v/>
      </c>
      <c r="L37" s="23" t="str">
        <f aca="false">IF(E37="","",IF(COUNTIF($C$14:$C$21,C37)=0,"Saída?",IF(AND(F37&lt;&gt;"",F37&gt;0),"Realce",IF(AND(F37&lt;&gt;"",F37&lt;$L$5),"Corte fundo",IF(AND(H37&lt;&gt;"Gráfico",G37&lt;&gt;"",G37&lt;$L$6),"Corte largo","OK")))))</f>
        <v/>
      </c>
      <c r="M37" s="24" t="str">
        <f aca="false">IF(L37="","",IF(L37="Saída?","Escreva a saída igual à da tabela de cima",IF(L37="Realce","Realce aumenta o ganho do ciclo: troque por corte",IF(L37="Corte fundo","Corte além de "&amp;ABS($L$5)&amp;" dB: reveja a posição antes de aprofundar",IF(L37="Corte largo","Estreite o corte: Q de pelo menos "&amp;$L$6,"Manter")))))</f>
        <v/>
      </c>
      <c r="N37" s="37"/>
    </row>
    <row r="38" customFormat="false" ht="19.5" hidden="false" customHeight="true" outlineLevel="0" collapsed="false">
      <c r="B38" s="19" t="n">
        <v>12</v>
      </c>
      <c r="C38" s="37"/>
      <c r="D38" s="20" t="str">
        <f aca="false">IF(OR(C38="",E38=""),"",COUNTIF($C$27:C38,C38))</f>
        <v/>
      </c>
      <c r="E38" s="38"/>
      <c r="F38" s="39"/>
      <c r="G38" s="38"/>
      <c r="H38" s="38"/>
      <c r="I38" s="20" t="str">
        <f aca="false">IF(E38="","",IF(E38&lt;250,"Grave",IF(E38&lt;500,"Médio-grave",IF(E38&lt;2000,"Médio",IF(E38&lt;=5000,"Médio-agudo","Agudo")))))</f>
        <v/>
      </c>
      <c r="J38" s="25" t="str">
        <f aca="false">IF(OR(E38="",AND(H38&lt;&gt;"Gráfico",OR(G38="",G38&lt;=0))),"",IF(H38="Gráfico",0.33,ROUND(2*LOG10(1/(2*G38)+(1/(4*G38^2)+1)^0.5)/LOG10(2),2)))</f>
        <v/>
      </c>
      <c r="K38" s="20" t="str">
        <f aca="false">IF(OR(E38="",AND(H38&lt;&gt;"Gráfico",OR(G38="",G38&lt;=0))),"",ROUND(E38*IF(H38="Gráfico",0.232,1/G38),0))</f>
        <v/>
      </c>
      <c r="L38" s="23" t="str">
        <f aca="false">IF(E38="","",IF(COUNTIF($C$14:$C$21,C38)=0,"Saída?",IF(AND(F38&lt;&gt;"",F38&gt;0),"Realce",IF(AND(F38&lt;&gt;"",F38&lt;$L$5),"Corte fundo",IF(AND(H38&lt;&gt;"Gráfico",G38&lt;&gt;"",G38&lt;$L$6),"Corte largo","OK")))))</f>
        <v/>
      </c>
      <c r="M38" s="24" t="str">
        <f aca="false">IF(L38="","",IF(L38="Saída?","Escreva a saída igual à da tabela de cima",IF(L38="Realce","Realce aumenta o ganho do ciclo: troque por corte",IF(L38="Corte fundo","Corte além de "&amp;ABS($L$5)&amp;" dB: reveja a posição antes de aprofundar",IF(L38="Corte largo","Estreite o corte: Q de pelo menos "&amp;$L$6,"Manter")))))</f>
        <v/>
      </c>
      <c r="N38" s="37"/>
    </row>
    <row r="39" customFormat="false" ht="19.5" hidden="false" customHeight="true" outlineLevel="0" collapsed="false">
      <c r="B39" s="19" t="n">
        <v>13</v>
      </c>
      <c r="C39" s="37"/>
      <c r="D39" s="20" t="str">
        <f aca="false">IF(OR(C39="",E39=""),"",COUNTIF($C$27:C39,C39))</f>
        <v/>
      </c>
      <c r="E39" s="38"/>
      <c r="F39" s="39"/>
      <c r="G39" s="38"/>
      <c r="H39" s="38"/>
      <c r="I39" s="20" t="str">
        <f aca="false">IF(E39="","",IF(E39&lt;250,"Grave",IF(E39&lt;500,"Médio-grave",IF(E39&lt;2000,"Médio",IF(E39&lt;=5000,"Médio-agudo","Agudo")))))</f>
        <v/>
      </c>
      <c r="J39" s="25" t="str">
        <f aca="false">IF(OR(E39="",AND(H39&lt;&gt;"Gráfico",OR(G39="",G39&lt;=0))),"",IF(H39="Gráfico",0.33,ROUND(2*LOG10(1/(2*G39)+(1/(4*G39^2)+1)^0.5)/LOG10(2),2)))</f>
        <v/>
      </c>
      <c r="K39" s="20" t="str">
        <f aca="false">IF(OR(E39="",AND(H39&lt;&gt;"Gráfico",OR(G39="",G39&lt;=0))),"",ROUND(E39*IF(H39="Gráfico",0.232,1/G39),0))</f>
        <v/>
      </c>
      <c r="L39" s="23" t="str">
        <f aca="false">IF(E39="","",IF(COUNTIF($C$14:$C$21,C39)=0,"Saída?",IF(AND(F39&lt;&gt;"",F39&gt;0),"Realce",IF(AND(F39&lt;&gt;"",F39&lt;$L$5),"Corte fundo",IF(AND(H39&lt;&gt;"Gráfico",G39&lt;&gt;"",G39&lt;$L$6),"Corte largo","OK")))))</f>
        <v/>
      </c>
      <c r="M39" s="24" t="str">
        <f aca="false">IF(L39="","",IF(L39="Saída?","Escreva a saída igual à da tabela de cima",IF(L39="Realce","Realce aumenta o ganho do ciclo: troque por corte",IF(L39="Corte fundo","Corte além de "&amp;ABS($L$5)&amp;" dB: reveja a posição antes de aprofundar",IF(L39="Corte largo","Estreite o corte: Q de pelo menos "&amp;$L$6,"Manter")))))</f>
        <v/>
      </c>
      <c r="N39" s="37"/>
    </row>
    <row r="40" customFormat="false" ht="19.5" hidden="false" customHeight="true" outlineLevel="0" collapsed="false">
      <c r="B40" s="19" t="n">
        <v>14</v>
      </c>
      <c r="C40" s="37"/>
      <c r="D40" s="20" t="str">
        <f aca="false">IF(OR(C40="",E40=""),"",COUNTIF($C$27:C40,C40))</f>
        <v/>
      </c>
      <c r="E40" s="38"/>
      <c r="F40" s="39"/>
      <c r="G40" s="38"/>
      <c r="H40" s="38"/>
      <c r="I40" s="20" t="str">
        <f aca="false">IF(E40="","",IF(E40&lt;250,"Grave",IF(E40&lt;500,"Médio-grave",IF(E40&lt;2000,"Médio",IF(E40&lt;=5000,"Médio-agudo","Agudo")))))</f>
        <v/>
      </c>
      <c r="J40" s="25" t="str">
        <f aca="false">IF(OR(E40="",AND(H40&lt;&gt;"Gráfico",OR(G40="",G40&lt;=0))),"",IF(H40="Gráfico",0.33,ROUND(2*LOG10(1/(2*G40)+(1/(4*G40^2)+1)^0.5)/LOG10(2),2)))</f>
        <v/>
      </c>
      <c r="K40" s="20" t="str">
        <f aca="false">IF(OR(E40="",AND(H40&lt;&gt;"Gráfico",OR(G40="",G40&lt;=0))),"",ROUND(E40*IF(H40="Gráfico",0.232,1/G40),0))</f>
        <v/>
      </c>
      <c r="L40" s="23" t="str">
        <f aca="false">IF(E40="","",IF(COUNTIF($C$14:$C$21,C40)=0,"Saída?",IF(AND(F40&lt;&gt;"",F40&gt;0),"Realce",IF(AND(F40&lt;&gt;"",F40&lt;$L$5),"Corte fundo",IF(AND(H40&lt;&gt;"Gráfico",G40&lt;&gt;"",G40&lt;$L$6),"Corte largo","OK")))))</f>
        <v/>
      </c>
      <c r="M40" s="24" t="str">
        <f aca="false">IF(L40="","",IF(L40="Saída?","Escreva a saída igual à da tabela de cima",IF(L40="Realce","Realce aumenta o ganho do ciclo: troque por corte",IF(L40="Corte fundo","Corte além de "&amp;ABS($L$5)&amp;" dB: reveja a posição antes de aprofundar",IF(L40="Corte largo","Estreite o corte: Q de pelo menos "&amp;$L$6,"Manter")))))</f>
        <v/>
      </c>
      <c r="N40" s="37"/>
    </row>
    <row r="41" customFormat="false" ht="19.5" hidden="false" customHeight="true" outlineLevel="0" collapsed="false">
      <c r="B41" s="19" t="n">
        <v>15</v>
      </c>
      <c r="C41" s="37"/>
      <c r="D41" s="20" t="str">
        <f aca="false">IF(OR(C41="",E41=""),"",COUNTIF($C$27:C41,C41))</f>
        <v/>
      </c>
      <c r="E41" s="38"/>
      <c r="F41" s="39"/>
      <c r="G41" s="38"/>
      <c r="H41" s="38"/>
      <c r="I41" s="20" t="str">
        <f aca="false">IF(E41="","",IF(E41&lt;250,"Grave",IF(E41&lt;500,"Médio-grave",IF(E41&lt;2000,"Médio",IF(E41&lt;=5000,"Médio-agudo","Agudo")))))</f>
        <v/>
      </c>
      <c r="J41" s="25" t="str">
        <f aca="false">IF(OR(E41="",AND(H41&lt;&gt;"Gráfico",OR(G41="",G41&lt;=0))),"",IF(H41="Gráfico",0.33,ROUND(2*LOG10(1/(2*G41)+(1/(4*G41^2)+1)^0.5)/LOG10(2),2)))</f>
        <v/>
      </c>
      <c r="K41" s="20" t="str">
        <f aca="false">IF(OR(E41="",AND(H41&lt;&gt;"Gráfico",OR(G41="",G41&lt;=0))),"",ROUND(E41*IF(H41="Gráfico",0.232,1/G41),0))</f>
        <v/>
      </c>
      <c r="L41" s="23" t="str">
        <f aca="false">IF(E41="","",IF(COUNTIF($C$14:$C$21,C41)=0,"Saída?",IF(AND(F41&lt;&gt;"",F41&gt;0),"Realce",IF(AND(F41&lt;&gt;"",F41&lt;$L$5),"Corte fundo",IF(AND(H41&lt;&gt;"Gráfico",G41&lt;&gt;"",G41&lt;$L$6),"Corte largo","OK")))))</f>
        <v/>
      </c>
      <c r="M41" s="24" t="str">
        <f aca="false">IF(L41="","",IF(L41="Saída?","Escreva a saída igual à da tabela de cima",IF(L41="Realce","Realce aumenta o ganho do ciclo: troque por corte",IF(L41="Corte fundo","Corte além de "&amp;ABS($L$5)&amp;" dB: reveja a posição antes de aprofundar",IF(L41="Corte largo","Estreite o corte: Q de pelo menos "&amp;$L$6,"Manter")))))</f>
        <v/>
      </c>
      <c r="N41" s="37"/>
    </row>
    <row r="42" customFormat="false" ht="19.5" hidden="false" customHeight="true" outlineLevel="0" collapsed="false">
      <c r="B42" s="19" t="n">
        <v>16</v>
      </c>
      <c r="C42" s="37"/>
      <c r="D42" s="20" t="str">
        <f aca="false">IF(OR(C42="",E42=""),"",COUNTIF($C$27:C42,C42))</f>
        <v/>
      </c>
      <c r="E42" s="38"/>
      <c r="F42" s="39"/>
      <c r="G42" s="38"/>
      <c r="H42" s="38"/>
      <c r="I42" s="20" t="str">
        <f aca="false">IF(E42="","",IF(E42&lt;250,"Grave",IF(E42&lt;500,"Médio-grave",IF(E42&lt;2000,"Médio",IF(E42&lt;=5000,"Médio-agudo","Agudo")))))</f>
        <v/>
      </c>
      <c r="J42" s="25" t="str">
        <f aca="false">IF(OR(E42="",AND(H42&lt;&gt;"Gráfico",OR(G42="",G42&lt;=0))),"",IF(H42="Gráfico",0.33,ROUND(2*LOG10(1/(2*G42)+(1/(4*G42^2)+1)^0.5)/LOG10(2),2)))</f>
        <v/>
      </c>
      <c r="K42" s="20" t="str">
        <f aca="false">IF(OR(E42="",AND(H42&lt;&gt;"Gráfico",OR(G42="",G42&lt;=0))),"",ROUND(E42*IF(H42="Gráfico",0.232,1/G42),0))</f>
        <v/>
      </c>
      <c r="L42" s="23" t="str">
        <f aca="false">IF(E42="","",IF(COUNTIF($C$14:$C$21,C42)=0,"Saída?",IF(AND(F42&lt;&gt;"",F42&gt;0),"Realce",IF(AND(F42&lt;&gt;"",F42&lt;$L$5),"Corte fundo",IF(AND(H42&lt;&gt;"Gráfico",G42&lt;&gt;"",G42&lt;$L$6),"Corte largo","OK")))))</f>
        <v/>
      </c>
      <c r="M42" s="24" t="str">
        <f aca="false">IF(L42="","",IF(L42="Saída?","Escreva a saída igual à da tabela de cima",IF(L42="Realce","Realce aumenta o ganho do ciclo: troque por corte",IF(L42="Corte fundo","Corte além de "&amp;ABS($L$5)&amp;" dB: reveja a posição antes de aprofundar",IF(L42="Corte largo","Estreite o corte: Q de pelo menos "&amp;$L$6,"Manter")))))</f>
        <v/>
      </c>
      <c r="N42" s="37"/>
    </row>
    <row r="43" customFormat="false" ht="19.5" hidden="false" customHeight="true" outlineLevel="0" collapsed="false">
      <c r="B43" s="19" t="n">
        <v>17</v>
      </c>
      <c r="C43" s="37"/>
      <c r="D43" s="20" t="str">
        <f aca="false">IF(OR(C43="",E43=""),"",COUNTIF($C$27:C43,C43))</f>
        <v/>
      </c>
      <c r="E43" s="38"/>
      <c r="F43" s="39"/>
      <c r="G43" s="38"/>
      <c r="H43" s="38"/>
      <c r="I43" s="20" t="str">
        <f aca="false">IF(E43="","",IF(E43&lt;250,"Grave",IF(E43&lt;500,"Médio-grave",IF(E43&lt;2000,"Médio",IF(E43&lt;=5000,"Médio-agudo","Agudo")))))</f>
        <v/>
      </c>
      <c r="J43" s="25" t="str">
        <f aca="false">IF(OR(E43="",AND(H43&lt;&gt;"Gráfico",OR(G43="",G43&lt;=0))),"",IF(H43="Gráfico",0.33,ROUND(2*LOG10(1/(2*G43)+(1/(4*G43^2)+1)^0.5)/LOG10(2),2)))</f>
        <v/>
      </c>
      <c r="K43" s="20" t="str">
        <f aca="false">IF(OR(E43="",AND(H43&lt;&gt;"Gráfico",OR(G43="",G43&lt;=0))),"",ROUND(E43*IF(H43="Gráfico",0.232,1/G43),0))</f>
        <v/>
      </c>
      <c r="L43" s="23" t="str">
        <f aca="false">IF(E43="","",IF(COUNTIF($C$14:$C$21,C43)=0,"Saída?",IF(AND(F43&lt;&gt;"",F43&gt;0),"Realce",IF(AND(F43&lt;&gt;"",F43&lt;$L$5),"Corte fundo",IF(AND(H43&lt;&gt;"Gráfico",G43&lt;&gt;"",G43&lt;$L$6),"Corte largo","OK")))))</f>
        <v/>
      </c>
      <c r="M43" s="24" t="str">
        <f aca="false">IF(L43="","",IF(L43="Saída?","Escreva a saída igual à da tabela de cima",IF(L43="Realce","Realce aumenta o ganho do ciclo: troque por corte",IF(L43="Corte fundo","Corte além de "&amp;ABS($L$5)&amp;" dB: reveja a posição antes de aprofundar",IF(L43="Corte largo","Estreite o corte: Q de pelo menos "&amp;$L$6,"Manter")))))</f>
        <v/>
      </c>
      <c r="N43" s="37"/>
    </row>
    <row r="44" customFormat="false" ht="19.5" hidden="false" customHeight="true" outlineLevel="0" collapsed="false">
      <c r="B44" s="19" t="n">
        <v>18</v>
      </c>
      <c r="C44" s="37"/>
      <c r="D44" s="20" t="str">
        <f aca="false">IF(OR(C44="",E44=""),"",COUNTIF($C$27:C44,C44))</f>
        <v/>
      </c>
      <c r="E44" s="38"/>
      <c r="F44" s="39"/>
      <c r="G44" s="38"/>
      <c r="H44" s="38"/>
      <c r="I44" s="20" t="str">
        <f aca="false">IF(E44="","",IF(E44&lt;250,"Grave",IF(E44&lt;500,"Médio-grave",IF(E44&lt;2000,"Médio",IF(E44&lt;=5000,"Médio-agudo","Agudo")))))</f>
        <v/>
      </c>
      <c r="J44" s="25" t="str">
        <f aca="false">IF(OR(E44="",AND(H44&lt;&gt;"Gráfico",OR(G44="",G44&lt;=0))),"",IF(H44="Gráfico",0.33,ROUND(2*LOG10(1/(2*G44)+(1/(4*G44^2)+1)^0.5)/LOG10(2),2)))</f>
        <v/>
      </c>
      <c r="K44" s="20" t="str">
        <f aca="false">IF(OR(E44="",AND(H44&lt;&gt;"Gráfico",OR(G44="",G44&lt;=0))),"",ROUND(E44*IF(H44="Gráfico",0.232,1/G44),0))</f>
        <v/>
      </c>
      <c r="L44" s="23" t="str">
        <f aca="false">IF(E44="","",IF(COUNTIF($C$14:$C$21,C44)=0,"Saída?",IF(AND(F44&lt;&gt;"",F44&gt;0),"Realce",IF(AND(F44&lt;&gt;"",F44&lt;$L$5),"Corte fundo",IF(AND(H44&lt;&gt;"Gráfico",G44&lt;&gt;"",G44&lt;$L$6),"Corte largo","OK")))))</f>
        <v/>
      </c>
      <c r="M44" s="24" t="str">
        <f aca="false">IF(L44="","",IF(L44="Saída?","Escreva a saída igual à da tabela de cima",IF(L44="Realce","Realce aumenta o ganho do ciclo: troque por corte",IF(L44="Corte fundo","Corte além de "&amp;ABS($L$5)&amp;" dB: reveja a posição antes de aprofundar",IF(L44="Corte largo","Estreite o corte: Q de pelo menos "&amp;$L$6,"Manter")))))</f>
        <v/>
      </c>
      <c r="N44" s="37"/>
    </row>
    <row r="45" customFormat="false" ht="19.5" hidden="false" customHeight="true" outlineLevel="0" collapsed="false">
      <c r="B45" s="19" t="n">
        <v>19</v>
      </c>
      <c r="C45" s="37"/>
      <c r="D45" s="20" t="str">
        <f aca="false">IF(OR(C45="",E45=""),"",COUNTIF($C$27:C45,C45))</f>
        <v/>
      </c>
      <c r="E45" s="38"/>
      <c r="F45" s="39"/>
      <c r="G45" s="38"/>
      <c r="H45" s="38"/>
      <c r="I45" s="20" t="str">
        <f aca="false">IF(E45="","",IF(E45&lt;250,"Grave",IF(E45&lt;500,"Médio-grave",IF(E45&lt;2000,"Médio",IF(E45&lt;=5000,"Médio-agudo","Agudo")))))</f>
        <v/>
      </c>
      <c r="J45" s="25" t="str">
        <f aca="false">IF(OR(E45="",AND(H45&lt;&gt;"Gráfico",OR(G45="",G45&lt;=0))),"",IF(H45="Gráfico",0.33,ROUND(2*LOG10(1/(2*G45)+(1/(4*G45^2)+1)^0.5)/LOG10(2),2)))</f>
        <v/>
      </c>
      <c r="K45" s="20" t="str">
        <f aca="false">IF(OR(E45="",AND(H45&lt;&gt;"Gráfico",OR(G45="",G45&lt;=0))),"",ROUND(E45*IF(H45="Gráfico",0.232,1/G45),0))</f>
        <v/>
      </c>
      <c r="L45" s="23" t="str">
        <f aca="false">IF(E45="","",IF(COUNTIF($C$14:$C$21,C45)=0,"Saída?",IF(AND(F45&lt;&gt;"",F45&gt;0),"Realce",IF(AND(F45&lt;&gt;"",F45&lt;$L$5),"Corte fundo",IF(AND(H45&lt;&gt;"Gráfico",G45&lt;&gt;"",G45&lt;$L$6),"Corte largo","OK")))))</f>
        <v/>
      </c>
      <c r="M45" s="24" t="str">
        <f aca="false">IF(L45="","",IF(L45="Saída?","Escreva a saída igual à da tabela de cima",IF(L45="Realce","Realce aumenta o ganho do ciclo: troque por corte",IF(L45="Corte fundo","Corte além de "&amp;ABS($L$5)&amp;" dB: reveja a posição antes de aprofundar",IF(L45="Corte largo","Estreite o corte: Q de pelo menos "&amp;$L$6,"Manter")))))</f>
        <v/>
      </c>
      <c r="N45" s="37"/>
    </row>
    <row r="46" customFormat="false" ht="19.5" hidden="false" customHeight="true" outlineLevel="0" collapsed="false">
      <c r="B46" s="19" t="n">
        <v>20</v>
      </c>
      <c r="C46" s="37"/>
      <c r="D46" s="20" t="str">
        <f aca="false">IF(OR(C46="",E46=""),"",COUNTIF($C$27:C46,C46))</f>
        <v/>
      </c>
      <c r="E46" s="38"/>
      <c r="F46" s="39"/>
      <c r="G46" s="38"/>
      <c r="H46" s="38"/>
      <c r="I46" s="20" t="str">
        <f aca="false">IF(E46="","",IF(E46&lt;250,"Grave",IF(E46&lt;500,"Médio-grave",IF(E46&lt;2000,"Médio",IF(E46&lt;=5000,"Médio-agudo","Agudo")))))</f>
        <v/>
      </c>
      <c r="J46" s="25" t="str">
        <f aca="false">IF(OR(E46="",AND(H46&lt;&gt;"Gráfico",OR(G46="",G46&lt;=0))),"",IF(H46="Gráfico",0.33,ROUND(2*LOG10(1/(2*G46)+(1/(4*G46^2)+1)^0.5)/LOG10(2),2)))</f>
        <v/>
      </c>
      <c r="K46" s="20" t="str">
        <f aca="false">IF(OR(E46="",AND(H46&lt;&gt;"Gráfico",OR(G46="",G46&lt;=0))),"",ROUND(E46*IF(H46="Gráfico",0.232,1/G46),0))</f>
        <v/>
      </c>
      <c r="L46" s="23" t="str">
        <f aca="false">IF(E46="","",IF(COUNTIF($C$14:$C$21,C46)=0,"Saída?",IF(AND(F46&lt;&gt;"",F46&gt;0),"Realce",IF(AND(F46&lt;&gt;"",F46&lt;$L$5),"Corte fundo",IF(AND(H46&lt;&gt;"Gráfico",G46&lt;&gt;"",G46&lt;$L$6),"Corte largo","OK")))))</f>
        <v/>
      </c>
      <c r="M46" s="24" t="str">
        <f aca="false">IF(L46="","",IF(L46="Saída?","Escreva a saída igual à da tabela de cima",IF(L46="Realce","Realce aumenta o ganho do ciclo: troque por corte",IF(L46="Corte fundo","Corte além de "&amp;ABS($L$5)&amp;" dB: reveja a posição antes de aprofundar",IF(L46="Corte largo","Estreite o corte: Q de pelo menos "&amp;$L$6,"Manter")))))</f>
        <v/>
      </c>
      <c r="N46" s="37"/>
    </row>
    <row r="47" customFormat="false" ht="19.5" hidden="false" customHeight="true" outlineLevel="0" collapsed="false">
      <c r="B47" s="19" t="n">
        <v>21</v>
      </c>
      <c r="C47" s="37"/>
      <c r="D47" s="20" t="str">
        <f aca="false">IF(OR(C47="",E47=""),"",COUNTIF($C$27:C47,C47))</f>
        <v/>
      </c>
      <c r="E47" s="38"/>
      <c r="F47" s="39"/>
      <c r="G47" s="38"/>
      <c r="H47" s="38"/>
      <c r="I47" s="20" t="str">
        <f aca="false">IF(E47="","",IF(E47&lt;250,"Grave",IF(E47&lt;500,"Médio-grave",IF(E47&lt;2000,"Médio",IF(E47&lt;=5000,"Médio-agudo","Agudo")))))</f>
        <v/>
      </c>
      <c r="J47" s="25" t="str">
        <f aca="false">IF(OR(E47="",AND(H47&lt;&gt;"Gráfico",OR(G47="",G47&lt;=0))),"",IF(H47="Gráfico",0.33,ROUND(2*LOG10(1/(2*G47)+(1/(4*G47^2)+1)^0.5)/LOG10(2),2)))</f>
        <v/>
      </c>
      <c r="K47" s="20" t="str">
        <f aca="false">IF(OR(E47="",AND(H47&lt;&gt;"Gráfico",OR(G47="",G47&lt;=0))),"",ROUND(E47*IF(H47="Gráfico",0.232,1/G47),0))</f>
        <v/>
      </c>
      <c r="L47" s="23" t="str">
        <f aca="false">IF(E47="","",IF(COUNTIF($C$14:$C$21,C47)=0,"Saída?",IF(AND(F47&lt;&gt;"",F47&gt;0),"Realce",IF(AND(F47&lt;&gt;"",F47&lt;$L$5),"Corte fundo",IF(AND(H47&lt;&gt;"Gráfico",G47&lt;&gt;"",G47&lt;$L$6),"Corte largo","OK")))))</f>
        <v/>
      </c>
      <c r="M47" s="24" t="str">
        <f aca="false">IF(L47="","",IF(L47="Saída?","Escreva a saída igual à da tabela de cima",IF(L47="Realce","Realce aumenta o ganho do ciclo: troque por corte",IF(L47="Corte fundo","Corte além de "&amp;ABS($L$5)&amp;" dB: reveja a posição antes de aprofundar",IF(L47="Corte largo","Estreite o corte: Q de pelo menos "&amp;$L$6,"Manter")))))</f>
        <v/>
      </c>
      <c r="N47" s="37"/>
    </row>
    <row r="48" customFormat="false" ht="19.5" hidden="false" customHeight="true" outlineLevel="0" collapsed="false">
      <c r="B48" s="19" t="n">
        <v>22</v>
      </c>
      <c r="C48" s="37"/>
      <c r="D48" s="20" t="str">
        <f aca="false">IF(OR(C48="",E48=""),"",COUNTIF($C$27:C48,C48))</f>
        <v/>
      </c>
      <c r="E48" s="38"/>
      <c r="F48" s="39"/>
      <c r="G48" s="38"/>
      <c r="H48" s="38"/>
      <c r="I48" s="20" t="str">
        <f aca="false">IF(E48="","",IF(E48&lt;250,"Grave",IF(E48&lt;500,"Médio-grave",IF(E48&lt;2000,"Médio",IF(E48&lt;=5000,"Médio-agudo","Agudo")))))</f>
        <v/>
      </c>
      <c r="J48" s="25" t="str">
        <f aca="false">IF(OR(E48="",AND(H48&lt;&gt;"Gráfico",OR(G48="",G48&lt;=0))),"",IF(H48="Gráfico",0.33,ROUND(2*LOG10(1/(2*G48)+(1/(4*G48^2)+1)^0.5)/LOG10(2),2)))</f>
        <v/>
      </c>
      <c r="K48" s="20" t="str">
        <f aca="false">IF(OR(E48="",AND(H48&lt;&gt;"Gráfico",OR(G48="",G48&lt;=0))),"",ROUND(E48*IF(H48="Gráfico",0.232,1/G48),0))</f>
        <v/>
      </c>
      <c r="L48" s="23" t="str">
        <f aca="false">IF(E48="","",IF(COUNTIF($C$14:$C$21,C48)=0,"Saída?",IF(AND(F48&lt;&gt;"",F48&gt;0),"Realce",IF(AND(F48&lt;&gt;"",F48&lt;$L$5),"Corte fundo",IF(AND(H48&lt;&gt;"Gráfico",G48&lt;&gt;"",G48&lt;$L$6),"Corte largo","OK")))))</f>
        <v/>
      </c>
      <c r="M48" s="24" t="str">
        <f aca="false">IF(L48="","",IF(L48="Saída?","Escreva a saída igual à da tabela de cima",IF(L48="Realce","Realce aumenta o ganho do ciclo: troque por corte",IF(L48="Corte fundo","Corte além de "&amp;ABS($L$5)&amp;" dB: reveja a posição antes de aprofundar",IF(L48="Corte largo","Estreite o corte: Q de pelo menos "&amp;$L$6,"Manter")))))</f>
        <v/>
      </c>
      <c r="N48" s="37"/>
    </row>
    <row r="49" customFormat="false" ht="19.5" hidden="false" customHeight="true" outlineLevel="0" collapsed="false">
      <c r="B49" s="19" t="n">
        <v>23</v>
      </c>
      <c r="C49" s="37"/>
      <c r="D49" s="20" t="str">
        <f aca="false">IF(OR(C49="",E49=""),"",COUNTIF($C$27:C49,C49))</f>
        <v/>
      </c>
      <c r="E49" s="38"/>
      <c r="F49" s="39"/>
      <c r="G49" s="38"/>
      <c r="H49" s="38"/>
      <c r="I49" s="20" t="str">
        <f aca="false">IF(E49="","",IF(E49&lt;250,"Grave",IF(E49&lt;500,"Médio-grave",IF(E49&lt;2000,"Médio",IF(E49&lt;=5000,"Médio-agudo","Agudo")))))</f>
        <v/>
      </c>
      <c r="J49" s="25" t="str">
        <f aca="false">IF(OR(E49="",AND(H49&lt;&gt;"Gráfico",OR(G49="",G49&lt;=0))),"",IF(H49="Gráfico",0.33,ROUND(2*LOG10(1/(2*G49)+(1/(4*G49^2)+1)^0.5)/LOG10(2),2)))</f>
        <v/>
      </c>
      <c r="K49" s="20" t="str">
        <f aca="false">IF(OR(E49="",AND(H49&lt;&gt;"Gráfico",OR(G49="",G49&lt;=0))),"",ROUND(E49*IF(H49="Gráfico",0.232,1/G49),0))</f>
        <v/>
      </c>
      <c r="L49" s="23" t="str">
        <f aca="false">IF(E49="","",IF(COUNTIF($C$14:$C$21,C49)=0,"Saída?",IF(AND(F49&lt;&gt;"",F49&gt;0),"Realce",IF(AND(F49&lt;&gt;"",F49&lt;$L$5),"Corte fundo",IF(AND(H49&lt;&gt;"Gráfico",G49&lt;&gt;"",G49&lt;$L$6),"Corte largo","OK")))))</f>
        <v/>
      </c>
      <c r="M49" s="24" t="str">
        <f aca="false">IF(L49="","",IF(L49="Saída?","Escreva a saída igual à da tabela de cima",IF(L49="Realce","Realce aumenta o ganho do ciclo: troque por corte",IF(L49="Corte fundo","Corte além de "&amp;ABS($L$5)&amp;" dB: reveja a posição antes de aprofundar",IF(L49="Corte largo","Estreite o corte: Q de pelo menos "&amp;$L$6,"Manter")))))</f>
        <v/>
      </c>
      <c r="N49" s="37"/>
    </row>
    <row r="50" customFormat="false" ht="19.5" hidden="false" customHeight="true" outlineLevel="0" collapsed="false">
      <c r="B50" s="19" t="n">
        <v>24</v>
      </c>
      <c r="C50" s="37"/>
      <c r="D50" s="20" t="str">
        <f aca="false">IF(OR(C50="",E50=""),"",COUNTIF($C$27:C50,C50))</f>
        <v/>
      </c>
      <c r="E50" s="38"/>
      <c r="F50" s="39"/>
      <c r="G50" s="38"/>
      <c r="H50" s="38"/>
      <c r="I50" s="20" t="str">
        <f aca="false">IF(E50="","",IF(E50&lt;250,"Grave",IF(E50&lt;500,"Médio-grave",IF(E50&lt;2000,"Médio",IF(E50&lt;=5000,"Médio-agudo","Agudo")))))</f>
        <v/>
      </c>
      <c r="J50" s="25" t="str">
        <f aca="false">IF(OR(E50="",AND(H50&lt;&gt;"Gráfico",OR(G50="",G50&lt;=0))),"",IF(H50="Gráfico",0.33,ROUND(2*LOG10(1/(2*G50)+(1/(4*G50^2)+1)^0.5)/LOG10(2),2)))</f>
        <v/>
      </c>
      <c r="K50" s="20" t="str">
        <f aca="false">IF(OR(E50="",AND(H50&lt;&gt;"Gráfico",OR(G50="",G50&lt;=0))),"",ROUND(E50*IF(H50="Gráfico",0.232,1/G50),0))</f>
        <v/>
      </c>
      <c r="L50" s="23" t="str">
        <f aca="false">IF(E50="","",IF(COUNTIF($C$14:$C$21,C50)=0,"Saída?",IF(AND(F50&lt;&gt;"",F50&gt;0),"Realce",IF(AND(F50&lt;&gt;"",F50&lt;$L$5),"Corte fundo",IF(AND(H50&lt;&gt;"Gráfico",G50&lt;&gt;"",G50&lt;$L$6),"Corte largo","OK")))))</f>
        <v/>
      </c>
      <c r="M50" s="24" t="str">
        <f aca="false">IF(L50="","",IF(L50="Saída?","Escreva a saída igual à da tabela de cima",IF(L50="Realce","Realce aumenta o ganho do ciclo: troque por corte",IF(L50="Corte fundo","Corte além de "&amp;ABS($L$5)&amp;" dB: reveja a posição antes de aprofundar",IF(L50="Corte largo","Estreite o corte: Q de pelo menos "&amp;$L$6,"Manter")))))</f>
        <v/>
      </c>
      <c r="N50" s="37"/>
    </row>
    <row r="51" customFormat="false" ht="19.5" hidden="false" customHeight="true" outlineLevel="0" collapsed="false">
      <c r="B51" s="19" t="n">
        <v>25</v>
      </c>
      <c r="C51" s="37"/>
      <c r="D51" s="20" t="str">
        <f aca="false">IF(OR(C51="",E51=""),"",COUNTIF($C$27:C51,C51))</f>
        <v/>
      </c>
      <c r="E51" s="38"/>
      <c r="F51" s="39"/>
      <c r="G51" s="38"/>
      <c r="H51" s="38"/>
      <c r="I51" s="20" t="str">
        <f aca="false">IF(E51="","",IF(E51&lt;250,"Grave",IF(E51&lt;500,"Médio-grave",IF(E51&lt;2000,"Médio",IF(E51&lt;=5000,"Médio-agudo","Agudo")))))</f>
        <v/>
      </c>
      <c r="J51" s="25" t="str">
        <f aca="false">IF(OR(E51="",AND(H51&lt;&gt;"Gráfico",OR(G51="",G51&lt;=0))),"",IF(H51="Gráfico",0.33,ROUND(2*LOG10(1/(2*G51)+(1/(4*G51^2)+1)^0.5)/LOG10(2),2)))</f>
        <v/>
      </c>
      <c r="K51" s="20" t="str">
        <f aca="false">IF(OR(E51="",AND(H51&lt;&gt;"Gráfico",OR(G51="",G51&lt;=0))),"",ROUND(E51*IF(H51="Gráfico",0.232,1/G51),0))</f>
        <v/>
      </c>
      <c r="L51" s="23" t="str">
        <f aca="false">IF(E51="","",IF(COUNTIF($C$14:$C$21,C51)=0,"Saída?",IF(AND(F51&lt;&gt;"",F51&gt;0),"Realce",IF(AND(F51&lt;&gt;"",F51&lt;$L$5),"Corte fundo",IF(AND(H51&lt;&gt;"Gráfico",G51&lt;&gt;"",G51&lt;$L$6),"Corte largo","OK")))))</f>
        <v/>
      </c>
      <c r="M51" s="24" t="str">
        <f aca="false">IF(L51="","",IF(L51="Saída?","Escreva a saída igual à da tabela de cima",IF(L51="Realce","Realce aumenta o ganho do ciclo: troque por corte",IF(L51="Corte fundo","Corte além de "&amp;ABS($L$5)&amp;" dB: reveja a posição antes de aprofundar",IF(L51="Corte largo","Estreite o corte: Q de pelo menos "&amp;$L$6,"Manter")))))</f>
        <v/>
      </c>
      <c r="N51" s="37"/>
    </row>
    <row r="52" customFormat="false" ht="19.5" hidden="false" customHeight="true" outlineLevel="0" collapsed="false">
      <c r="B52" s="19" t="n">
        <v>26</v>
      </c>
      <c r="C52" s="37"/>
      <c r="D52" s="20" t="str">
        <f aca="false">IF(OR(C52="",E52=""),"",COUNTIF($C$27:C52,C52))</f>
        <v/>
      </c>
      <c r="E52" s="38"/>
      <c r="F52" s="39"/>
      <c r="G52" s="38"/>
      <c r="H52" s="38"/>
      <c r="I52" s="20" t="str">
        <f aca="false">IF(E52="","",IF(E52&lt;250,"Grave",IF(E52&lt;500,"Médio-grave",IF(E52&lt;2000,"Médio",IF(E52&lt;=5000,"Médio-agudo","Agudo")))))</f>
        <v/>
      </c>
      <c r="J52" s="25" t="str">
        <f aca="false">IF(OR(E52="",AND(H52&lt;&gt;"Gráfico",OR(G52="",G52&lt;=0))),"",IF(H52="Gráfico",0.33,ROUND(2*LOG10(1/(2*G52)+(1/(4*G52^2)+1)^0.5)/LOG10(2),2)))</f>
        <v/>
      </c>
      <c r="K52" s="20" t="str">
        <f aca="false">IF(OR(E52="",AND(H52&lt;&gt;"Gráfico",OR(G52="",G52&lt;=0))),"",ROUND(E52*IF(H52="Gráfico",0.232,1/G52),0))</f>
        <v/>
      </c>
      <c r="L52" s="23" t="str">
        <f aca="false">IF(E52="","",IF(COUNTIF($C$14:$C$21,C52)=0,"Saída?",IF(AND(F52&lt;&gt;"",F52&gt;0),"Realce",IF(AND(F52&lt;&gt;"",F52&lt;$L$5),"Corte fundo",IF(AND(H52&lt;&gt;"Gráfico",G52&lt;&gt;"",G52&lt;$L$6),"Corte largo","OK")))))</f>
        <v/>
      </c>
      <c r="M52" s="24" t="str">
        <f aca="false">IF(L52="","",IF(L52="Saída?","Escreva a saída igual à da tabela de cima",IF(L52="Realce","Realce aumenta o ganho do ciclo: troque por corte",IF(L52="Corte fundo","Corte além de "&amp;ABS($L$5)&amp;" dB: reveja a posição antes de aprofundar",IF(L52="Corte largo","Estreite o corte: Q de pelo menos "&amp;$L$6,"Manter")))))</f>
        <v/>
      </c>
      <c r="N52" s="37"/>
    </row>
    <row r="53" customFormat="false" ht="19.5" hidden="false" customHeight="true" outlineLevel="0" collapsed="false">
      <c r="B53" s="19" t="n">
        <v>27</v>
      </c>
      <c r="C53" s="37"/>
      <c r="D53" s="20" t="str">
        <f aca="false">IF(OR(C53="",E53=""),"",COUNTIF($C$27:C53,C53))</f>
        <v/>
      </c>
      <c r="E53" s="38"/>
      <c r="F53" s="39"/>
      <c r="G53" s="38"/>
      <c r="H53" s="38"/>
      <c r="I53" s="20" t="str">
        <f aca="false">IF(E53="","",IF(E53&lt;250,"Grave",IF(E53&lt;500,"Médio-grave",IF(E53&lt;2000,"Médio",IF(E53&lt;=5000,"Médio-agudo","Agudo")))))</f>
        <v/>
      </c>
      <c r="J53" s="25" t="str">
        <f aca="false">IF(OR(E53="",AND(H53&lt;&gt;"Gráfico",OR(G53="",G53&lt;=0))),"",IF(H53="Gráfico",0.33,ROUND(2*LOG10(1/(2*G53)+(1/(4*G53^2)+1)^0.5)/LOG10(2),2)))</f>
        <v/>
      </c>
      <c r="K53" s="20" t="str">
        <f aca="false">IF(OR(E53="",AND(H53&lt;&gt;"Gráfico",OR(G53="",G53&lt;=0))),"",ROUND(E53*IF(H53="Gráfico",0.232,1/G53),0))</f>
        <v/>
      </c>
      <c r="L53" s="23" t="str">
        <f aca="false">IF(E53="","",IF(COUNTIF($C$14:$C$21,C53)=0,"Saída?",IF(AND(F53&lt;&gt;"",F53&gt;0),"Realce",IF(AND(F53&lt;&gt;"",F53&lt;$L$5),"Corte fundo",IF(AND(H53&lt;&gt;"Gráfico",G53&lt;&gt;"",G53&lt;$L$6),"Corte largo","OK")))))</f>
        <v/>
      </c>
      <c r="M53" s="24" t="str">
        <f aca="false">IF(L53="","",IF(L53="Saída?","Escreva a saída igual à da tabela de cima",IF(L53="Realce","Realce aumenta o ganho do ciclo: troque por corte",IF(L53="Corte fundo","Corte além de "&amp;ABS($L$5)&amp;" dB: reveja a posição antes de aprofundar",IF(L53="Corte largo","Estreite o corte: Q de pelo menos "&amp;$L$6,"Manter")))))</f>
        <v/>
      </c>
      <c r="N53" s="37"/>
    </row>
    <row r="54" customFormat="false" ht="19.5" hidden="false" customHeight="true" outlineLevel="0" collapsed="false">
      <c r="B54" s="19" t="n">
        <v>28</v>
      </c>
      <c r="C54" s="37"/>
      <c r="D54" s="20" t="str">
        <f aca="false">IF(OR(C54="",E54=""),"",COUNTIF($C$27:C54,C54))</f>
        <v/>
      </c>
      <c r="E54" s="38"/>
      <c r="F54" s="39"/>
      <c r="G54" s="38"/>
      <c r="H54" s="38"/>
      <c r="I54" s="20" t="str">
        <f aca="false">IF(E54="","",IF(E54&lt;250,"Grave",IF(E54&lt;500,"Médio-grave",IF(E54&lt;2000,"Médio",IF(E54&lt;=5000,"Médio-agudo","Agudo")))))</f>
        <v/>
      </c>
      <c r="J54" s="25" t="str">
        <f aca="false">IF(OR(E54="",AND(H54&lt;&gt;"Gráfico",OR(G54="",G54&lt;=0))),"",IF(H54="Gráfico",0.33,ROUND(2*LOG10(1/(2*G54)+(1/(4*G54^2)+1)^0.5)/LOG10(2),2)))</f>
        <v/>
      </c>
      <c r="K54" s="20" t="str">
        <f aca="false">IF(OR(E54="",AND(H54&lt;&gt;"Gráfico",OR(G54="",G54&lt;=0))),"",ROUND(E54*IF(H54="Gráfico",0.232,1/G54),0))</f>
        <v/>
      </c>
      <c r="L54" s="23" t="str">
        <f aca="false">IF(E54="","",IF(COUNTIF($C$14:$C$21,C54)=0,"Saída?",IF(AND(F54&lt;&gt;"",F54&gt;0),"Realce",IF(AND(F54&lt;&gt;"",F54&lt;$L$5),"Corte fundo",IF(AND(H54&lt;&gt;"Gráfico",G54&lt;&gt;"",G54&lt;$L$6),"Corte largo","OK")))))</f>
        <v/>
      </c>
      <c r="M54" s="24" t="str">
        <f aca="false">IF(L54="","",IF(L54="Saída?","Escreva a saída igual à da tabela de cima",IF(L54="Realce","Realce aumenta o ganho do ciclo: troque por corte",IF(L54="Corte fundo","Corte além de "&amp;ABS($L$5)&amp;" dB: reveja a posição antes de aprofundar",IF(L54="Corte largo","Estreite o corte: Q de pelo menos "&amp;$L$6,"Manter")))))</f>
        <v/>
      </c>
      <c r="N54" s="37"/>
    </row>
    <row r="55" customFormat="false" ht="19.5" hidden="false" customHeight="true" outlineLevel="0" collapsed="false">
      <c r="B55" s="19" t="n">
        <v>29</v>
      </c>
      <c r="C55" s="37"/>
      <c r="D55" s="20" t="str">
        <f aca="false">IF(OR(C55="",E55=""),"",COUNTIF($C$27:C55,C55))</f>
        <v/>
      </c>
      <c r="E55" s="38"/>
      <c r="F55" s="39"/>
      <c r="G55" s="38"/>
      <c r="H55" s="38"/>
      <c r="I55" s="20" t="str">
        <f aca="false">IF(E55="","",IF(E55&lt;250,"Grave",IF(E55&lt;500,"Médio-grave",IF(E55&lt;2000,"Médio",IF(E55&lt;=5000,"Médio-agudo","Agudo")))))</f>
        <v/>
      </c>
      <c r="J55" s="25" t="str">
        <f aca="false">IF(OR(E55="",AND(H55&lt;&gt;"Gráfico",OR(G55="",G55&lt;=0))),"",IF(H55="Gráfico",0.33,ROUND(2*LOG10(1/(2*G55)+(1/(4*G55^2)+1)^0.5)/LOG10(2),2)))</f>
        <v/>
      </c>
      <c r="K55" s="20" t="str">
        <f aca="false">IF(OR(E55="",AND(H55&lt;&gt;"Gráfico",OR(G55="",G55&lt;=0))),"",ROUND(E55*IF(H55="Gráfico",0.232,1/G55),0))</f>
        <v/>
      </c>
      <c r="L55" s="23" t="str">
        <f aca="false">IF(E55="","",IF(COUNTIF($C$14:$C$21,C55)=0,"Saída?",IF(AND(F55&lt;&gt;"",F55&gt;0),"Realce",IF(AND(F55&lt;&gt;"",F55&lt;$L$5),"Corte fundo",IF(AND(H55&lt;&gt;"Gráfico",G55&lt;&gt;"",G55&lt;$L$6),"Corte largo","OK")))))</f>
        <v/>
      </c>
      <c r="M55" s="24" t="str">
        <f aca="false">IF(L55="","",IF(L55="Saída?","Escreva a saída igual à da tabela de cima",IF(L55="Realce","Realce aumenta o ganho do ciclo: troque por corte",IF(L55="Corte fundo","Corte além de "&amp;ABS($L$5)&amp;" dB: reveja a posição antes de aprofundar",IF(L55="Corte largo","Estreite o corte: Q de pelo menos "&amp;$L$6,"Manter")))))</f>
        <v/>
      </c>
      <c r="N55" s="37"/>
    </row>
    <row r="56" customFormat="false" ht="19.5" hidden="false" customHeight="true" outlineLevel="0" collapsed="false">
      <c r="B56" s="19" t="n">
        <v>30</v>
      </c>
      <c r="C56" s="37"/>
      <c r="D56" s="20" t="str">
        <f aca="false">IF(OR(C56="",E56=""),"",COUNTIF($C$27:C56,C56))</f>
        <v/>
      </c>
      <c r="E56" s="38"/>
      <c r="F56" s="39"/>
      <c r="G56" s="38"/>
      <c r="H56" s="38"/>
      <c r="I56" s="20" t="str">
        <f aca="false">IF(E56="","",IF(E56&lt;250,"Grave",IF(E56&lt;500,"Médio-grave",IF(E56&lt;2000,"Médio",IF(E56&lt;=5000,"Médio-agudo","Agudo")))))</f>
        <v/>
      </c>
      <c r="J56" s="25" t="str">
        <f aca="false">IF(OR(E56="",AND(H56&lt;&gt;"Gráfico",OR(G56="",G56&lt;=0))),"",IF(H56="Gráfico",0.33,ROUND(2*LOG10(1/(2*G56)+(1/(4*G56^2)+1)^0.5)/LOG10(2),2)))</f>
        <v/>
      </c>
      <c r="K56" s="20" t="str">
        <f aca="false">IF(OR(E56="",AND(H56&lt;&gt;"Gráfico",OR(G56="",G56&lt;=0))),"",ROUND(E56*IF(H56="Gráfico",0.232,1/G56),0))</f>
        <v/>
      </c>
      <c r="L56" s="23" t="str">
        <f aca="false">IF(E56="","",IF(COUNTIF($C$14:$C$21,C56)=0,"Saída?",IF(AND(F56&lt;&gt;"",F56&gt;0),"Realce",IF(AND(F56&lt;&gt;"",F56&lt;$L$5),"Corte fundo",IF(AND(H56&lt;&gt;"Gráfico",G56&lt;&gt;"",G56&lt;$L$6),"Corte largo","OK")))))</f>
        <v/>
      </c>
      <c r="M56" s="24" t="str">
        <f aca="false">IF(L56="","",IF(L56="Saída?","Escreva a saída igual à da tabela de cima",IF(L56="Realce","Realce aumenta o ganho do ciclo: troque por corte",IF(L56="Corte fundo","Corte além de "&amp;ABS($L$5)&amp;" dB: reveja a posição antes de aprofundar",IF(L56="Corte largo","Estreite o corte: Q de pelo menos "&amp;$L$6,"Manter")))))</f>
        <v/>
      </c>
      <c r="N56" s="37"/>
    </row>
    <row r="58" customFormat="false" ht="21.75" hidden="false" customHeight="true" outlineLevel="0" collapsed="false">
      <c r="B58" s="13" t="s">
        <v>111</v>
      </c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customFormat="false" ht="19.5" hidden="false" customHeight="true" outlineLevel="0" collapsed="false">
      <c r="B59" s="26" t="s">
        <v>112</v>
      </c>
      <c r="C59" s="26"/>
      <c r="D59" s="26"/>
      <c r="E59" s="26"/>
      <c r="F59" s="23" t="n">
        <f aca="false">COUNTA(C14:C21)</f>
        <v>3</v>
      </c>
      <c r="G59" s="23"/>
    </row>
    <row r="60" customFormat="false" ht="19.5" hidden="false" customHeight="true" outlineLevel="0" collapsed="false">
      <c r="B60" s="26" t="s">
        <v>113</v>
      </c>
      <c r="C60" s="26"/>
      <c r="D60" s="26"/>
      <c r="E60" s="26"/>
      <c r="F60" s="23" t="n">
        <f aca="false">COUNTIF($L$14:$L$21,"OK")</f>
        <v>1</v>
      </c>
      <c r="G60" s="23"/>
    </row>
    <row r="61" customFormat="false" ht="19.5" hidden="false" customHeight="true" outlineLevel="0" collapsed="false">
      <c r="B61" s="26" t="s">
        <v>114</v>
      </c>
      <c r="C61" s="26"/>
      <c r="D61" s="26"/>
      <c r="E61" s="26"/>
      <c r="F61" s="23" t="n">
        <f aca="false">COUNTIF($L$14:$L$21,"Sem margem")+COUNTIF($L$14:$L$21,"Margem curta")</f>
        <v>1</v>
      </c>
      <c r="G61" s="23"/>
    </row>
    <row r="62" customFormat="false" ht="19.5" hidden="false" customHeight="true" outlineLevel="0" collapsed="false">
      <c r="B62" s="26" t="s">
        <v>115</v>
      </c>
      <c r="C62" s="26"/>
      <c r="D62" s="26"/>
      <c r="E62" s="26"/>
      <c r="F62" s="22" t="n">
        <f aca="false">IF(COUNT(K14:K21)=0,"",MIN(K14:K21))</f>
        <v>4</v>
      </c>
      <c r="G62" s="22"/>
    </row>
    <row r="63" customFormat="false" ht="19.5" hidden="false" customHeight="true" outlineLevel="0" collapsed="false">
      <c r="B63" s="26" t="s">
        <v>116</v>
      </c>
      <c r="C63" s="26"/>
      <c r="D63" s="26"/>
      <c r="E63" s="26"/>
      <c r="F63" s="23" t="n">
        <f aca="false">COUNT(E27:E56)</f>
        <v>9</v>
      </c>
      <c r="G63" s="23"/>
    </row>
    <row r="64" customFormat="false" ht="19.5" hidden="false" customHeight="true" outlineLevel="0" collapsed="false">
      <c r="B64" s="26" t="s">
        <v>117</v>
      </c>
      <c r="C64" s="26"/>
      <c r="D64" s="26"/>
      <c r="E64" s="26"/>
      <c r="F64" s="23" t="n">
        <f aca="false">COUNTIF($L$27:$L$56,"Corte fundo")+COUNTIF($L$27:$L$56,"Corte largo")+COUNTIF($L$27:$L$56,"Realce")+COUNTIF($L$27:$L$56,"Saída?")</f>
        <v>2</v>
      </c>
      <c r="G64" s="23"/>
    </row>
    <row r="65" customFormat="false" ht="21.75" hidden="false" customHeight="true" outlineLevel="0" collapsed="false">
      <c r="B65" s="26" t="s">
        <v>118</v>
      </c>
      <c r="C65" s="26"/>
      <c r="D65" s="26"/>
      <c r="E65" s="26"/>
      <c r="F65" s="27" t="str">
        <f aca="false">IF(COUNT(L4:L7)&lt;4,"Informe os quatro parâmetros",IF(F59=0,"Liste as saídas",IF(F61&gt;0,"Há saída sem a margem mínima: baixe o nível ou reveja a posição",IF(F60&lt;F59,"Há saída a rever: veja a coluna O que fazer",IF(F64&gt;0,"Há corte a rever","OK")))))</f>
        <v>Há saída sem a margem mínima: baixe o nível ou reveja a posição</v>
      </c>
      <c r="G65" s="27"/>
      <c r="H65" s="27"/>
      <c r="I65" s="27"/>
      <c r="J65" s="27"/>
      <c r="K65" s="27"/>
      <c r="L65" s="27"/>
      <c r="M65" s="27"/>
    </row>
    <row r="66" customFormat="false" ht="15" hidden="false" customHeight="true" outlineLevel="0" collapsed="false">
      <c r="B66" s="10" t="s">
        <v>119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</row>
    <row r="68" customFormat="false" ht="21.75" hidden="false" customHeight="true" outlineLevel="0" collapsed="false">
      <c r="B68" s="13" t="s">
        <v>337</v>
      </c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</row>
    <row r="69" customFormat="false" ht="21.75" hidden="false" customHeight="true" outlineLevel="0" collapsed="false">
      <c r="B69" s="23" t="s">
        <v>75</v>
      </c>
      <c r="C69" s="23"/>
      <c r="D69" s="8" t="s">
        <v>338</v>
      </c>
      <c r="E69" s="8"/>
      <c r="F69" s="8"/>
      <c r="G69" s="8"/>
      <c r="H69" s="8"/>
      <c r="I69" s="8"/>
      <c r="J69" s="8"/>
      <c r="K69" s="8"/>
      <c r="L69" s="8"/>
      <c r="M69" s="23" t="s">
        <v>339</v>
      </c>
      <c r="N69" s="23"/>
    </row>
    <row r="70" customFormat="false" ht="31.5" hidden="false" customHeight="true" outlineLevel="0" collapsed="false">
      <c r="B70" s="4" t="s">
        <v>340</v>
      </c>
      <c r="C70" s="4"/>
      <c r="D70" s="7" t="s">
        <v>341</v>
      </c>
      <c r="E70" s="7"/>
      <c r="F70" s="7"/>
      <c r="G70" s="7"/>
      <c r="H70" s="7"/>
      <c r="I70" s="7"/>
      <c r="J70" s="7"/>
      <c r="K70" s="7"/>
      <c r="L70" s="7"/>
      <c r="M70" s="7" t="s">
        <v>342</v>
      </c>
      <c r="N70" s="7"/>
    </row>
    <row r="71" customFormat="false" ht="31.5" hidden="false" customHeight="true" outlineLevel="0" collapsed="false">
      <c r="B71" s="4" t="s">
        <v>136</v>
      </c>
      <c r="C71" s="4"/>
      <c r="D71" s="7" t="s">
        <v>343</v>
      </c>
      <c r="E71" s="7"/>
      <c r="F71" s="7"/>
      <c r="G71" s="7"/>
      <c r="H71" s="7"/>
      <c r="I71" s="7"/>
      <c r="J71" s="7"/>
      <c r="K71" s="7"/>
      <c r="L71" s="7"/>
      <c r="M71" s="7" t="s">
        <v>344</v>
      </c>
      <c r="N71" s="7"/>
    </row>
    <row r="72" customFormat="false" ht="31.5" hidden="false" customHeight="true" outlineLevel="0" collapsed="false">
      <c r="B72" s="4" t="s">
        <v>345</v>
      </c>
      <c r="C72" s="4"/>
      <c r="D72" s="7" t="s">
        <v>346</v>
      </c>
      <c r="E72" s="7"/>
      <c r="F72" s="7"/>
      <c r="G72" s="7"/>
      <c r="H72" s="7"/>
      <c r="I72" s="7"/>
      <c r="J72" s="7"/>
      <c r="K72" s="7"/>
      <c r="L72" s="7"/>
      <c r="M72" s="7"/>
      <c r="N72" s="7"/>
    </row>
  </sheetData>
  <mergeCells count="54">
    <mergeCell ref="B1:N1"/>
    <mergeCell ref="B2:N2"/>
    <mergeCell ref="B4:C4"/>
    <mergeCell ref="D4:H4"/>
    <mergeCell ref="I4:K4"/>
    <mergeCell ref="M4:N4"/>
    <mergeCell ref="B5:C5"/>
    <mergeCell ref="D5:H5"/>
    <mergeCell ref="I5:K5"/>
    <mergeCell ref="M5:N5"/>
    <mergeCell ref="B6:C6"/>
    <mergeCell ref="D6:H6"/>
    <mergeCell ref="I6:K6"/>
    <mergeCell ref="M6:N6"/>
    <mergeCell ref="B7:C7"/>
    <mergeCell ref="D7:H7"/>
    <mergeCell ref="I7:K7"/>
    <mergeCell ref="M7:N7"/>
    <mergeCell ref="B8:C8"/>
    <mergeCell ref="D8:H8"/>
    <mergeCell ref="I8:N8"/>
    <mergeCell ref="B10:N10"/>
    <mergeCell ref="B13:N13"/>
    <mergeCell ref="B23:N23"/>
    <mergeCell ref="B26:N26"/>
    <mergeCell ref="B58:N58"/>
    <mergeCell ref="B59:E59"/>
    <mergeCell ref="F59:G59"/>
    <mergeCell ref="B60:E60"/>
    <mergeCell ref="F60:G60"/>
    <mergeCell ref="B61:E61"/>
    <mergeCell ref="F61:G61"/>
    <mergeCell ref="B62:E62"/>
    <mergeCell ref="F62:G62"/>
    <mergeCell ref="B63:E63"/>
    <mergeCell ref="F63:G63"/>
    <mergeCell ref="B64:E64"/>
    <mergeCell ref="F64:G64"/>
    <mergeCell ref="B65:E65"/>
    <mergeCell ref="F65:M65"/>
    <mergeCell ref="B66:N66"/>
    <mergeCell ref="B68:N68"/>
    <mergeCell ref="B69:C69"/>
    <mergeCell ref="D69:L69"/>
    <mergeCell ref="M69:N69"/>
    <mergeCell ref="B70:C70"/>
    <mergeCell ref="D70:L70"/>
    <mergeCell ref="M70:N70"/>
    <mergeCell ref="B71:C71"/>
    <mergeCell ref="D71:L71"/>
    <mergeCell ref="M71:N71"/>
    <mergeCell ref="B72:C72"/>
    <mergeCell ref="D72:L72"/>
    <mergeCell ref="M72:N72"/>
  </mergeCells>
  <conditionalFormatting sqref="L14:L21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"Sem margem"</formula>
    </cfRule>
    <cfRule type="cellIs" priority="4" operator="equal" aboveAverage="0" equalAverage="0" bottom="0" percent="0" rank="0" text="" dxfId="2">
      <formula>"Margem curta"</formula>
    </cfRule>
    <cfRule type="cellIs" priority="5" operator="equal" aboveAverage="0" equalAverage="0" bottom="0" percent="0" rank="0" text="" dxfId="2">
      <formula>"Cortes demais"</formula>
    </cfRule>
    <cfRule type="cellIs" priority="6" operator="equal" aboveAverage="0" equalAverage="0" bottom="0" percent="0" rank="0" text="" dxfId="2">
      <formula>"Rever cortes"</formula>
    </cfRule>
    <cfRule type="cellIs" priority="7" operator="equal" aboveAverage="0" equalAverage="0" bottom="0" percent="0" rank="0" text="" dxfId="2">
      <formula>"Incompleto"</formula>
    </cfRule>
    <cfRule type="cellIs" priority="8" operator="equal" aboveAverage="0" equalAverage="0" bottom="0" percent="0" rank="0" text="" dxfId="2">
      <formula>"Confira os níveis"</formula>
    </cfRule>
  </conditionalFormatting>
  <conditionalFormatting sqref="L27:L56">
    <cfRule type="cellIs" priority="9" operator="equal" aboveAverage="0" equalAverage="0" bottom="0" percent="0" rank="0" text="" dxfId="0">
      <formula>"OK"</formula>
    </cfRule>
    <cfRule type="cellIs" priority="10" operator="equal" aboveAverage="0" equalAverage="0" bottom="0" percent="0" rank="0" text="" dxfId="1">
      <formula>"Realce"</formula>
    </cfRule>
    <cfRule type="cellIs" priority="11" operator="equal" aboveAverage="0" equalAverage="0" bottom="0" percent="0" rank="0" text="" dxfId="2">
      <formula>"Corte fundo"</formula>
    </cfRule>
    <cfRule type="cellIs" priority="12" operator="equal" aboveAverage="0" equalAverage="0" bottom="0" percent="0" rank="0" text="" dxfId="2">
      <formula>"Corte largo"</formula>
    </cfRule>
    <cfRule type="cellIs" priority="13" operator="equal" aboveAverage="0" equalAverage="0" bottom="0" percent="0" rank="0" text="" dxfId="2">
      <formula>"Saída?"</formula>
    </cfRule>
  </conditionalFormatting>
  <conditionalFormatting sqref="F65:M65">
    <cfRule type="cellIs" priority="14" operator="equal" aboveAverage="0" equalAverage="0" bottom="0" percent="0" rank="0" text="" dxfId="0">
      <formula>"OK"</formula>
    </cfRule>
    <cfRule type="cellIs" priority="15" operator="notEqual" aboveAverage="0" equalAverage="0" bottom="0" percent="0" rank="0" text="" dxfId="2">
      <formula>"OK"</formula>
    </cfRule>
  </conditionalFormatting>
  <dataValidations count="7">
    <dataValidation allowBlank="true" error="Digite uma data no formato dia/mês/ano." errorStyle="stop" errorTitle="Data inválida" operator="greaterThanOrEqual" showDropDown="false" showErrorMessage="true" showInputMessage="false" sqref="D6" type="date">
      <formula1>36526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L4:L7" type="decimal">
      <formula1>-1000000000</formula1>
      <formula2>1000000000</formula2>
    </dataValidation>
    <dataValidation allowBlank="true" error="Escolha uma das opções da lista." errorStyle="stop" errorTitle="Valor inválido" operator="between" prompt="Tipo de saída." promptTitle="Opções" showDropDown="false" showErrorMessage="true" showInputMessage="true" sqref="D14:D21" type="list">
      <formula1>"Retorno,Frente,Lateral (side fill),Delay ou front fill,Outra"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E14:H21" type="decimal">
      <formula1>-1000000000</formula1>
      <formula2>1000000000</formula2>
    </dataValidation>
    <dataValidation allowBlank="true" error="Escolha uma das saídas da tabela de cima." errorStyle="stop" errorTitle="Valor inválido" operator="between" prompt="Escolha uma saída já listada na tabela de cima." promptTitle="Opções" showDropDown="false" showErrorMessage="true" showInputMessage="true" sqref="C27:C56" type="list">
      <formula1>$C$14:$C$21</formula1>
      <formula2>0</formula2>
    </dataValidation>
    <dataValidation allowBlank="true" error="Escolha uma das opções da lista." errorStyle="stop" errorTitle="Valor inválido" operator="between" prompt="Paramétrico ou Gráfico." promptTitle="Opções" showDropDown="false" showErrorMessage="true" showInputMessage="true" sqref="H27:H56" type="list">
      <formula1>"Paramétrico,Gráfico"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E27:G56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2026-10-01T12:59:12Z</dcterms:created>
  <dc:creator>Estudos: Técnico em áudio e vídeo</dc:creator>
  <dc:description/>
  <dc:language>pt-BR</dc:language>
  <cp:lastModifiedBy/>
  <dcterms:modified xsi:type="dcterms:W3CDTF">2026-10-01T12:59:12Z</dcterms:modified>
  <cp:revision>0</cp:revision>
  <dc:subject/>
  <dc:title>Microfonia — modelo de ring-out e de ocorrências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