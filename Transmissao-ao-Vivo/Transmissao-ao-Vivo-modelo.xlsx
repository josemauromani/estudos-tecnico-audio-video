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Bitrate e upload" sheetId="2" state="visible" r:id="rId4"/>
    <sheet name="Configuração" sheetId="3" state="visible" r:id="rId5"/>
    <sheet name="Checklist" sheetId="4" state="visible" r:id="rId6"/>
    <sheet name="Quedas" sheetId="5" state="visible" r:id="rId7"/>
    <sheet name="Referência" sheetId="6" state="visible" r:id="rId8"/>
    <sheet name="Exemplo - Bitrate" sheetId="7" state="visible" r:id="rId9"/>
  </sheets>
  <definedNames>
    <definedName function="false" hidden="false" localSheetId="1" name="_xlnm.Print_Area" vbProcedure="false">'Bitrate e upload'!$B$1:$I$54</definedName>
    <definedName function="false" hidden="false" localSheetId="3" name="_xlnm.Print_Area" vbProcedure="false">Checklist!$B$1:$H$23</definedName>
    <definedName function="false" hidden="false" localSheetId="2" name="_xlnm.Print_Area" vbProcedure="false">Configuração!$B$1:$H$41</definedName>
    <definedName function="false" hidden="false" localSheetId="6" name="_xlnm.Print_Area" vbProcedure="false">'Exemplo - Bitrate'!$B$1:$I$61</definedName>
    <definedName function="false" hidden="false" localSheetId="0" name="_xlnm.Print_Area" vbProcedure="false">Instruções!$B$1:$C$40</definedName>
    <definedName function="false" hidden="false" localSheetId="4" name="_xlnm.Print_Area" vbProcedure="false">Quedas!$B$1:$J$47</definedName>
    <definedName function="false" hidden="false" localSheetId="5" name="_xlnm.Print_Area" vbProcedure="false">Referência!$B$1:$E$39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37" authorId="0">
      <text>
        <r>
          <rPr>
            <sz val="10"/>
            <rFont val="Arial"/>
            <family val="2"/>
          </rPr>
          <t xml:space="preserve">A fração máxima vem da seção 2 (50% como regra prática).
Entre a fração e 75%, a transmissão funciona no teste e trava quando a rede oscila.</t>
        </r>
      </text>
    </comment>
    <comment ref="C48" authorId="0">
      <text>
        <r>
          <rPr>
            <sz val="10"/>
            <rFont val="Arial"/>
            <family val="2"/>
          </rPr>
          <t xml:space="preserve">Resolução e quadros por segundo, sem espaço: 720p30 é 1280 × 720 a 30 quadros.
A seção 3 procura nesta coluna o formato escolhido na seção 2.</t>
        </r>
      </text>
    </comment>
    <comment ref="D11" authorId="0">
      <text>
        <r>
          <rPr>
            <sz val="10"/>
            <rFont val="Arial"/>
            <family val="2"/>
          </rPr>
          <t xml:space="preserve">Meça por cabo. A medição por Wi-Fi ou por rede móvel serve só para comparar, ou para o link de reserva.</t>
        </r>
      </text>
    </comment>
    <comment ref="E11" authorId="0">
      <text>
        <r>
          <rPr>
            <sz val="10"/>
            <rFont val="Arial"/>
            <family val="2"/>
          </rPr>
          <t xml:space="preserve">Velocidade de envio, em Mbps, lida em um teste de velocidade.
Não use o valor do contrato: use o que você mediu.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9" authorId="0">
      <text>
        <r>
          <rPr>
            <sz val="10"/>
            <rFont val="Arial"/>
            <family val="2"/>
          </rPr>
          <t xml:space="preserve">OK: confere com o ponto de partida.
Pendente: marcado como Não.
Rever, Baixo, Alto ou Clip: o valor está fora do ponto de partida.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7" authorId="0">
      <text>
        <r>
          <rPr>
            <sz val="10"/>
            <rFont val="Arial"/>
            <family val="2"/>
          </rPr>
          <t xml:space="preserve">Minutos antes do início em que o item deve estar resolvido.
Pode ser trocado conforme o seu evento.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9" authorId="0">
      <text>
        <r>
          <rPr>
            <sz val="10"/>
            <rFont val="Arial"/>
            <family val="2"/>
          </rPr>
          <t xml:space="preserve">Hora em que o problema começou, no formato 19:42.</t>
        </r>
      </text>
    </comment>
    <comment ref="F9" authorId="0">
      <text>
        <r>
          <rPr>
            <sz val="10"/>
            <rFont val="Arial"/>
            <family val="2"/>
          </rPr>
          <t xml:space="preserve">Minutos entre o início e o fim. Se a queda passar da meia-noite, a conta continua certa.</t>
        </r>
      </text>
    </comment>
  </commentList>
</comments>
</file>

<file path=xl/sharedStrings.xml><?xml version="1.0" encoding="utf-8"?>
<sst xmlns="http://schemas.openxmlformats.org/spreadsheetml/2006/main" count="578" uniqueCount="404">
  <si>
    <t xml:space="preserve">Transmissão ao vivo — como usar esta planilha</t>
  </si>
  <si>
    <t xml:space="preserve">Conta de bitrate e upload, ficha de configuração, checklist com horários e registro de quedas, para usar em cada transmissão.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</si>
  <si>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</si>
  <si>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</si>
  <si>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</si>
  <si>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</si>
  <si>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</si>
  <si>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</si>
  <si>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</si>
  <si>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</si>
  <si>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Conexão, resolução, quadros, Sim ou Não e as causas aceitam só as opções da lista.</t>
  </si>
  <si>
    <t xml:space="preserve">Números</t>
  </si>
  <si>
    <t xml:space="preserve">Digite só o número: 9,8 para o upload em Mbps, 4500 para o bitrate em kbps, -15 para o loudness.</t>
  </si>
  <si>
    <t xml:space="preserve">Horas</t>
  </si>
  <si>
    <t xml:space="preserve">Digite as horas no formato 19:00.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</si>
  <si>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</si>
  <si>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</si>
  <si>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</si>
  <si>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</si>
  <si>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Bitrate e upload: meça o upload no local, por cabo, pelo menos três vezes, e anote.</t>
  </si>
  <si>
    <t xml:space="preserve">2</t>
  </si>
  <si>
    <t xml:space="preserve">Aba Bitrate e upload: digite a configuração pretendida e veja a situação da rede e o que fazer.</t>
  </si>
  <si>
    <t xml:space="preserve">3</t>
  </si>
  <si>
    <t xml:space="preserve">Se não couber, escolha na tabela “Qual formato cabe” um formato com situação Cabe e refaça a conta.</t>
  </si>
  <si>
    <t xml:space="preserve">4</t>
  </si>
  <si>
    <t xml:space="preserve">Aba Configuração: depois do teste da véspera, anote o que ficou configurado e resolva as pendências.</t>
  </si>
  <si>
    <t xml:space="preserve">5</t>
  </si>
  <si>
    <t xml:space="preserve">Aba Checklist: digite o horário de início e siga os itens na ordem, cada um até a hora calculada.</t>
  </si>
  <si>
    <t xml:space="preserve">6</t>
  </si>
  <si>
    <t xml:space="preserve">Aba Quedas: durante a transmissão, registre cada falha, com a hora de início e a de fim.</t>
  </si>
  <si>
    <t xml:space="preserve">7</t>
  </si>
  <si>
    <t xml:space="preserve">Depois do evento, leve o resumo da aba Quedas para a reunião de revisão.</t>
  </si>
  <si>
    <t xml:space="preserve">Abas da planilha</t>
  </si>
  <si>
    <t xml:space="preserve">Bitrate e upload</t>
  </si>
  <si>
    <t xml:space="preserve">Medições de upload, configuração pretendida, situação da rede, consumo de dados e quais formatos cabem.</t>
  </si>
  <si>
    <t xml:space="preserve">Configuração</t>
  </si>
  <si>
    <t xml:space="preserve">A ficha da transmissão, em 26 itens, com o cálculo do atraso de sincronismo pelo teste da palma.</t>
  </si>
  <si>
    <t xml:space="preserve">Checklist</t>
  </si>
  <si>
    <t xml:space="preserve">Os doze itens do treinamento, com a hora limite de cada um e o percentual atendido.</t>
  </si>
  <si>
    <t xml:space="preserve">Quedas</t>
  </si>
  <si>
    <t xml:space="preserve">Registro de até 20 ocorrências, com duração, tempo total com problema e causa mais frequente.</t>
  </si>
  <si>
    <t xml:space="preserve">Referência</t>
  </si>
  <si>
    <t xml:space="preserve">Faixas de bitrate por formato, ajustes do codificador, áudio da transmissão e tabela de sintomas.</t>
  </si>
  <si>
    <t xml:space="preserve">Exemplo - Bitrate</t>
  </si>
  <si>
    <t xml:space="preserve">A igreja em que a transmissão travava com a sala cheia (exemplo 1 do treinamento).</t>
  </si>
  <si>
    <t xml:space="preserve">Regras e premissas do modelo</t>
  </si>
  <si>
    <t xml:space="preserve">Regra da metade</t>
  </si>
  <si>
    <t xml:space="preserve">O bitrate total (vídeo mais áudio) deve usar até cerca de metade do menor upload medido. É regra prática, e não norma: a fração fica em uma célula e pode ser trocada.</t>
  </si>
  <si>
    <t xml:space="preserve">Situação da rede</t>
  </si>
  <si>
    <t xml:space="preserve">OK até a fração máxima. Apertado entre a fração e 75% do upload. Insuficiente acima de 75%.</t>
  </si>
  <si>
    <t xml:space="preserve">Faixas de bitrate</t>
  </si>
  <si>
    <t xml:space="preserve">Valores de partida para o codec H.264. Cada plataforma publica a sua tabela: troque o mínimo e o máximo na tabela de formatos, no fim da aba.</t>
  </si>
  <si>
    <t xml:space="preserve">Consumo de dados</t>
  </si>
  <si>
    <t xml:space="preserve">Bitrate total × duração. Uma transmissão de 4.600 kbps consome cerca de 2 GB por hora.</t>
  </si>
  <si>
    <t xml:space="preserve">Sincronismo</t>
  </si>
  <si>
    <t xml:space="preserve">Atraso do áudio = quadros de diferença × 1.000 ÷ quadros por segundo. A 30 quadros, cada quadro vale 33 ms.</t>
  </si>
  <si>
    <t xml:space="preserve">Áudio</t>
  </si>
  <si>
    <t xml:space="preserve">Loudness de −16 a −14 LUFS e picos abaixo de −1 dBFS são ponto de partida para a internet. Confira a orientação da sua plataforma.</t>
  </si>
  <si>
    <t xml:space="preserve">Chave de transmissão</t>
  </si>
  <si>
    <t xml:space="preserve">A planilha não tem campo para a chave, de propósito. A chave é uma senha e não deve ficar em arquivo compartilhado.</t>
  </si>
  <si>
    <t xml:space="preserve">Exemplos</t>
  </si>
  <si>
    <t xml:space="preserve">Os dados da aba de exemplo e das linhas “Ex.” são ilustrativos, criados para este material.</t>
  </si>
  <si>
    <t xml:space="preserve">Bitrate e upload — a transmissão cabe na rede?</t>
  </si>
  <si>
    <t xml:space="preserve">Preencha as células em amarelo-claro com o que você mediu e com a configuração pretendida. As células cinza são calculadas.</t>
  </si>
  <si>
    <t xml:space="preserve">Evento</t>
  </si>
  <si>
    <t xml:space="preserve">Local</t>
  </si>
  <si>
    <t xml:space="preserve">Data</t>
  </si>
  <si>
    <t xml:space="preserve">Operador</t>
  </si>
  <si>
    <t xml:space="preserve">Plataforma</t>
  </si>
  <si>
    <t xml:space="preserve">1. Medições de upload: no local, por cabo, no computador da transmissão</t>
  </si>
  <si>
    <t xml:space="preserve">#</t>
  </si>
  <si>
    <t xml:space="preserve">Quando foi medido</t>
  </si>
  <si>
    <t xml:space="preserve">Conexão</t>
  </si>
  <si>
    <t xml:space="preserve">Upload</t>
  </si>
  <si>
    <t xml:space="preserve">Download</t>
  </si>
  <si>
    <t xml:space="preserve">Observação</t>
  </si>
  <si>
    <t xml:space="preserve">dia, hora e condição da sala</t>
  </si>
  <si>
    <t xml:space="preserve">lista</t>
  </si>
  <si>
    <t xml:space="preserve">Mbps</t>
  </si>
  <si>
    <t xml:space="preserve">Mbps (opcional)</t>
  </si>
  <si>
    <t xml:space="preserve">quem mais estava usando a rede</t>
  </si>
  <si>
    <t xml:space="preserve">Ex.</t>
  </si>
  <si>
    <t xml:space="preserve">Domingo, 18 h 30, sala enchendo</t>
  </si>
  <si>
    <t xml:space="preserve">Cabo</t>
  </si>
  <si>
    <t xml:space="preserve">Wi-Fi do público na mesma rede</t>
  </si>
  <si>
    <t xml:space="preserve">Menor upload medido (Mbps)</t>
  </si>
  <si>
    <t xml:space="preserve">É este o valor que entra na conta: a transmissão precisa caber no pior momento.</t>
  </si>
  <si>
    <t xml:space="preserve">Medições feitas</t>
  </si>
  <si>
    <t xml:space="preserve">Variação entre a maior e a menor</t>
  </si>
  <si>
    <t xml:space="preserve">2. Configuração pretendida</t>
  </si>
  <si>
    <t xml:space="preserve">Resolução</t>
  </si>
  <si>
    <t xml:space="preserve">480p, 720p ou 1080p.</t>
  </si>
  <si>
    <t xml:space="preserve">Quadros por segundo</t>
  </si>
  <si>
    <t xml:space="preserve">30 ou 60. Para a transmissão, 29,97 conta como 30, e 59,94 como 60.</t>
  </si>
  <si>
    <t xml:space="preserve">Bitrate de vídeo (kbps)</t>
  </si>
  <si>
    <t xml:space="preserve">O valor digitado no codificador. 4,5 Mbps são 4.500 kbps.</t>
  </si>
  <si>
    <t xml:space="preserve">Bitrate de áudio (kbps)</t>
  </si>
  <si>
    <t xml:space="preserve">Em geral, de 128 a 160 kbps.</t>
  </si>
  <si>
    <t xml:space="preserve">Fração máxima do upload</t>
  </si>
  <si>
    <t xml:space="preserve">Regra prática: 50%. Em Wi-Fi ou rede móvel, use menos.</t>
  </si>
  <si>
    <t xml:space="preserve">Duração prevista (min)</t>
  </si>
  <si>
    <t xml:space="preserve">Com o tempo de tela de espera. Serve para o consumo de dados.</t>
  </si>
  <si>
    <t xml:space="preserve">Upload do link de reserva (Mbps)</t>
  </si>
  <si>
    <t xml:space="preserve">Opcional. Medido no local, como o do link principal.</t>
  </si>
  <si>
    <t xml:space="preserve">3. Resultado</t>
  </si>
  <si>
    <t xml:space="preserve">Bitrate total (kbps)</t>
  </si>
  <si>
    <t xml:space="preserve">Vídeo mais áudio.</t>
  </si>
  <si>
    <t xml:space="preserve">Bitrate total (Mbps)</t>
  </si>
  <si>
    <t xml:space="preserve">O mesmo valor, na unidade do teste de velocidade.</t>
  </si>
  <si>
    <t xml:space="preserve">Limite para o bitrate total (kbps)</t>
  </si>
  <si>
    <t xml:space="preserve">Menor upload medido × fração máxima.</t>
  </si>
  <si>
    <t xml:space="preserve">Uso do upload</t>
  </si>
  <si>
    <t xml:space="preserve">Bitrate total ÷ menor upload medido.</t>
  </si>
  <si>
    <t xml:space="preserve">OK até a fração máxima. Apertado até 75%. Acima disso, Insuficiente.</t>
  </si>
  <si>
    <t xml:space="preserve">Bitrate de vídeo máximo (kbps)</t>
  </si>
  <si>
    <t xml:space="preserve">O que sobra para o vídeo dentro do limite.</t>
  </si>
  <si>
    <t xml:space="preserve">Faixa do formato: mínimo (kbps)</t>
  </si>
  <si>
    <t xml:space="preserve">Da tabela de formatos, no fim desta aba.</t>
  </si>
  <si>
    <t xml:space="preserve">Faixa do formato: máximo (kbps)</t>
  </si>
  <si>
    <t xml:space="preserve">Acima disso a imagem quase não melhora.</t>
  </si>
  <si>
    <t xml:space="preserve">Situação do bitrate de vídeo</t>
  </si>
  <si>
    <t xml:space="preserve">Compara o bitrate de vídeo com a faixa do formato escolhido.</t>
  </si>
  <si>
    <t xml:space="preserve">Consumo de dados (GB)</t>
  </si>
  <si>
    <t xml:space="preserve">Importante quando o link tem franquia de dados.</t>
  </si>
  <si>
    <t xml:space="preserve">Uso do link de reserva</t>
  </si>
  <si>
    <t xml:space="preserve">A mesma configuração, se a transmissão passar para o link de reserva.</t>
  </si>
  <si>
    <t xml:space="preserve">Situação no link de reserva</t>
  </si>
  <si>
    <t xml:space="preserve">Se não for OK, deixe pronto um perfil de bitrate menor para o link de reserva.</t>
  </si>
  <si>
    <t xml:space="preserve">O que fazer</t>
  </si>
  <si>
    <t xml:space="preserve">4. Qual formato cabe neste upload</t>
  </si>
  <si>
    <t xml:space="preserve">Formato</t>
  </si>
  <si>
    <t xml:space="preserve">Mínimo</t>
  </si>
  <si>
    <t xml:space="preserve">Máximo</t>
  </si>
  <si>
    <t xml:space="preserve">Cabe?</t>
  </si>
  <si>
    <t xml:space="preserve">Vídeo sugerido</t>
  </si>
  <si>
    <t xml:space="preserve">480p30</t>
  </si>
  <si>
    <t xml:space="preserve">Rede fraca ou link de reserva. Serve para fala.</t>
  </si>
  <si>
    <t xml:space="preserve">720p30</t>
  </si>
  <si>
    <t xml:space="preserve">O formato seguro para a maioria dos eventos pequenos.</t>
  </si>
  <si>
    <t xml:space="preserve">720p60</t>
  </si>
  <si>
    <t xml:space="preserve">Movimento rápido. Raro em culto e palestra.</t>
  </si>
  <si>
    <t xml:space="preserve">1080p30</t>
  </si>
  <si>
    <t xml:space="preserve">O padrão quando a rede comporta.</t>
  </si>
  <si>
    <t xml:space="preserve">1080p60</t>
  </si>
  <si>
    <t xml:space="preserve">Só com rede e processador com muita folga.</t>
  </si>
  <si>
    <t xml:space="preserve">Faixas em kbps para o codec H.264, como ponto de partida deste material. Troque o mínimo e o máximo pelos valores que a sua plataforma publica. O vídeo sugerido é o maior valor que cabe, até o máximo da faixa.</t>
  </si>
  <si>
    <t xml:space="preserve">Configuração — a ficha da transmissão</t>
  </si>
  <si>
    <t xml:space="preserve">Anote o que está configurado no codificador e na plataforma. A situação é calculada nos itens que têm referência.</t>
  </si>
  <si>
    <t xml:space="preserve">Preencha na véspera, depois do teste. No dia do evento, confira se o codificador ainda mostra os mesmos valores.</t>
  </si>
  <si>
    <t xml:space="preserve">Ficha de configuração</t>
  </si>
  <si>
    <t xml:space="preserve">Grupo</t>
  </si>
  <si>
    <t xml:space="preserve">Parâmetro</t>
  </si>
  <si>
    <t xml:space="preserve">Valor</t>
  </si>
  <si>
    <t xml:space="preserve">Ponto de partida</t>
  </si>
  <si>
    <t xml:space="preserve">Situação</t>
  </si>
  <si>
    <t xml:space="preserve">Plataforma e canal</t>
  </si>
  <si>
    <t xml:space="preserve">Onde o evento vai ao ar.</t>
  </si>
  <si>
    <t xml:space="preserve">–</t>
  </si>
  <si>
    <t xml:space="preserve">Evento criado, com título, data e capa</t>
  </si>
  <si>
    <t xml:space="preserve">Na véspera.</t>
  </si>
  <si>
    <t xml:space="preserve">Visibilidade</t>
  </si>
  <si>
    <t xml:space="preserve">Teste: não listado ou privado. Evento: público.</t>
  </si>
  <si>
    <t xml:space="preserve">Endereço do servidor (URL) conferido</t>
  </si>
  <si>
    <t xml:space="preserve">Copiado da página do evento para o codificador.</t>
  </si>
  <si>
    <t xml:space="preserve">Chave de transmissão conferida</t>
  </si>
  <si>
    <t xml:space="preserve">É a do evento de hoje. Não anote a chave nesta planilha.</t>
  </si>
  <si>
    <t xml:space="preserve">Vídeo</t>
  </si>
  <si>
    <t xml:space="preserve">Resolução de saída</t>
  </si>
  <si>
    <t xml:space="preserve">720p ou 1080p: o que couber no upload.</t>
  </si>
  <si>
    <t xml:space="preserve">30. Use 60 só com rede e processador folgados.</t>
  </si>
  <si>
    <t xml:space="preserve">O valor que deu OK na aba Bitrate e upload.</t>
  </si>
  <si>
    <t xml:space="preserve">Codec de vídeo</t>
  </si>
  <si>
    <t xml:space="preserve">H.264, aceito por todas as plataformas.</t>
  </si>
  <si>
    <t xml:space="preserve">Controle de taxa</t>
  </si>
  <si>
    <t xml:space="preserve">CBR (taxa constante).</t>
  </si>
  <si>
    <t xml:space="preserve">Intervalo de keyframe (s)</t>
  </si>
  <si>
    <t xml:space="preserve">2 segundos. Não deixe em automático.</t>
  </si>
  <si>
    <t xml:space="preserve">Compressão feita por</t>
  </si>
  <si>
    <t xml:space="preserve">Placa de vídeo, quando houver. Alivia o processador.</t>
  </si>
  <si>
    <t xml:space="preserve">Origem do áudio</t>
  </si>
  <si>
    <t xml:space="preserve">Mistura própria: auxiliar, matriz ou mesa dedicada.</t>
  </si>
  <si>
    <t xml:space="preserve">Taxa de amostragem (kHz)</t>
  </si>
  <si>
    <t xml:space="preserve">48 kHz na mesa, na interface e no codificador.</t>
  </si>
  <si>
    <t xml:space="preserve">De 128 a 160 kbps, em AAC.</t>
  </si>
  <si>
    <t xml:space="preserve">Canais</t>
  </si>
  <si>
    <t xml:space="preserve">Estéreo, com som nos dois lados. Fonte de um cabo só: mono.</t>
  </si>
  <si>
    <t xml:space="preserve">Loudness medido (LUFS)</t>
  </si>
  <si>
    <t xml:space="preserve">Alvo de −16 a −14 LUFS. A planilha aceita de −18 a −13.</t>
  </si>
  <si>
    <t xml:space="preserve">Pico máximo medido (dBFS)</t>
  </si>
  <si>
    <t xml:space="preserve">Abaixo de −1 dBFS no trecho mais forte.</t>
  </si>
  <si>
    <t xml:space="preserve">Teste da palma: quadros de diferença</t>
  </si>
  <si>
    <t xml:space="preserve">Quadros entre o estalo no áudio e as mãos se tocando.</t>
  </si>
  <si>
    <t xml:space="preserve">Atraso calculado para o áudio (ms)</t>
  </si>
  <si>
    <t xml:space="preserve">Quadros × 1.000 ÷ quadros por segundo.</t>
  </si>
  <si>
    <t xml:space="preserve">Atraso configurado no áudio (ms)</t>
  </si>
  <si>
    <t xml:space="preserve">Perto do calculado: até meio quadro de diferença.</t>
  </si>
  <si>
    <t xml:space="preserve">Rede e segurança</t>
  </si>
  <si>
    <t xml:space="preserve">Conexão do codificador</t>
  </si>
  <si>
    <t xml:space="preserve">Cabo de rede.</t>
  </si>
  <si>
    <t xml:space="preserve">Link de reserva testado</t>
  </si>
  <si>
    <t xml:space="preserve">Com o perfil de bitrate reduzido.</t>
  </si>
  <si>
    <t xml:space="preserve">Reconexão automática ligada</t>
  </si>
  <si>
    <t xml:space="preserve">Para voltar sozinho depois de uma queda de rede.</t>
  </si>
  <si>
    <t xml:space="preserve">Gravação local ligada</t>
  </si>
  <si>
    <t xml:space="preserve">Com espaço em disco conferido.</t>
  </si>
  <si>
    <t xml:space="preserve">Retorno em outro aparelho</t>
  </si>
  <si>
    <t xml:space="preserve">Celular com dados móveis e fone.</t>
  </si>
  <si>
    <t xml:space="preserve">Resumo automático</t>
  </si>
  <si>
    <t xml:space="preserve">Itens com situação OK</t>
  </si>
  <si>
    <t xml:space="preserve">Itens a rever ou pendentes</t>
  </si>
  <si>
    <t xml:space="preserve">Aviso</t>
  </si>
  <si>
    <t xml:space="preserve">Os pontos de partida são valores de referência deste material, e não norma. Confira a tabela da sua plataforma e o manual do codificador.</t>
  </si>
  <si>
    <t xml:space="preserve">Checklist da transmissão, com horários</t>
  </si>
  <si>
    <t xml:space="preserve">Digite o horário de início. Cada item deve estar resolvido até a hora calculada. Escolha a situação na lista suspensa.</t>
  </si>
  <si>
    <t xml:space="preserve">Início da transmissão</t>
  </si>
  <si>
    <t xml:space="preserve">Digite a hora em que o evento começa, como 19:00. A coluna “Fazer até” é calculada.</t>
  </si>
  <si>
    <t xml:space="preserve">Quando</t>
  </si>
  <si>
    <t xml:space="preserve">Item</t>
  </si>
  <si>
    <t xml:space="preserve">Min. antes</t>
  </si>
  <si>
    <t xml:space="preserve">Fazer até</t>
  </si>
  <si>
    <t xml:space="preserve">Véspera</t>
  </si>
  <si>
    <t xml:space="preserve">O evento está criado na plataforma, com título, data e visibilidade certos, e a chave no codificador é a desse evento.</t>
  </si>
  <si>
    <t xml:space="preserve">na véspera</t>
  </si>
  <si>
    <t xml:space="preserve">Um teste não listado, de pelo menos dez minutos, foi transmitido e assistido em outro aparelho.</t>
  </si>
  <si>
    <t xml:space="preserve">2 h antes</t>
  </si>
  <si>
    <t xml:space="preserve">O upload foi medido no local, por cabo, e o bitrate total usa até cerca de metade do menor valor medido.</t>
  </si>
  <si>
    <t xml:space="preserve">O codificador está no cabo de rede e na tomada, com atualizações, suspensão e notificações desligadas.</t>
  </si>
  <si>
    <t xml:space="preserve">1 h 30 antes</t>
  </si>
  <si>
    <t xml:space="preserve">Resolução, quadros, bitrate, CBR e keyframe de 2 segundos conferem com a ficha de configuração.</t>
  </si>
  <si>
    <t xml:space="preserve">1 h antes</t>
  </si>
  <si>
    <t xml:space="preserve">O link de reserva foi testado, e o roteiro de contingência está à vista do operador.</t>
  </si>
  <si>
    <t xml:space="preserve">O áudio vem de uma mistura própria (auxiliar, matriz ou mesa dedicada), com microfones de ambiente.</t>
  </si>
  <si>
    <t xml:space="preserve">45 min antes</t>
  </si>
  <si>
    <t xml:space="preserve">Com a banda e com a fala, os picos ficam abaixo de −1 dBFS no medidor do codificador, e há som nos dois lados.</t>
  </si>
  <si>
    <t xml:space="preserve">O sincronismo entre som e imagem foi conferido com o teste da palma.</t>
  </si>
  <si>
    <t xml:space="preserve">30 min antes</t>
  </si>
  <si>
    <t xml:space="preserve">As cenas e os gráficos foram conferidos: espera, programa, legendas, problema técnico e encerramento.</t>
  </si>
  <si>
    <t xml:space="preserve">15 min antes</t>
  </si>
  <si>
    <t xml:space="preserve">A gravação local está rodando, e a transmissão entrou no ar na tela de espera.</t>
  </si>
  <si>
    <t xml:space="preserve">No ar</t>
  </si>
  <si>
    <t xml:space="preserve">Uma pessoa acompanha o retorno em um celular com dados móveis e fone, olha os indicadores e registra as quedas.</t>
  </si>
  <si>
    <t xml:space="preserve">Itens respondidos</t>
  </si>
  <si>
    <t xml:space="preserve">Percentual atendido (Parcial vale metade)</t>
  </si>
  <si>
    <t xml:space="preserve">Quedas — registro das falhas da transmissão</t>
  </si>
  <si>
    <t xml:space="preserve">Anote cada falha na hora em que acontece, ou logo depois. O resumo mostra quanto tempo a transmissão ficou com problema, e por quê.</t>
  </si>
  <si>
    <t xml:space="preserve">Duração da transmissão (min)</t>
  </si>
  <si>
    <t xml:space="preserve">Do início ao fim, com a tela de espera.</t>
  </si>
  <si>
    <t xml:space="preserve">Registro de ocorrências</t>
  </si>
  <si>
    <t xml:space="preserve">Início</t>
  </si>
  <si>
    <t xml:space="preserve">Fim</t>
  </si>
  <si>
    <t xml:space="preserve">Duração</t>
  </si>
  <si>
    <t xml:space="preserve">O que aconteceu</t>
  </si>
  <si>
    <t xml:space="preserve">Causa provável</t>
  </si>
  <si>
    <t xml:space="preserve">O que foi feito</t>
  </si>
  <si>
    <t xml:space="preserve">Como evitar na próxima</t>
  </si>
  <si>
    <t xml:space="preserve">dia/mês/ano</t>
  </si>
  <si>
    <t xml:space="preserve">hh:mm</t>
  </si>
  <si>
    <t xml:space="preserve">min</t>
  </si>
  <si>
    <t xml:space="preserve">Queda total</t>
  </si>
  <si>
    <t xml:space="preserve">Internet</t>
  </si>
  <si>
    <t xml:space="preserve">Troca para o link de reserva, com o perfil de 720p</t>
  </si>
  <si>
    <t xml:space="preserve">Separar o Wi-Fi dos visitantes da rede da transmissão</t>
  </si>
  <si>
    <t xml:space="preserve">Ocorrências registradas</t>
  </si>
  <si>
    <t xml:space="preserve">Leve este registro para a reunião de revisão do evento. A causa que mais se repete é a primeira a resolver.</t>
  </si>
  <si>
    <t xml:space="preserve">Minutos com problema</t>
  </si>
  <si>
    <t xml:space="preserve">Percentual da transmissão</t>
  </si>
  <si>
    <t xml:space="preserve">Causa mais frequente</t>
  </si>
  <si>
    <t xml:space="preserve">Por causa</t>
  </si>
  <si>
    <t xml:space="preserve">Ocorrências</t>
  </si>
  <si>
    <t xml:space="preserve">Minutos</t>
  </si>
  <si>
    <t xml:space="preserve">Codificador</t>
  </si>
  <si>
    <t xml:space="preserve">Computador</t>
  </si>
  <si>
    <t xml:space="preserve">Energia</t>
  </si>
  <si>
    <t xml:space="preserve">Operação</t>
  </si>
  <si>
    <t xml:space="preserve">Não identificada</t>
  </si>
  <si>
    <t xml:space="preserve">Referência — valores de partida</t>
  </si>
  <si>
    <t xml:space="preserve">Valores de referência, para servir de ponto de partida. Confira a tabela da sua plataforma e o manual do seu equipamento.</t>
  </si>
  <si>
    <t xml:space="preserve">Bitrate de vídeo por formato (codec H.264)</t>
  </si>
  <si>
    <t xml:space="preserve">Bitrate de vídeo</t>
  </si>
  <si>
    <t xml:space="preserve">Upload medido para caber</t>
  </si>
  <si>
    <t xml:space="preserve">Quando usar</t>
  </si>
  <si>
    <t xml:space="preserve">480p a 30 quadros (854 × 480)</t>
  </si>
  <si>
    <t xml:space="preserve">1.000 a 2.000 kbps</t>
  </si>
  <si>
    <t xml:space="preserve">2,5 a 4,5 Mbps</t>
  </si>
  <si>
    <t xml:space="preserve">Rede fraca ou link de reserva. Serve para fala; letras pequenas ficam ilegíveis.</t>
  </si>
  <si>
    <t xml:space="preserve">720p a 30 quadros (1280 × 720)</t>
  </si>
  <si>
    <t xml:space="preserve">2.500 a 4.000 kbps</t>
  </si>
  <si>
    <t xml:space="preserve">5,5 a 8,5 Mbps</t>
  </si>
  <si>
    <t xml:space="preserve">O formato seguro para a maioria dos eventos pequenos. Fica bem em celular e em TV.</t>
  </si>
  <si>
    <t xml:space="preserve">720p a 60 quadros (1280 × 720)</t>
  </si>
  <si>
    <t xml:space="preserve">3.500 a 6.000 kbps</t>
  </si>
  <si>
    <t xml:space="preserve">7,5 a 12,5 Mbps</t>
  </si>
  <si>
    <t xml:space="preserve">Movimento rápido, como dança e esporte. Raro em culto e palestra.</t>
  </si>
  <si>
    <t xml:space="preserve">1080p a 30 quadros (1920 × 1080)</t>
  </si>
  <si>
    <t xml:space="preserve">4.000 a 6.000 kbps</t>
  </si>
  <si>
    <t xml:space="preserve">8,5 a 12,5 Mbps</t>
  </si>
  <si>
    <t xml:space="preserve">O padrão quando a rede comporta. Mais detalhe em planos abertos e em letras.</t>
  </si>
  <si>
    <t xml:space="preserve">1080p a 60 quadros (1920 × 1080)</t>
  </si>
  <si>
    <t xml:space="preserve">6.000 a 9.000 kbps</t>
  </si>
  <si>
    <t xml:space="preserve">12,5 a 18,5 Mbps</t>
  </si>
  <si>
    <t xml:space="preserve">Ajustes do codificador</t>
  </si>
  <si>
    <t xml:space="preserve">Ajuste</t>
  </si>
  <si>
    <t xml:space="preserve">Alternativa</t>
  </si>
  <si>
    <t xml:space="preserve">H.264</t>
  </si>
  <si>
    <t xml:space="preserve">H.265 ou AV1</t>
  </si>
  <si>
    <t xml:space="preserve">Os codecs mais novos só onde a plataforma e o codificador aceitam.</t>
  </si>
  <si>
    <t xml:space="preserve">CBR (taxa constante)</t>
  </si>
  <si>
    <t xml:space="preserve">VBR (taxa variável)</t>
  </si>
  <si>
    <t xml:space="preserve">Ao vivo, use CBR: a rede e a plataforma lidam melhor com um fluxo previsível.</t>
  </si>
  <si>
    <t xml:space="preserve">Intervalo de keyframe</t>
  </si>
  <si>
    <t xml:space="preserve">2 segundos</t>
  </si>
  <si>
    <t xml:space="preserve">até 4 segundos, se a plataforma aceitar</t>
  </si>
  <si>
    <t xml:space="preserve">Não deixe em automático. A 30 quadros por segundo, 2 segundos são 60 quadros.</t>
  </si>
  <si>
    <t xml:space="preserve">Taxa de quadros</t>
  </si>
  <si>
    <t xml:space="preserve">30</t>
  </si>
  <si>
    <t xml:space="preserve">60</t>
  </si>
  <si>
    <t xml:space="preserve">60 quadros dobram o trabalho do codificador e pedem mais bitrate.</t>
  </si>
  <si>
    <t xml:space="preserve">AAC, estéreo, 128 a 160 kbps</t>
  </si>
  <si>
    <t xml:space="preserve">Taxa de amostragem de 48 kHz, igual na mesa, na interface e no codificador.</t>
  </si>
  <si>
    <t xml:space="preserve">Bitrate total</t>
  </si>
  <si>
    <t xml:space="preserve">até metade do menor upload medido</t>
  </si>
  <si>
    <t xml:space="preserve">Vídeo mais áudio. Regra prática deste material, e não norma.</t>
  </si>
  <si>
    <t xml:space="preserve">Áudio da transmissão</t>
  </si>
  <si>
    <t xml:space="preserve">Medida</t>
  </si>
  <si>
    <t xml:space="preserve">Onde conferir</t>
  </si>
  <si>
    <t xml:space="preserve">Origem</t>
  </si>
  <si>
    <t xml:space="preserve">auxiliar pós-fader, matriz ou mesa dedicada</t>
  </si>
  <si>
    <t xml:space="preserve">fone fechado, fora da sala</t>
  </si>
  <si>
    <t xml:space="preserve">Com microfones de ambiente só na transmissão, nunca nas caixas.</t>
  </si>
  <si>
    <t xml:space="preserve">Picos</t>
  </si>
  <si>
    <t xml:space="preserve">abaixo de −1 dBFS</t>
  </si>
  <si>
    <t xml:space="preserve">medidor do codificador</t>
  </si>
  <si>
    <t xml:space="preserve">Um limitador com teto entre −2 e −1 dBFS garante isso.</t>
  </si>
  <si>
    <t xml:space="preserve">Fala e música no medidor</t>
  </si>
  <si>
    <t xml:space="preserve">entre −20 e −6 dBFS na maior parte do tempo</t>
  </si>
  <si>
    <t xml:space="preserve">Se o medidor quase não sai do começo da escala, a transmissão está baixa.</t>
  </si>
  <si>
    <t xml:space="preserve">Loudness</t>
  </si>
  <si>
    <t xml:space="preserve">de −16 a −14 LUFS</t>
  </si>
  <si>
    <t xml:space="preserve">medidor de loudness</t>
  </si>
  <si>
    <t xml:space="preserve">Medido ao longo de um ou dois minutos de programa. Ponto de partida para a internet.</t>
  </si>
  <si>
    <t xml:space="preserve">som e imagem no mesmo quadro</t>
  </si>
  <si>
    <t xml:space="preserve">teste da palma, na gravação do codificador</t>
  </si>
  <si>
    <t xml:space="preserve">Um quadro vale 33 ms a 30 quadros por segundo, e 17 ms a 60.</t>
  </si>
  <si>
    <t xml:space="preserve">Sintomas e primeira ação</t>
  </si>
  <si>
    <t xml:space="preserve">Sintoma</t>
  </si>
  <si>
    <t xml:space="preserve">Onde olhar</t>
  </si>
  <si>
    <t xml:space="preserve">Primeira ação</t>
  </si>
  <si>
    <t xml:space="preserve">Trava para todos os espectadores</t>
  </si>
  <si>
    <t xml:space="preserve">Rede</t>
  </si>
  <si>
    <t xml:space="preserve">quadros perdidos por rede</t>
  </si>
  <si>
    <t xml:space="preserve">Passe ao link de reserva ou baixe o bitrate.</t>
  </si>
  <si>
    <t xml:space="preserve">Trava, e o processador está no limite</t>
  </si>
  <si>
    <t xml:space="preserve">Codificador ou computador</t>
  </si>
  <si>
    <t xml:space="preserve">quadros perdidos na codificação</t>
  </si>
  <si>
    <t xml:space="preserve">Feche outros programas. Na próxima pausa, reduza quadros ou resolução.</t>
  </si>
  <si>
    <t xml:space="preserve">Blocos quando há movimento</t>
  </si>
  <si>
    <t xml:space="preserve">Bitrate baixo para o formato</t>
  </si>
  <si>
    <t xml:space="preserve">configuração do codificador</t>
  </si>
  <si>
    <t xml:space="preserve">Use um formato menor, ou mais bitrate, se a rede comportar.</t>
  </si>
  <si>
    <t xml:space="preserve">Transmissão sem som</t>
  </si>
  <si>
    <t xml:space="preserve">Confira o mute, o dispositivo escolhido, a interface, o cabo e a saída da mesa.</t>
  </si>
  <si>
    <t xml:space="preserve">Som em um lado só</t>
  </si>
  <si>
    <t xml:space="preserve">Fonte mono em entrada estéreo</t>
  </si>
  <si>
    <t xml:space="preserve">fone, no retorno</t>
  </si>
  <si>
    <t xml:space="preserve">Marque a fonte como mono no codificador, ou envie os dois lados.</t>
  </si>
  <si>
    <t xml:space="preserve">Som antes da imagem</t>
  </si>
  <si>
    <t xml:space="preserve">O vídeo atrasa mais que o áudio</t>
  </si>
  <si>
    <t xml:space="preserve">gravação do codificador</t>
  </si>
  <si>
    <t xml:space="preserve">Faça o teste da palma e acrescente atraso ao áudio.</t>
  </si>
  <si>
    <t xml:space="preserve">Página do evento em “aguardando”</t>
  </si>
  <si>
    <t xml:space="preserve">Chave ou evento errado</t>
  </si>
  <si>
    <t xml:space="preserve">painel da plataforma</t>
  </si>
  <si>
    <t xml:space="preserve">Confira a chave do codificador e o evento que está aberto.</t>
  </si>
  <si>
    <t xml:space="preserve">Só alguns espectadores reclamam</t>
  </si>
  <si>
    <t xml:space="preserve">Internet ou aparelho do espectador</t>
  </si>
  <si>
    <t xml:space="preserve">retorno no celular</t>
  </si>
  <si>
    <t xml:space="preserve">Se o retorno está bom, avise no chat e siga.</t>
  </si>
  <si>
    <t xml:space="preserve">Faixas típicas, que variam com a plataforma, o conteúdo e o equipamento. Os nomes dos indicadores mudam de um programa para outro.</t>
  </si>
  <si>
    <t xml:space="preserve">Exemplo preenchido, para consulta. Use a aba Bitrate e upload para o seu evento.</t>
  </si>
  <si>
    <t xml:space="preserve">Culto de domingo, 19 h</t>
  </si>
  <si>
    <t xml:space="preserve">Igreja de 200 lugares</t>
  </si>
  <si>
    <t xml:space="preserve">Operador da transmissão da escala</t>
  </si>
  <si>
    <t xml:space="preserve">Plataforma de vídeo, evento agendado</t>
  </si>
  <si>
    <t xml:space="preserve">Três medições no mesmo ponto de rede. Vale a menor, feita com a sala cheia.</t>
  </si>
  <si>
    <t xml:space="preserve">Quinta-feira, 20 h, sala vazia</t>
  </si>
  <si>
    <t xml:space="preserve">O teste da quinta foi feito nesta condição.</t>
  </si>
  <si>
    <t xml:space="preserve">Domingo, 18 h, antes do culto</t>
  </si>
  <si>
    <t xml:space="preserve">A equipe já estava usando a rede.</t>
  </si>
  <si>
    <t xml:space="preserve">Domingo, 19 h 30, sala cheia</t>
  </si>
  <si>
    <t xml:space="preserve">Visitantes no Wi-Fi da mesma rede.</t>
  </si>
  <si>
    <t xml:space="preserve">1080p</t>
  </si>
  <si>
    <t xml:space="preserve">O que foi ajustado</t>
  </si>
  <si>
    <t xml:space="preserve">Etapa</t>
  </si>
  <si>
    <t xml:space="preserve">Resultado</t>
  </si>
  <si>
    <t xml:space="preserve">De 1080p a 60 quadros para 720p a 30 quadros, com vídeo a 3.500 kbps.</t>
  </si>
  <si>
    <t xml:space="preserve">Total de 3.660 kbps: 45% do upload de 8,2 Mbps.</t>
  </si>
  <si>
    <t xml:space="preserve">O Wi-Fi dos visitantes passou para outra rede, com limite de banda.</t>
  </si>
  <si>
    <t xml:space="preserve">Nova medição com a sala cheia: 11,5 Mbps.</t>
  </si>
  <si>
    <t xml:space="preserve">Semana seguinte</t>
  </si>
  <si>
    <t xml:space="preserve">Com o novo upload, 1080p a 30 quadros, com vídeo a 4.500 kbps.</t>
  </si>
  <si>
    <t xml:space="preserve">Total de 4.660 kbps: 41% do upload de 11,5 Mbps.</t>
  </si>
  <si>
    <t xml:space="preserve">Link de reserva</t>
  </si>
  <si>
    <t xml:space="preserve">Perfil próprio para o modem 4G de 6 Mbps: 720p a 30 quadros, com vídeo a 2.500 kbps.</t>
  </si>
  <si>
    <t xml:space="preserve">Total de 2.660 kbps: 44% do upload do link de reserva.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</si>
</sst>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0.0"/>
    <numFmt numFmtId="167" formatCode="0"/>
    <numFmt numFmtId="168" formatCode="General"/>
    <numFmt numFmtId="169" formatCode="0%"/>
    <numFmt numFmtId="170" formatCode="#,##0"/>
    <numFmt numFmtId="171" formatCode="0.00"/>
    <numFmt numFmtId="172" formatCode="\+0.0;\-0.0;0.0"/>
    <numFmt numFmtId="173" formatCode="hh:mm"/>
    <numFmt numFmtId="174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B0413E"/>
        <bgColor rgb="FF993366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B0413E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1" customFormat="false" ht="19.5" hidden="false" customHeight="true" outlineLevel="0" collapsed="false">
      <c r="B11" s="4" t="s">
        <v>15</v>
      </c>
      <c r="C11" s="7" t="s">
        <v>16</v>
      </c>
    </row>
    <row r="13" customFormat="false" ht="21.75" hidden="false" customHeight="true" outlineLevel="0" collapsed="false">
      <c r="B13" s="3" t="s">
        <v>17</v>
      </c>
      <c r="C13" s="3"/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0" customFormat="false" ht="19.5" hidden="false" customHeight="true" outlineLevel="0" collapsed="false">
      <c r="B20" s="8" t="s">
        <v>30</v>
      </c>
      <c r="C20" s="7" t="s">
        <v>31</v>
      </c>
    </row>
    <row r="22" customFormat="false" ht="21.75" hidden="false" customHeight="true" outlineLevel="0" collapsed="false">
      <c r="B22" s="3" t="s">
        <v>32</v>
      </c>
      <c r="C22" s="3"/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8" customFormat="false" ht="19.5" hidden="false" customHeight="true" outlineLevel="0" collapsed="false">
      <c r="B28" s="4" t="s">
        <v>43</v>
      </c>
      <c r="C28" s="7" t="s">
        <v>44</v>
      </c>
    </row>
    <row r="30" customFormat="false" ht="21.75" hidden="false" customHeight="true" outlineLevel="0" collapsed="false">
      <c r="B30" s="3" t="s">
        <v>45</v>
      </c>
      <c r="C30" s="3"/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54</v>
      </c>
      <c r="C35" s="7" t="s">
        <v>55</v>
      </c>
    </row>
    <row r="36" customFormat="false" ht="31.5" hidden="false" customHeight="true" outlineLevel="0" collapsed="false">
      <c r="B36" s="4" t="s">
        <v>56</v>
      </c>
      <c r="C36" s="7" t="s">
        <v>57</v>
      </c>
    </row>
    <row r="37" customFormat="false" ht="31.5" hidden="false" customHeight="true" outlineLevel="0" collapsed="false">
      <c r="B37" s="4" t="s">
        <v>58</v>
      </c>
      <c r="C37" s="7" t="s">
        <v>59</v>
      </c>
    </row>
    <row r="38" customFormat="false" ht="19.5" hidden="false" customHeight="true" outlineLevel="0" collapsed="false">
      <c r="B38" s="4" t="s">
        <v>60</v>
      </c>
      <c r="C38" s="7" t="s">
        <v>61</v>
      </c>
    </row>
  </sheetData>
  <mergeCells count="6">
    <mergeCell ref="B1:C1"/>
    <mergeCell ref="B2:C2"/>
    <mergeCell ref="B4:C4"/>
    <mergeCell ref="B13:C13"/>
    <mergeCell ref="B22:C22"/>
    <mergeCell ref="B30:C3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62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63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4" t="s">
        <v>64</v>
      </c>
      <c r="C4" s="4"/>
      <c r="D4" s="5"/>
      <c r="E4" s="5"/>
      <c r="F4" s="5"/>
      <c r="G4" s="5"/>
    </row>
    <row r="5" customFormat="false" ht="21.75" hidden="false" customHeight="true" outlineLevel="0" collapsed="false">
      <c r="B5" s="4" t="s">
        <v>65</v>
      </c>
      <c r="C5" s="4"/>
      <c r="D5" s="5"/>
      <c r="E5" s="5"/>
      <c r="F5" s="5"/>
      <c r="G5" s="5"/>
    </row>
    <row r="6" customFormat="false" ht="21.75" hidden="false" customHeight="true" outlineLevel="0" collapsed="false">
      <c r="B6" s="4" t="s">
        <v>66</v>
      </c>
      <c r="C6" s="4"/>
      <c r="D6" s="9"/>
      <c r="E6" s="9"/>
      <c r="F6" s="9"/>
      <c r="G6" s="9"/>
    </row>
    <row r="7" customFormat="false" ht="21.75" hidden="false" customHeight="true" outlineLevel="0" collapsed="false">
      <c r="B7" s="4" t="s">
        <v>67</v>
      </c>
      <c r="C7" s="4"/>
      <c r="D7" s="5"/>
      <c r="E7" s="5"/>
      <c r="F7" s="5"/>
      <c r="G7" s="5"/>
    </row>
    <row r="8" customFormat="false" ht="21.75" hidden="false" customHeight="true" outlineLevel="0" collapsed="false">
      <c r="B8" s="4" t="s">
        <v>68</v>
      </c>
      <c r="C8" s="4"/>
      <c r="D8" s="5"/>
      <c r="E8" s="5"/>
      <c r="F8" s="5"/>
      <c r="G8" s="5"/>
    </row>
    <row r="10" customFormat="false" ht="21.75" hidden="false" customHeight="true" outlineLevel="0" collapsed="false">
      <c r="B10" s="10" t="s">
        <v>69</v>
      </c>
      <c r="C10" s="10"/>
      <c r="D10" s="10"/>
      <c r="E10" s="10"/>
      <c r="F10" s="10"/>
      <c r="G10" s="10"/>
      <c r="H10" s="10"/>
      <c r="I10" s="10"/>
    </row>
    <row r="11" customFormat="false" ht="24" hidden="false" customHeight="true" outlineLevel="0" collapsed="false">
      <c r="B11" s="11" t="s">
        <v>70</v>
      </c>
      <c r="C11" s="11" t="s">
        <v>71</v>
      </c>
      <c r="D11" s="11" t="s">
        <v>72</v>
      </c>
      <c r="E11" s="12" t="s">
        <v>73</v>
      </c>
      <c r="F11" s="11" t="s">
        <v>74</v>
      </c>
      <c r="G11" s="11" t="s">
        <v>75</v>
      </c>
      <c r="H11" s="11"/>
      <c r="I11" s="11"/>
    </row>
    <row r="12" customFormat="false" ht="15" hidden="false" customHeight="true" outlineLevel="0" collapsed="false">
      <c r="B12" s="13"/>
      <c r="C12" s="13" t="s">
        <v>76</v>
      </c>
      <c r="D12" s="13" t="s">
        <v>77</v>
      </c>
      <c r="E12" s="13" t="s">
        <v>78</v>
      </c>
      <c r="F12" s="13" t="s">
        <v>79</v>
      </c>
      <c r="G12" s="13" t="s">
        <v>80</v>
      </c>
      <c r="H12" s="13"/>
      <c r="I12" s="13"/>
    </row>
    <row r="13" customFormat="false" ht="21.75" hidden="false" customHeight="true" outlineLevel="0" collapsed="false">
      <c r="B13" s="13" t="s">
        <v>81</v>
      </c>
      <c r="C13" s="14" t="s">
        <v>82</v>
      </c>
      <c r="D13" s="13" t="s">
        <v>83</v>
      </c>
      <c r="E13" s="15" t="n">
        <v>9.8</v>
      </c>
      <c r="F13" s="13" t="n">
        <v>85</v>
      </c>
      <c r="G13" s="14" t="s">
        <v>84</v>
      </c>
      <c r="H13" s="14"/>
      <c r="I13" s="14"/>
    </row>
    <row r="14" customFormat="false" ht="21.75" hidden="false" customHeight="true" outlineLevel="0" collapsed="false">
      <c r="B14" s="16" t="n">
        <v>1</v>
      </c>
      <c r="C14" s="5"/>
      <c r="D14" s="17"/>
      <c r="E14" s="18"/>
      <c r="F14" s="19"/>
      <c r="G14" s="5"/>
      <c r="H14" s="5"/>
      <c r="I14" s="5"/>
    </row>
    <row r="15" customFormat="false" ht="21.75" hidden="false" customHeight="true" outlineLevel="0" collapsed="false">
      <c r="B15" s="16" t="n">
        <v>2</v>
      </c>
      <c r="C15" s="5"/>
      <c r="D15" s="17"/>
      <c r="E15" s="18"/>
      <c r="F15" s="19"/>
      <c r="G15" s="5"/>
      <c r="H15" s="5"/>
      <c r="I15" s="5"/>
    </row>
    <row r="16" customFormat="false" ht="21.75" hidden="false" customHeight="true" outlineLevel="0" collapsed="false">
      <c r="B16" s="16" t="n">
        <v>3</v>
      </c>
      <c r="C16" s="5"/>
      <c r="D16" s="17"/>
      <c r="E16" s="18"/>
      <c r="F16" s="19"/>
      <c r="G16" s="5"/>
      <c r="H16" s="5"/>
      <c r="I16" s="5"/>
    </row>
    <row r="17" customFormat="false" ht="21.75" hidden="false" customHeight="true" outlineLevel="0" collapsed="false">
      <c r="B17" s="16" t="n">
        <v>4</v>
      </c>
      <c r="C17" s="5"/>
      <c r="D17" s="17"/>
      <c r="E17" s="18"/>
      <c r="F17" s="19"/>
      <c r="G17" s="5"/>
      <c r="H17" s="5"/>
      <c r="I17" s="5"/>
    </row>
    <row r="18" customFormat="false" ht="21.75" hidden="false" customHeight="true" outlineLevel="0" collapsed="false">
      <c r="B18" s="16" t="n">
        <v>5</v>
      </c>
      <c r="C18" s="5"/>
      <c r="D18" s="17"/>
      <c r="E18" s="18"/>
      <c r="F18" s="19"/>
      <c r="G18" s="5"/>
      <c r="H18" s="5"/>
      <c r="I18" s="5"/>
    </row>
    <row r="19" customFormat="false" ht="21.75" hidden="false" customHeight="true" outlineLevel="0" collapsed="false">
      <c r="B19" s="20" t="s">
        <v>85</v>
      </c>
      <c r="C19" s="20"/>
      <c r="D19" s="20"/>
      <c r="E19" s="21" t="str">
        <f aca="false">IF(COUNT(E14:E18)=0,"",MIN(E14:E18))</f>
        <v/>
      </c>
      <c r="F19" s="14" t="s">
        <v>86</v>
      </c>
      <c r="G19" s="14"/>
      <c r="H19" s="14"/>
      <c r="I19" s="14"/>
    </row>
    <row r="20" customFormat="false" ht="21.75" hidden="false" customHeight="true" outlineLevel="0" collapsed="false">
      <c r="B20" s="20" t="s">
        <v>87</v>
      </c>
      <c r="C20" s="20"/>
      <c r="D20" s="20"/>
      <c r="E20" s="8" t="n">
        <f aca="false">COUNT(E14:E18)</f>
        <v>0</v>
      </c>
      <c r="F20" s="22" t="str">
        <f aca="false">IF(E20=0,"",IF(E20&lt;3,"Meça pelo menos três vezes, uma delas no horário do evento","OK"))</f>
        <v/>
      </c>
      <c r="G20" s="22"/>
      <c r="H20" s="22"/>
      <c r="I20" s="22"/>
    </row>
    <row r="21" customFormat="false" ht="21.75" hidden="false" customHeight="true" outlineLevel="0" collapsed="false">
      <c r="B21" s="20" t="s">
        <v>88</v>
      </c>
      <c r="C21" s="20"/>
      <c r="D21" s="20"/>
      <c r="E21" s="23" t="str">
        <f aca="false">IF(COUNT(E14:E18)&lt;2,"",(MAX(E14:E18)-MIN(E14:E18))/MAX(E14:E18))</f>
        <v/>
      </c>
      <c r="F21" s="22" t="str">
        <f aca="false">IF(E21="","",IF(E21&gt;0.3,"Variação alta: há mais gente usando este upload, ou a rede é instável","OK"))</f>
        <v/>
      </c>
      <c r="G21" s="22"/>
      <c r="H21" s="22"/>
      <c r="I21" s="22"/>
    </row>
    <row r="23" customFormat="false" ht="21.75" hidden="false" customHeight="true" outlineLevel="0" collapsed="false">
      <c r="B23" s="10" t="s">
        <v>89</v>
      </c>
      <c r="C23" s="10"/>
      <c r="D23" s="10"/>
      <c r="E23" s="10"/>
      <c r="F23" s="10"/>
      <c r="G23" s="10"/>
      <c r="H23" s="10"/>
      <c r="I23" s="10"/>
    </row>
    <row r="24" customFormat="false" ht="21.75" hidden="false" customHeight="true" outlineLevel="0" collapsed="false">
      <c r="B24" s="20" t="s">
        <v>90</v>
      </c>
      <c r="C24" s="20"/>
      <c r="D24" s="20"/>
      <c r="E24" s="17"/>
      <c r="F24" s="14" t="s">
        <v>91</v>
      </c>
      <c r="G24" s="14"/>
      <c r="H24" s="14"/>
      <c r="I24" s="14"/>
    </row>
    <row r="25" customFormat="false" ht="21.75" hidden="false" customHeight="true" outlineLevel="0" collapsed="false">
      <c r="B25" s="20" t="s">
        <v>92</v>
      </c>
      <c r="C25" s="20"/>
      <c r="D25" s="20"/>
      <c r="E25" s="17"/>
      <c r="F25" s="14" t="s">
        <v>93</v>
      </c>
      <c r="G25" s="14"/>
      <c r="H25" s="14"/>
      <c r="I25" s="14"/>
    </row>
    <row r="26" customFormat="false" ht="21.75" hidden="false" customHeight="true" outlineLevel="0" collapsed="false">
      <c r="B26" s="20" t="s">
        <v>94</v>
      </c>
      <c r="C26" s="20"/>
      <c r="D26" s="20"/>
      <c r="E26" s="24"/>
      <c r="F26" s="14" t="s">
        <v>95</v>
      </c>
      <c r="G26" s="14"/>
      <c r="H26" s="14"/>
      <c r="I26" s="14"/>
    </row>
    <row r="27" customFormat="false" ht="21.75" hidden="false" customHeight="true" outlineLevel="0" collapsed="false">
      <c r="B27" s="20" t="s">
        <v>96</v>
      </c>
      <c r="C27" s="20"/>
      <c r="D27" s="20"/>
      <c r="E27" s="24"/>
      <c r="F27" s="14" t="s">
        <v>97</v>
      </c>
      <c r="G27" s="14"/>
      <c r="H27" s="14"/>
      <c r="I27" s="14"/>
    </row>
    <row r="28" customFormat="false" ht="21.75" hidden="false" customHeight="true" outlineLevel="0" collapsed="false">
      <c r="B28" s="20" t="s">
        <v>98</v>
      </c>
      <c r="C28" s="20"/>
      <c r="D28" s="20"/>
      <c r="E28" s="25" t="n">
        <v>0.5</v>
      </c>
      <c r="F28" s="14" t="s">
        <v>99</v>
      </c>
      <c r="G28" s="14"/>
      <c r="H28" s="14"/>
      <c r="I28" s="14"/>
    </row>
    <row r="29" customFormat="false" ht="21.75" hidden="false" customHeight="true" outlineLevel="0" collapsed="false">
      <c r="B29" s="20" t="s">
        <v>100</v>
      </c>
      <c r="C29" s="20"/>
      <c r="D29" s="20"/>
      <c r="E29" s="19"/>
      <c r="F29" s="14" t="s">
        <v>101</v>
      </c>
      <c r="G29" s="14"/>
      <c r="H29" s="14"/>
      <c r="I29" s="14"/>
    </row>
    <row r="30" customFormat="false" ht="21.75" hidden="false" customHeight="true" outlineLevel="0" collapsed="false">
      <c r="B30" s="20" t="s">
        <v>102</v>
      </c>
      <c r="C30" s="20"/>
      <c r="D30" s="20"/>
      <c r="E30" s="18"/>
      <c r="F30" s="14" t="s">
        <v>103</v>
      </c>
      <c r="G30" s="14"/>
      <c r="H30" s="14"/>
      <c r="I30" s="14"/>
    </row>
    <row r="32" customFormat="false" ht="21.75" hidden="false" customHeight="true" outlineLevel="0" collapsed="false">
      <c r="B32" s="10" t="s">
        <v>104</v>
      </c>
      <c r="C32" s="10"/>
      <c r="D32" s="10"/>
      <c r="E32" s="10"/>
      <c r="F32" s="10"/>
      <c r="G32" s="10"/>
      <c r="H32" s="10"/>
      <c r="I32" s="10"/>
    </row>
    <row r="33" customFormat="false" ht="21.75" hidden="false" customHeight="true" outlineLevel="0" collapsed="false">
      <c r="B33" s="20" t="s">
        <v>105</v>
      </c>
      <c r="C33" s="20"/>
      <c r="D33" s="20"/>
      <c r="E33" s="26" t="str">
        <f aca="false">IF(OR($E$26="",$E$27=""),"",$E$26+$E$27)</f>
        <v/>
      </c>
      <c r="F33" s="14" t="s">
        <v>106</v>
      </c>
      <c r="G33" s="14"/>
      <c r="H33" s="14"/>
      <c r="I33" s="14"/>
    </row>
    <row r="34" customFormat="false" ht="21.75" hidden="false" customHeight="true" outlineLevel="0" collapsed="false">
      <c r="B34" s="20" t="s">
        <v>107</v>
      </c>
      <c r="C34" s="20"/>
      <c r="D34" s="20"/>
      <c r="E34" s="27" t="str">
        <f aca="false">IF($E$33="","",$E$33/1000)</f>
        <v/>
      </c>
      <c r="F34" s="14" t="s">
        <v>108</v>
      </c>
      <c r="G34" s="14"/>
      <c r="H34" s="14"/>
      <c r="I34" s="14"/>
    </row>
    <row r="35" customFormat="false" ht="21.75" hidden="false" customHeight="true" outlineLevel="0" collapsed="false">
      <c r="B35" s="20" t="s">
        <v>109</v>
      </c>
      <c r="C35" s="20"/>
      <c r="D35" s="20"/>
      <c r="E35" s="26" t="str">
        <f aca="false">IF(OR($E$19="",$E$28=""),"",ROUND($E$19*1000*$E$28,0))</f>
        <v/>
      </c>
      <c r="F35" s="14" t="s">
        <v>110</v>
      </c>
      <c r="G35" s="14"/>
      <c r="H35" s="14"/>
      <c r="I35" s="14"/>
    </row>
    <row r="36" customFormat="false" ht="21.75" hidden="false" customHeight="true" outlineLevel="0" collapsed="false">
      <c r="B36" s="20" t="s">
        <v>111</v>
      </c>
      <c r="C36" s="20"/>
      <c r="D36" s="20"/>
      <c r="E36" s="23" t="str">
        <f aca="false">IF(OR($E$33="",$E$19=""),"",$E$33/($E$19*1000))</f>
        <v/>
      </c>
      <c r="F36" s="14" t="s">
        <v>112</v>
      </c>
      <c r="G36" s="14"/>
      <c r="H36" s="14"/>
      <c r="I36" s="14"/>
    </row>
    <row r="37" customFormat="false" ht="21.75" hidden="false" customHeight="true" outlineLevel="0" collapsed="false">
      <c r="B37" s="20" t="s">
        <v>48</v>
      </c>
      <c r="C37" s="20"/>
      <c r="D37" s="20"/>
      <c r="E37" s="28" t="str">
        <f aca="false">IF(OR($E$36="",$E$28=""),"",IF($E$36&lt;=$E$28,"OK",IF($E$36&lt;=MAX($E$28,0.75),"Apertado","Insuficiente")))</f>
        <v/>
      </c>
      <c r="F37" s="14" t="s">
        <v>113</v>
      </c>
      <c r="G37" s="14"/>
      <c r="H37" s="14"/>
      <c r="I37" s="14"/>
    </row>
    <row r="38" customFormat="false" ht="21.75" hidden="false" customHeight="true" outlineLevel="0" collapsed="false">
      <c r="B38" s="20" t="s">
        <v>114</v>
      </c>
      <c r="C38" s="20"/>
      <c r="D38" s="20"/>
      <c r="E38" s="26" t="str">
        <f aca="false">IF(OR($E$35="",$E$27=""),"",MAX(0,$E$35-$E$27))</f>
        <v/>
      </c>
      <c r="F38" s="14" t="s">
        <v>115</v>
      </c>
      <c r="G38" s="14"/>
      <c r="H38" s="14"/>
      <c r="I38" s="14"/>
    </row>
    <row r="39" customFormat="false" ht="21.75" hidden="false" customHeight="true" outlineLevel="0" collapsed="false">
      <c r="B39" s="20" t="s">
        <v>116</v>
      </c>
      <c r="C39" s="20"/>
      <c r="D39" s="20"/>
      <c r="E39" s="26" t="str">
        <f aca="false">IFERROR(VLOOKUP($E$24&amp;$E$25,$C$49:$E$53,2,FALSE()),"")</f>
        <v/>
      </c>
      <c r="F39" s="14" t="s">
        <v>117</v>
      </c>
      <c r="G39" s="14"/>
      <c r="H39" s="14"/>
      <c r="I39" s="14"/>
    </row>
    <row r="40" customFormat="false" ht="21.75" hidden="false" customHeight="true" outlineLevel="0" collapsed="false">
      <c r="B40" s="20" t="s">
        <v>118</v>
      </c>
      <c r="C40" s="20"/>
      <c r="D40" s="20"/>
      <c r="E40" s="26" t="str">
        <f aca="false">IFERROR(VLOOKUP($E$24&amp;$E$25,$C$49:$E$53,3,FALSE()),"")</f>
        <v/>
      </c>
      <c r="F40" s="14" t="s">
        <v>119</v>
      </c>
      <c r="G40" s="14"/>
      <c r="H40" s="14"/>
      <c r="I40" s="14"/>
    </row>
    <row r="41" customFormat="false" ht="21.75" hidden="false" customHeight="true" outlineLevel="0" collapsed="false">
      <c r="B41" s="20" t="s">
        <v>120</v>
      </c>
      <c r="C41" s="20"/>
      <c r="D41" s="20"/>
      <c r="E41" s="28" t="str">
        <f aca="false">IF(OR($E$26="",$E$39=""),"",IF($E$26&lt;$E$39,"Abaixo da faixa",IF($E$26&gt;$E$40,"Acima da faixa","OK")))</f>
        <v/>
      </c>
      <c r="F41" s="14" t="s">
        <v>121</v>
      </c>
      <c r="G41" s="14"/>
      <c r="H41" s="14"/>
      <c r="I41" s="14"/>
    </row>
    <row r="42" customFormat="false" ht="21.75" hidden="false" customHeight="true" outlineLevel="0" collapsed="false">
      <c r="B42" s="20" t="s">
        <v>122</v>
      </c>
      <c r="C42" s="20"/>
      <c r="D42" s="20"/>
      <c r="E42" s="21" t="str">
        <f aca="false">IF(OR($E$33="",$E$29=""),"",ROUND($E$33*$E$29*60/8/1000000,1))</f>
        <v/>
      </c>
      <c r="F42" s="14" t="s">
        <v>123</v>
      </c>
      <c r="G42" s="14"/>
      <c r="H42" s="14"/>
      <c r="I42" s="14"/>
    </row>
    <row r="43" customFormat="false" ht="21.75" hidden="false" customHeight="true" outlineLevel="0" collapsed="false">
      <c r="B43" s="20" t="s">
        <v>124</v>
      </c>
      <c r="C43" s="20"/>
      <c r="D43" s="20"/>
      <c r="E43" s="23" t="str">
        <f aca="false">IF(OR($E$33="",$E$30=""),"",$E$33/($E$30*1000))</f>
        <v/>
      </c>
      <c r="F43" s="14" t="s">
        <v>125</v>
      </c>
      <c r="G43" s="14"/>
      <c r="H43" s="14"/>
      <c r="I43" s="14"/>
    </row>
    <row r="44" customFormat="false" ht="21.75" hidden="false" customHeight="true" outlineLevel="0" collapsed="false">
      <c r="B44" s="20" t="s">
        <v>126</v>
      </c>
      <c r="C44" s="20"/>
      <c r="D44" s="20"/>
      <c r="E44" s="28" t="str">
        <f aca="false">IF(OR($E$43="",$E$28=""),"",IF($E$43&lt;=$E$28,"OK",IF($E$43&lt;=MAX($E$28,0.75),"Apertado","Insuficiente")))</f>
        <v/>
      </c>
      <c r="F44" s="14" t="s">
        <v>127</v>
      </c>
      <c r="G44" s="14"/>
      <c r="H44" s="14"/>
      <c r="I44" s="14"/>
    </row>
    <row r="45" customFormat="false" ht="24" hidden="false" customHeight="true" outlineLevel="0" collapsed="false">
      <c r="B45" s="20" t="s">
        <v>128</v>
      </c>
      <c r="C45" s="20"/>
      <c r="D45" s="20"/>
      <c r="E45" s="22" t="str">
        <f aca="false">IF($E$37="","Preencha as medições de upload e a configuração",IF($E$37="OK",IF($E$41="Abaixo da faixa","A rede comporta, mas o bitrate está baixo para o formato: suba o bitrate ou reduza o formato",IF($E$41="Acima da faixa","Bitrate acima da faixa do formato: pode baixar sem perder imagem","Manter")),IF(AND($E$39&lt;&gt;"",$E$38&lt;$E$39),"Este formato não cabe neste upload: reduza a resolução ou os quadros. Veja a tabela abaixo","Baixe o bitrate de vídeo para "&amp;$E$38&amp;" kbps ou menos")))</f>
        <v>Preencha as medições de upload e a configuração</v>
      </c>
      <c r="F45" s="22"/>
      <c r="G45" s="22"/>
      <c r="H45" s="22"/>
      <c r="I45" s="22"/>
    </row>
    <row r="47" customFormat="false" ht="21.75" hidden="false" customHeight="true" outlineLevel="0" collapsed="false">
      <c r="B47" s="10" t="s">
        <v>129</v>
      </c>
      <c r="C47" s="10"/>
      <c r="D47" s="10"/>
      <c r="E47" s="10"/>
      <c r="F47" s="10"/>
      <c r="G47" s="10"/>
      <c r="H47" s="10"/>
      <c r="I47" s="10"/>
    </row>
    <row r="48" customFormat="false" ht="24" hidden="false" customHeight="true" outlineLevel="0" collapsed="false">
      <c r="B48" s="11" t="s">
        <v>70</v>
      </c>
      <c r="C48" s="11" t="s">
        <v>130</v>
      </c>
      <c r="D48" s="11" t="s">
        <v>131</v>
      </c>
      <c r="E48" s="11" t="s">
        <v>132</v>
      </c>
      <c r="F48" s="12" t="s">
        <v>133</v>
      </c>
      <c r="G48" s="12" t="s">
        <v>134</v>
      </c>
      <c r="H48" s="12" t="s">
        <v>111</v>
      </c>
      <c r="I48" s="11" t="s">
        <v>75</v>
      </c>
    </row>
    <row r="49" customFormat="false" ht="21.75" hidden="false" customHeight="true" outlineLevel="0" collapsed="false">
      <c r="B49" s="16" t="n">
        <v>1</v>
      </c>
      <c r="C49" s="8" t="s">
        <v>135</v>
      </c>
      <c r="D49" s="24" t="n">
        <v>1000</v>
      </c>
      <c r="E49" s="24" t="n">
        <v>2000</v>
      </c>
      <c r="F49" s="28" t="str">
        <f aca="false">IF(OR($E$38="",D49=""),"",IF($E$38&gt;=D49,"Cabe","Não cabe"))</f>
        <v/>
      </c>
      <c r="G49" s="26" t="str">
        <f aca="false">IF(F49="Cabe",MIN(E49,ROUND($E$38/100-0.5,0)*100),"")</f>
        <v/>
      </c>
      <c r="H49" s="29" t="str">
        <f aca="false">IF(OR(G49="",$E$19=""),"",(G49+$E$27)/($E$19*1000))</f>
        <v/>
      </c>
      <c r="I49" s="6" t="s">
        <v>136</v>
      </c>
    </row>
    <row r="50" customFormat="false" ht="21.75" hidden="false" customHeight="true" outlineLevel="0" collapsed="false">
      <c r="B50" s="16" t="n">
        <v>2</v>
      </c>
      <c r="C50" s="8" t="s">
        <v>137</v>
      </c>
      <c r="D50" s="24" t="n">
        <v>2500</v>
      </c>
      <c r="E50" s="24" t="n">
        <v>4000</v>
      </c>
      <c r="F50" s="28" t="str">
        <f aca="false">IF(OR($E$38="",D50=""),"",IF($E$38&gt;=D50,"Cabe","Não cabe"))</f>
        <v/>
      </c>
      <c r="G50" s="26" t="str">
        <f aca="false">IF(F50="Cabe",MIN(E50,ROUND($E$38/100-0.5,0)*100),"")</f>
        <v/>
      </c>
      <c r="H50" s="29" t="str">
        <f aca="false">IF(OR(G50="",$E$19=""),"",(G50+$E$27)/($E$19*1000))</f>
        <v/>
      </c>
      <c r="I50" s="6" t="s">
        <v>138</v>
      </c>
    </row>
    <row r="51" customFormat="false" ht="21.75" hidden="false" customHeight="true" outlineLevel="0" collapsed="false">
      <c r="B51" s="16" t="n">
        <v>3</v>
      </c>
      <c r="C51" s="8" t="s">
        <v>139</v>
      </c>
      <c r="D51" s="24" t="n">
        <v>3500</v>
      </c>
      <c r="E51" s="24" t="n">
        <v>6000</v>
      </c>
      <c r="F51" s="28" t="str">
        <f aca="false">IF(OR($E$38="",D51=""),"",IF($E$38&gt;=D51,"Cabe","Não cabe"))</f>
        <v/>
      </c>
      <c r="G51" s="26" t="str">
        <f aca="false">IF(F51="Cabe",MIN(E51,ROUND($E$38/100-0.5,0)*100),"")</f>
        <v/>
      </c>
      <c r="H51" s="29" t="str">
        <f aca="false">IF(OR(G51="",$E$19=""),"",(G51+$E$27)/($E$19*1000))</f>
        <v/>
      </c>
      <c r="I51" s="6" t="s">
        <v>140</v>
      </c>
    </row>
    <row r="52" customFormat="false" ht="21.75" hidden="false" customHeight="true" outlineLevel="0" collapsed="false">
      <c r="B52" s="16" t="n">
        <v>4</v>
      </c>
      <c r="C52" s="8" t="s">
        <v>141</v>
      </c>
      <c r="D52" s="24" t="n">
        <v>4000</v>
      </c>
      <c r="E52" s="24" t="n">
        <v>6000</v>
      </c>
      <c r="F52" s="28" t="str">
        <f aca="false">IF(OR($E$38="",D52=""),"",IF($E$38&gt;=D52,"Cabe","Não cabe"))</f>
        <v/>
      </c>
      <c r="G52" s="26" t="str">
        <f aca="false">IF(F52="Cabe",MIN(E52,ROUND($E$38/100-0.5,0)*100),"")</f>
        <v/>
      </c>
      <c r="H52" s="29" t="str">
        <f aca="false">IF(OR(G52="",$E$19=""),"",(G52+$E$27)/($E$19*1000))</f>
        <v/>
      </c>
      <c r="I52" s="6" t="s">
        <v>142</v>
      </c>
    </row>
    <row r="53" customFormat="false" ht="21.75" hidden="false" customHeight="true" outlineLevel="0" collapsed="false">
      <c r="B53" s="16" t="n">
        <v>5</v>
      </c>
      <c r="C53" s="8" t="s">
        <v>143</v>
      </c>
      <c r="D53" s="24" t="n">
        <v>6000</v>
      </c>
      <c r="E53" s="24" t="n">
        <v>9000</v>
      </c>
      <c r="F53" s="28" t="str">
        <f aca="false">IF(OR($E$38="",D53=""),"",IF($E$38&gt;=D53,"Cabe","Não cabe"))</f>
        <v/>
      </c>
      <c r="G53" s="26" t="str">
        <f aca="false">IF(F53="Cabe",MIN(E53,ROUND($E$38/100-0.5,0)*100),"")</f>
        <v/>
      </c>
      <c r="H53" s="29" t="str">
        <f aca="false">IF(OR(G53="",$E$19=""),"",(G53+$E$27)/($E$19*1000))</f>
        <v/>
      </c>
      <c r="I53" s="6" t="s">
        <v>144</v>
      </c>
    </row>
    <row r="54" customFormat="false" ht="30" hidden="false" customHeight="true" outlineLevel="0" collapsed="false">
      <c r="B54" s="14" t="s">
        <v>145</v>
      </c>
      <c r="C54" s="14"/>
      <c r="D54" s="14"/>
      <c r="E54" s="14"/>
      <c r="F54" s="14"/>
      <c r="G54" s="14"/>
      <c r="H54" s="14"/>
      <c r="I54" s="14"/>
    </row>
  </sheetData>
  <mergeCells count="71">
    <mergeCell ref="B1:I1"/>
    <mergeCell ref="B2:I2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B10:I10"/>
    <mergeCell ref="G11:I11"/>
    <mergeCell ref="G12:I12"/>
    <mergeCell ref="G13:I13"/>
    <mergeCell ref="G14:I14"/>
    <mergeCell ref="G15:I15"/>
    <mergeCell ref="G16:I16"/>
    <mergeCell ref="G17:I17"/>
    <mergeCell ref="G18:I18"/>
    <mergeCell ref="B19:D19"/>
    <mergeCell ref="F19:I19"/>
    <mergeCell ref="B20:D20"/>
    <mergeCell ref="F20:I20"/>
    <mergeCell ref="B21:D21"/>
    <mergeCell ref="F21:I21"/>
    <mergeCell ref="B23:I23"/>
    <mergeCell ref="B24:D24"/>
    <mergeCell ref="F24:I24"/>
    <mergeCell ref="B25:D25"/>
    <mergeCell ref="F25:I25"/>
    <mergeCell ref="B26:D26"/>
    <mergeCell ref="F26:I26"/>
    <mergeCell ref="B27:D27"/>
    <mergeCell ref="F27:I27"/>
    <mergeCell ref="B28:D28"/>
    <mergeCell ref="F28:I28"/>
    <mergeCell ref="B29:D29"/>
    <mergeCell ref="F29:I29"/>
    <mergeCell ref="B30:D30"/>
    <mergeCell ref="F30:I30"/>
    <mergeCell ref="B32:I32"/>
    <mergeCell ref="B33:D33"/>
    <mergeCell ref="F33:I33"/>
    <mergeCell ref="B34:D34"/>
    <mergeCell ref="F34:I34"/>
    <mergeCell ref="B35:D35"/>
    <mergeCell ref="F35:I35"/>
    <mergeCell ref="B36:D36"/>
    <mergeCell ref="F36:I36"/>
    <mergeCell ref="B37:D37"/>
    <mergeCell ref="F37:I37"/>
    <mergeCell ref="B38:D38"/>
    <mergeCell ref="F38:I38"/>
    <mergeCell ref="B39:D39"/>
    <mergeCell ref="F39:I39"/>
    <mergeCell ref="B40:D40"/>
    <mergeCell ref="F40:I40"/>
    <mergeCell ref="B41:D41"/>
    <mergeCell ref="F41:I41"/>
    <mergeCell ref="B42:D42"/>
    <mergeCell ref="F42:I42"/>
    <mergeCell ref="B43:D43"/>
    <mergeCell ref="F43:I43"/>
    <mergeCell ref="B44:D44"/>
    <mergeCell ref="F44:I44"/>
    <mergeCell ref="B45:D45"/>
    <mergeCell ref="E45:I45"/>
    <mergeCell ref="B47:I47"/>
    <mergeCell ref="B54:I54"/>
  </mergeCells>
  <conditionalFormatting sqref="F20:I20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AND(LEN($F$20)&gt;0,$F$20&lt;&gt;"OK")</formula>
    </cfRule>
  </conditionalFormatting>
  <conditionalFormatting sqref="F21:I21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AND(LEN($F$21)&gt;0,$F$21&lt;&gt;"OK")</formula>
    </cfRule>
  </conditionalFormatting>
  <conditionalFormatting sqref="E37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"Apertado"</formula>
    </cfRule>
    <cfRule type="cellIs" priority="8" operator="equal" aboveAverage="0" equalAverage="0" bottom="0" percent="0" rank="0" text="" dxfId="2">
      <formula>"Insuficiente"</formula>
    </cfRule>
  </conditionalFormatting>
  <conditionalFormatting sqref="E44">
    <cfRule type="cellIs" priority="9" operator="equal" aboveAverage="0" equalAverage="0" bottom="0" percent="0" rank="0" text="" dxfId="0">
      <formula>"OK"</formula>
    </cfRule>
    <cfRule type="cellIs" priority="10" operator="equal" aboveAverage="0" equalAverage="0" bottom="0" percent="0" rank="0" text="" dxfId="1">
      <formula>"Apertado"</formula>
    </cfRule>
    <cfRule type="cellIs" priority="11" operator="equal" aboveAverage="0" equalAverage="0" bottom="0" percent="0" rank="0" text="" dxfId="2">
      <formula>"Insuficiente"</formula>
    </cfRule>
  </conditionalFormatting>
  <conditionalFormatting sqref="E41">
    <cfRule type="cellIs" priority="12" operator="equal" aboveAverage="0" equalAverage="0" bottom="0" percent="0" rank="0" text="" dxfId="0">
      <formula>"OK"</formula>
    </cfRule>
    <cfRule type="expression" priority="13" aboveAverage="0" equalAverage="0" bottom="0" percent="0" rank="0" text="" dxfId="1">
      <formula>AND(LEN($E$41)&gt;0,$E$41&lt;&gt;"OK")</formula>
    </cfRule>
  </conditionalFormatting>
  <conditionalFormatting sqref="E45:I45">
    <cfRule type="cellIs" priority="14" operator="equal" aboveAverage="0" equalAverage="0" bottom="0" percent="0" rank="0" text="" dxfId="0">
      <formula>"Manter"</formula>
    </cfRule>
    <cfRule type="expression" priority="15" aboveAverage="0" equalAverage="0" bottom="0" percent="0" rank="0" text="" dxfId="1">
      <formula>AND($E$37&lt;&gt;"",$E$45&lt;&gt;"Manter")</formula>
    </cfRule>
  </conditionalFormatting>
  <conditionalFormatting sqref="F49:F53">
    <cfRule type="cellIs" priority="16" operator="equal" aboveAverage="0" equalAverage="0" bottom="0" percent="0" rank="0" text="" dxfId="0">
      <formula>"Cabe"</formula>
    </cfRule>
    <cfRule type="cellIs" priority="17" operator="equal" aboveAverage="0" equalAverage="0" bottom="0" percent="0" rank="0" text="" dxfId="2">
      <formula>"Não cabe"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Cabo, Wi-Fi ou 4G ou 5G." promptTitle="Opções" showDropDown="false" showErrorMessage="true" showInputMessage="true" sqref="D14:D18" type="list">
      <formula1>"Cabo,Wi-Fi,4G ou 5G"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F18" type="decimal">
      <formula1>-1000000000</formula1>
      <formula2>1000000000</formula2>
    </dataValidation>
    <dataValidation allowBlank="true" error="Escolha uma das opções da lista." errorStyle="stop" errorTitle="Valor inválido" operator="between" prompt="480p, 720p ou 1080p." promptTitle="Opções" showDropDown="false" showErrorMessage="true" showInputMessage="true" sqref="E24" type="list">
      <formula1>"480p,720p,1080p"</formula1>
      <formula2>0</formula2>
    </dataValidation>
    <dataValidation allowBlank="true" error="Escolha uma das opções da lista." errorStyle="stop" errorTitle="Valor inválido" operator="between" prompt="30 ou 60." promptTitle="Opções" showDropDown="false" showErrorMessage="true" showInputMessage="true" sqref="E25" type="list">
      <formula1>"30,60"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6:E30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49:E5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54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146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147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" t="s">
        <v>64</v>
      </c>
      <c r="C4" s="4"/>
      <c r="D4" s="5"/>
      <c r="E4" s="5"/>
      <c r="F4" s="14" t="s">
        <v>148</v>
      </c>
      <c r="G4" s="14"/>
      <c r="H4" s="14"/>
    </row>
    <row r="5" customFormat="false" ht="21.75" hidden="false" customHeight="true" outlineLevel="0" collapsed="false">
      <c r="B5" s="4" t="s">
        <v>66</v>
      </c>
      <c r="C5" s="4"/>
      <c r="D5" s="9"/>
      <c r="E5" s="9"/>
      <c r="F5" s="14"/>
      <c r="G5" s="14"/>
      <c r="H5" s="14"/>
    </row>
    <row r="6" customFormat="false" ht="21.75" hidden="false" customHeight="true" outlineLevel="0" collapsed="false">
      <c r="B6" s="4" t="s">
        <v>67</v>
      </c>
      <c r="C6" s="4"/>
      <c r="D6" s="5"/>
      <c r="E6" s="5"/>
      <c r="F6" s="14"/>
      <c r="G6" s="14"/>
      <c r="H6" s="14"/>
    </row>
    <row r="8" customFormat="false" ht="21.75" hidden="false" customHeight="true" outlineLevel="0" collapsed="false">
      <c r="B8" s="10" t="s">
        <v>149</v>
      </c>
      <c r="C8" s="10"/>
      <c r="D8" s="10"/>
      <c r="E8" s="10"/>
      <c r="F8" s="10"/>
      <c r="G8" s="10"/>
      <c r="H8" s="10"/>
    </row>
    <row r="9" customFormat="false" ht="24" hidden="false" customHeight="true" outlineLevel="0" collapsed="false">
      <c r="B9" s="11" t="s">
        <v>70</v>
      </c>
      <c r="C9" s="11" t="s">
        <v>150</v>
      </c>
      <c r="D9" s="11" t="s">
        <v>151</v>
      </c>
      <c r="E9" s="12" t="s">
        <v>152</v>
      </c>
      <c r="F9" s="11" t="s">
        <v>153</v>
      </c>
      <c r="G9" s="30" t="s">
        <v>154</v>
      </c>
      <c r="H9" s="11" t="s">
        <v>75</v>
      </c>
    </row>
    <row r="10" customFormat="false" ht="21.75" hidden="false" customHeight="true" outlineLevel="0" collapsed="false">
      <c r="B10" s="16" t="n">
        <v>1</v>
      </c>
      <c r="C10" s="6" t="s">
        <v>68</v>
      </c>
      <c r="D10" s="4" t="s">
        <v>155</v>
      </c>
      <c r="E10" s="17"/>
      <c r="F10" s="6" t="s">
        <v>156</v>
      </c>
      <c r="G10" s="13" t="s">
        <v>157</v>
      </c>
      <c r="H10" s="5"/>
    </row>
    <row r="11" customFormat="false" ht="21.75" hidden="false" customHeight="true" outlineLevel="0" collapsed="false">
      <c r="B11" s="16" t="n">
        <v>2</v>
      </c>
      <c r="C11" s="6" t="s">
        <v>68</v>
      </c>
      <c r="D11" s="4" t="s">
        <v>158</v>
      </c>
      <c r="E11" s="17"/>
      <c r="F11" s="6" t="s">
        <v>159</v>
      </c>
      <c r="G11" s="28" t="str">
        <f aca="false">IF(E11="","",IF(E11="Sim","OK","Pendente"))</f>
        <v/>
      </c>
      <c r="H11" s="5"/>
    </row>
    <row r="12" customFormat="false" ht="21.75" hidden="false" customHeight="true" outlineLevel="0" collapsed="false">
      <c r="B12" s="16" t="n">
        <v>3</v>
      </c>
      <c r="C12" s="6" t="s">
        <v>68</v>
      </c>
      <c r="D12" s="4" t="s">
        <v>160</v>
      </c>
      <c r="E12" s="17"/>
      <c r="F12" s="6" t="s">
        <v>161</v>
      </c>
      <c r="G12" s="13" t="s">
        <v>157</v>
      </c>
      <c r="H12" s="5"/>
    </row>
    <row r="13" customFormat="false" ht="21.75" hidden="false" customHeight="true" outlineLevel="0" collapsed="false">
      <c r="B13" s="16" t="n">
        <v>4</v>
      </c>
      <c r="C13" s="6" t="s">
        <v>68</v>
      </c>
      <c r="D13" s="4" t="s">
        <v>162</v>
      </c>
      <c r="E13" s="17"/>
      <c r="F13" s="6" t="s">
        <v>163</v>
      </c>
      <c r="G13" s="28" t="str">
        <f aca="false">IF(E13="","",IF(E13="Sim","OK","Pendente"))</f>
        <v/>
      </c>
      <c r="H13" s="5"/>
    </row>
    <row r="14" customFormat="false" ht="21.75" hidden="false" customHeight="true" outlineLevel="0" collapsed="false">
      <c r="B14" s="16" t="n">
        <v>5</v>
      </c>
      <c r="C14" s="6" t="s">
        <v>68</v>
      </c>
      <c r="D14" s="4" t="s">
        <v>164</v>
      </c>
      <c r="E14" s="17"/>
      <c r="F14" s="6" t="s">
        <v>165</v>
      </c>
      <c r="G14" s="28" t="str">
        <f aca="false">IF(E14="","",IF(E14="Sim","OK","Pendente"))</f>
        <v/>
      </c>
      <c r="H14" s="5"/>
    </row>
    <row r="15" customFormat="false" ht="21.75" hidden="false" customHeight="true" outlineLevel="0" collapsed="false">
      <c r="B15" s="16" t="n">
        <v>6</v>
      </c>
      <c r="C15" s="6" t="s">
        <v>166</v>
      </c>
      <c r="D15" s="4" t="s">
        <v>167</v>
      </c>
      <c r="E15" s="17"/>
      <c r="F15" s="6" t="s">
        <v>168</v>
      </c>
      <c r="G15" s="13" t="s">
        <v>157</v>
      </c>
      <c r="H15" s="5"/>
    </row>
    <row r="16" customFormat="false" ht="21.75" hidden="false" customHeight="true" outlineLevel="0" collapsed="false">
      <c r="B16" s="16" t="n">
        <v>7</v>
      </c>
      <c r="C16" s="6" t="s">
        <v>166</v>
      </c>
      <c r="D16" s="4" t="s">
        <v>92</v>
      </c>
      <c r="E16" s="17"/>
      <c r="F16" s="6" t="s">
        <v>169</v>
      </c>
      <c r="G16" s="13" t="s">
        <v>157</v>
      </c>
      <c r="H16" s="5"/>
    </row>
    <row r="17" customFormat="false" ht="21.75" hidden="false" customHeight="true" outlineLevel="0" collapsed="false">
      <c r="B17" s="16" t="n">
        <v>8</v>
      </c>
      <c r="C17" s="6" t="s">
        <v>166</v>
      </c>
      <c r="D17" s="4" t="s">
        <v>94</v>
      </c>
      <c r="E17" s="17"/>
      <c r="F17" s="6" t="s">
        <v>170</v>
      </c>
      <c r="G17" s="13" t="s">
        <v>157</v>
      </c>
      <c r="H17" s="5"/>
    </row>
    <row r="18" customFormat="false" ht="21.75" hidden="false" customHeight="true" outlineLevel="0" collapsed="false">
      <c r="B18" s="16" t="n">
        <v>9</v>
      </c>
      <c r="C18" s="6" t="s">
        <v>166</v>
      </c>
      <c r="D18" s="4" t="s">
        <v>171</v>
      </c>
      <c r="E18" s="17"/>
      <c r="F18" s="6" t="s">
        <v>172</v>
      </c>
      <c r="G18" s="28" t="str">
        <f aca="false">IF(E18="","",IF(OR(E18="H.264"),"OK","Rever"))</f>
        <v/>
      </c>
      <c r="H18" s="5"/>
    </row>
    <row r="19" customFormat="false" ht="21.75" hidden="false" customHeight="true" outlineLevel="0" collapsed="false">
      <c r="B19" s="16" t="n">
        <v>10</v>
      </c>
      <c r="C19" s="6" t="s">
        <v>166</v>
      </c>
      <c r="D19" s="4" t="s">
        <v>173</v>
      </c>
      <c r="E19" s="17"/>
      <c r="F19" s="6" t="s">
        <v>174</v>
      </c>
      <c r="G19" s="28" t="str">
        <f aca="false">IF(E19="","",IF(OR(E19="CBR"),"OK","Rever"))</f>
        <v/>
      </c>
      <c r="H19" s="5"/>
    </row>
    <row r="20" customFormat="false" ht="21.75" hidden="false" customHeight="true" outlineLevel="0" collapsed="false">
      <c r="B20" s="16" t="n">
        <v>11</v>
      </c>
      <c r="C20" s="6" t="s">
        <v>166</v>
      </c>
      <c r="D20" s="4" t="s">
        <v>175</v>
      </c>
      <c r="E20" s="17"/>
      <c r="F20" s="6" t="s">
        <v>176</v>
      </c>
      <c r="G20" s="28" t="str">
        <f aca="false">IF(E20="","",IF(E20=2,"OK","Rever"))</f>
        <v/>
      </c>
      <c r="H20" s="5"/>
    </row>
    <row r="21" customFormat="false" ht="21.75" hidden="false" customHeight="true" outlineLevel="0" collapsed="false">
      <c r="B21" s="16" t="n">
        <v>12</v>
      </c>
      <c r="C21" s="6" t="s">
        <v>166</v>
      </c>
      <c r="D21" s="4" t="s">
        <v>177</v>
      </c>
      <c r="E21" s="17"/>
      <c r="F21" s="6" t="s">
        <v>178</v>
      </c>
      <c r="G21" s="13" t="s">
        <v>157</v>
      </c>
      <c r="H21" s="5"/>
    </row>
    <row r="22" customFormat="false" ht="21.75" hidden="false" customHeight="true" outlineLevel="0" collapsed="false">
      <c r="B22" s="16" t="n">
        <v>13</v>
      </c>
      <c r="C22" s="6" t="s">
        <v>56</v>
      </c>
      <c r="D22" s="4" t="s">
        <v>179</v>
      </c>
      <c r="E22" s="17"/>
      <c r="F22" s="6" t="s">
        <v>180</v>
      </c>
      <c r="G22" s="28" t="str">
        <f aca="false">IF(E22="","",IF(OR(E22="Auxiliar",E22="Matriz",E22="Mesa dedicada"),"OK","Rever"))</f>
        <v/>
      </c>
      <c r="H22" s="5"/>
    </row>
    <row r="23" customFormat="false" ht="21.75" hidden="false" customHeight="true" outlineLevel="0" collapsed="false">
      <c r="B23" s="16" t="n">
        <v>14</v>
      </c>
      <c r="C23" s="6" t="s">
        <v>56</v>
      </c>
      <c r="D23" s="4" t="s">
        <v>181</v>
      </c>
      <c r="E23" s="17"/>
      <c r="F23" s="6" t="s">
        <v>182</v>
      </c>
      <c r="G23" s="28" t="str">
        <f aca="false">IF(E23="","",IF(E23=48,"OK","Rever"))</f>
        <v/>
      </c>
      <c r="H23" s="5"/>
    </row>
    <row r="24" customFormat="false" ht="21.75" hidden="false" customHeight="true" outlineLevel="0" collapsed="false">
      <c r="B24" s="16" t="n">
        <v>15</v>
      </c>
      <c r="C24" s="6" t="s">
        <v>56</v>
      </c>
      <c r="D24" s="4" t="s">
        <v>96</v>
      </c>
      <c r="E24" s="17"/>
      <c r="F24" s="6" t="s">
        <v>183</v>
      </c>
      <c r="G24" s="28" t="str">
        <f aca="false">IF(E24="","",IF(E24&lt;128,"Baixo","OK"))</f>
        <v/>
      </c>
      <c r="H24" s="5"/>
    </row>
    <row r="25" customFormat="false" ht="21.75" hidden="false" customHeight="true" outlineLevel="0" collapsed="false">
      <c r="B25" s="16" t="n">
        <v>16</v>
      </c>
      <c r="C25" s="6" t="s">
        <v>56</v>
      </c>
      <c r="D25" s="4" t="s">
        <v>184</v>
      </c>
      <c r="E25" s="17"/>
      <c r="F25" s="6" t="s">
        <v>185</v>
      </c>
      <c r="G25" s="13" t="s">
        <v>157</v>
      </c>
      <c r="H25" s="5"/>
    </row>
    <row r="26" customFormat="false" ht="21.75" hidden="false" customHeight="true" outlineLevel="0" collapsed="false">
      <c r="B26" s="16" t="n">
        <v>17</v>
      </c>
      <c r="C26" s="6" t="s">
        <v>56</v>
      </c>
      <c r="D26" s="4" t="s">
        <v>186</v>
      </c>
      <c r="E26" s="31"/>
      <c r="F26" s="6" t="s">
        <v>187</v>
      </c>
      <c r="G26" s="28" t="str">
        <f aca="false">IF(E26="","",IF(E26&lt;-18,"Baixo",IF(E26&gt;-13,"Alto","OK")))</f>
        <v/>
      </c>
      <c r="H26" s="5"/>
    </row>
    <row r="27" customFormat="false" ht="21.75" hidden="false" customHeight="true" outlineLevel="0" collapsed="false">
      <c r="B27" s="16" t="n">
        <v>18</v>
      </c>
      <c r="C27" s="6" t="s">
        <v>56</v>
      </c>
      <c r="D27" s="4" t="s">
        <v>188</v>
      </c>
      <c r="E27" s="31"/>
      <c r="F27" s="6" t="s">
        <v>189</v>
      </c>
      <c r="G27" s="28" t="str">
        <f aca="false">IF(E27="","",IF(E27&gt;=0,"Clip",IF(E27&gt;-1,"Alto","OK")))</f>
        <v/>
      </c>
      <c r="H27" s="5"/>
    </row>
    <row r="28" customFormat="false" ht="21.75" hidden="false" customHeight="true" outlineLevel="0" collapsed="false">
      <c r="B28" s="16" t="n">
        <v>19</v>
      </c>
      <c r="C28" s="6" t="s">
        <v>56</v>
      </c>
      <c r="D28" s="4" t="s">
        <v>190</v>
      </c>
      <c r="E28" s="17"/>
      <c r="F28" s="6" t="s">
        <v>191</v>
      </c>
      <c r="G28" s="13" t="s">
        <v>157</v>
      </c>
      <c r="H28" s="5"/>
    </row>
    <row r="29" customFormat="false" ht="21.75" hidden="false" customHeight="true" outlineLevel="0" collapsed="false">
      <c r="B29" s="16" t="n">
        <v>20</v>
      </c>
      <c r="C29" s="6" t="s">
        <v>56</v>
      </c>
      <c r="D29" s="4" t="s">
        <v>192</v>
      </c>
      <c r="E29" s="8" t="str">
        <f aca="false">IFERROR(IF(OR(E28="",E16=""),"",ROUND(E28*1000/E16,0)),"")</f>
        <v/>
      </c>
      <c r="F29" s="6" t="s">
        <v>193</v>
      </c>
      <c r="G29" s="13" t="s">
        <v>157</v>
      </c>
      <c r="H29" s="5"/>
    </row>
    <row r="30" customFormat="false" ht="21.75" hidden="false" customHeight="true" outlineLevel="0" collapsed="false">
      <c r="B30" s="16" t="n">
        <v>21</v>
      </c>
      <c r="C30" s="6" t="s">
        <v>56</v>
      </c>
      <c r="D30" s="4" t="s">
        <v>194</v>
      </c>
      <c r="E30" s="17"/>
      <c r="F30" s="6" t="s">
        <v>195</v>
      </c>
      <c r="G30" s="28" t="str">
        <f aca="false">IF(OR(E30="",E29=""),"",IF(ABS(E30-E29)&lt;=IFERROR(500/E16,17),"OK","Rever"))</f>
        <v/>
      </c>
      <c r="H30" s="5"/>
    </row>
    <row r="31" customFormat="false" ht="21.75" hidden="false" customHeight="true" outlineLevel="0" collapsed="false">
      <c r="B31" s="16" t="n">
        <v>22</v>
      </c>
      <c r="C31" s="6" t="s">
        <v>196</v>
      </c>
      <c r="D31" s="4" t="s">
        <v>197</v>
      </c>
      <c r="E31" s="17"/>
      <c r="F31" s="6" t="s">
        <v>198</v>
      </c>
      <c r="G31" s="28" t="str">
        <f aca="false">IF(E31="","",IF(OR(E31="Cabo"),"OK","Rever"))</f>
        <v/>
      </c>
      <c r="H31" s="5"/>
    </row>
    <row r="32" customFormat="false" ht="21.75" hidden="false" customHeight="true" outlineLevel="0" collapsed="false">
      <c r="B32" s="16" t="n">
        <v>23</v>
      </c>
      <c r="C32" s="6" t="s">
        <v>196</v>
      </c>
      <c r="D32" s="4" t="s">
        <v>199</v>
      </c>
      <c r="E32" s="17"/>
      <c r="F32" s="6" t="s">
        <v>200</v>
      </c>
      <c r="G32" s="28" t="str">
        <f aca="false">IF(E32="","",IF(E32="Sim","OK","Pendente"))</f>
        <v/>
      </c>
      <c r="H32" s="5"/>
    </row>
    <row r="33" customFormat="false" ht="21.75" hidden="false" customHeight="true" outlineLevel="0" collapsed="false">
      <c r="B33" s="16" t="n">
        <v>24</v>
      </c>
      <c r="C33" s="6" t="s">
        <v>196</v>
      </c>
      <c r="D33" s="4" t="s">
        <v>201</v>
      </c>
      <c r="E33" s="17"/>
      <c r="F33" s="6" t="s">
        <v>202</v>
      </c>
      <c r="G33" s="28" t="str">
        <f aca="false">IF(E33="","",IF(E33="Sim","OK","Pendente"))</f>
        <v/>
      </c>
      <c r="H33" s="5"/>
    </row>
    <row r="34" customFormat="false" ht="21.75" hidden="false" customHeight="true" outlineLevel="0" collapsed="false">
      <c r="B34" s="16" t="n">
        <v>25</v>
      </c>
      <c r="C34" s="6" t="s">
        <v>196</v>
      </c>
      <c r="D34" s="4" t="s">
        <v>203</v>
      </c>
      <c r="E34" s="17"/>
      <c r="F34" s="6" t="s">
        <v>204</v>
      </c>
      <c r="G34" s="28" t="str">
        <f aca="false">IF(E34="","",IF(E34="Sim","OK","Pendente"))</f>
        <v/>
      </c>
      <c r="H34" s="5"/>
    </row>
    <row r="35" customFormat="false" ht="21.75" hidden="false" customHeight="true" outlineLevel="0" collapsed="false">
      <c r="B35" s="16" t="n">
        <v>26</v>
      </c>
      <c r="C35" s="6" t="s">
        <v>196</v>
      </c>
      <c r="D35" s="4" t="s">
        <v>205</v>
      </c>
      <c r="E35" s="17"/>
      <c r="F35" s="6" t="s">
        <v>206</v>
      </c>
      <c r="G35" s="28" t="str">
        <f aca="false">IF(E35="","",IF(E35="Sim","OK","Pendente"))</f>
        <v/>
      </c>
      <c r="H35" s="5"/>
    </row>
    <row r="37" customFormat="false" ht="21.75" hidden="false" customHeight="true" outlineLevel="0" collapsed="false">
      <c r="B37" s="10" t="s">
        <v>207</v>
      </c>
      <c r="C37" s="10"/>
      <c r="D37" s="10"/>
      <c r="E37" s="10"/>
      <c r="F37" s="10"/>
      <c r="G37" s="10"/>
      <c r="H37" s="10"/>
    </row>
    <row r="38" customFormat="false" ht="19.5" hidden="false" customHeight="true" outlineLevel="0" collapsed="false">
      <c r="B38" s="20" t="s">
        <v>208</v>
      </c>
      <c r="C38" s="20"/>
      <c r="D38" s="20"/>
      <c r="E38" s="8" t="n">
        <f aca="false">COUNTIF(G10:G35,"OK")</f>
        <v>0</v>
      </c>
    </row>
    <row r="39" customFormat="false" ht="19.5" hidden="false" customHeight="true" outlineLevel="0" collapsed="false">
      <c r="B39" s="20" t="s">
        <v>209</v>
      </c>
      <c r="C39" s="20"/>
      <c r="D39" s="20"/>
      <c r="E39" s="8" t="n">
        <f aca="false">COUNTIF(G10:G35,"Pendente")+COUNTIF(G10:G35,"Rever")+COUNTIF(G10:G35,"Baixo")+COUNTIF(G10:G35,"Alto")+COUNTIF(G10:G35,"Clip")</f>
        <v>0</v>
      </c>
    </row>
    <row r="40" customFormat="false" ht="21.75" hidden="false" customHeight="true" outlineLevel="0" collapsed="false">
      <c r="B40" s="20" t="s">
        <v>210</v>
      </c>
      <c r="C40" s="20"/>
      <c r="D40" s="20"/>
      <c r="E40" s="22" t="str">
        <f aca="false">IF(E38+E39=0,"Preencha a ficha",IF(E39&gt;0,"Há itens a resolver antes de transmitir","OK"))</f>
        <v>Preencha a ficha</v>
      </c>
      <c r="F40" s="22"/>
      <c r="G40" s="22"/>
      <c r="H40" s="22"/>
    </row>
    <row r="41" customFormat="false" ht="15" hidden="false" customHeight="true" outlineLevel="0" collapsed="false">
      <c r="B41" s="14" t="s">
        <v>211</v>
      </c>
      <c r="C41" s="14"/>
      <c r="D41" s="14"/>
      <c r="E41" s="14"/>
      <c r="F41" s="14"/>
      <c r="G41" s="14"/>
      <c r="H41" s="14"/>
    </row>
  </sheetData>
  <mergeCells count="16">
    <mergeCell ref="B1:H1"/>
    <mergeCell ref="B2:H2"/>
    <mergeCell ref="B4:C4"/>
    <mergeCell ref="D4:E4"/>
    <mergeCell ref="F4:H6"/>
    <mergeCell ref="B5:C5"/>
    <mergeCell ref="D5:E5"/>
    <mergeCell ref="B6:C6"/>
    <mergeCell ref="D6:E6"/>
    <mergeCell ref="B8:H8"/>
    <mergeCell ref="B37:H37"/>
    <mergeCell ref="B38:D38"/>
    <mergeCell ref="B39:D39"/>
    <mergeCell ref="B40:D40"/>
    <mergeCell ref="E40:H40"/>
    <mergeCell ref="B41:H41"/>
  </mergeCells>
  <conditionalFormatting sqref="G10:G3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"Pendente"</formula>
    </cfRule>
    <cfRule type="cellIs" priority="4" operator="equal" aboveAverage="0" equalAverage="0" bottom="0" percent="0" rank="0" text="" dxfId="1">
      <formula>"Rever"</formula>
    </cfRule>
    <cfRule type="cellIs" priority="5" operator="equal" aboveAverage="0" equalAverage="0" bottom="0" percent="0" rank="0" text="" dxfId="1">
      <formula>"Baixo"</formula>
    </cfRule>
    <cfRule type="cellIs" priority="6" operator="equal" aboveAverage="0" equalAverage="0" bottom="0" percent="0" rank="0" text="" dxfId="1">
      <formula>"Alto"</formula>
    </cfRule>
    <cfRule type="cellIs" priority="7" operator="equal" aboveAverage="0" equalAverage="0" bottom="0" percent="0" rank="0" text="" dxfId="2">
      <formula>"Clip"</formula>
    </cfRule>
  </conditionalFormatting>
  <conditionalFormatting sqref="E40:H40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1">
      <formula>"OK"</formula>
    </cfRule>
  </conditionalFormatting>
  <dataValidations count="25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6" type="decimal">
      <formula1>-1000000000</formula1>
      <formula2>1000000000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E11" type="list">
      <formula1>"Sim,Não"</formula1>
      <formula2>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12" type="list">
      <formula1>"Público,Não listado,Privado"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E13" type="list">
      <formula1>"Sim,Não"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E14" type="list">
      <formula1>"Sim,Não"</formula1>
      <formula2>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15" type="list">
      <formula1>"480p,720p,1080p"</formula1>
      <formula2>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16" type="list">
      <formula1>"30,60"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7" type="decimal">
      <formula1>-1000000000</formula1>
      <formula2>1000000000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18" type="list">
      <formula1>"H.264,H.265,AV1"</formula1>
      <formula2>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19" type="list">
      <formula1>"CBR,VBR"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0" type="decimal">
      <formula1>-1000000000</formula1>
      <formula2>1000000000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21" type="list">
      <formula1>"Placa de vídeo,Processador,Aparelho dedicado"</formula1>
      <formula2>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22" type="list">
      <formula1>"Master LR,Auxiliar,Matriz,Mesa dedicada,Câmera"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24" type="decimal">
      <formula1>-1000000000</formula1>
      <formula2>1000000000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25" type="list">
      <formula1>"Estéreo,Mono"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2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30" type="decimal">
      <formula1>-1000000000</formula1>
      <formula2>1000000000</formula2>
    </dataValidation>
    <dataValidation allowBlank="true" error="Escolha uma das opções da lista." errorStyle="stop" errorTitle="Valor inválido" operator="between" prompt="Escolha uma das opções." promptTitle="Opções" showDropDown="false" showErrorMessage="true" showInputMessage="true" sqref="E31" type="list">
      <formula1>"Cabo,Wi-Fi,4G ou 5G"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E32" type="list">
      <formula1>"Sim,Não"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E33" type="list">
      <formula1>"Sim,Não"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E34" type="list">
      <formula1>"Sim,Não"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E35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8" min="7" style="0" width="12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212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213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" t="s">
        <v>64</v>
      </c>
      <c r="C4" s="4"/>
      <c r="D4" s="5"/>
    </row>
    <row r="5" customFormat="false" ht="21.75" hidden="false" customHeight="true" outlineLevel="0" collapsed="false">
      <c r="B5" s="4" t="s">
        <v>214</v>
      </c>
      <c r="C5" s="4"/>
      <c r="D5" s="32"/>
      <c r="E5" s="14" t="s">
        <v>215</v>
      </c>
      <c r="F5" s="14"/>
      <c r="G5" s="14"/>
      <c r="H5" s="14"/>
    </row>
    <row r="7" customFormat="false" ht="21.75" hidden="false" customHeight="true" outlineLevel="0" collapsed="false">
      <c r="B7" s="11" t="s">
        <v>70</v>
      </c>
      <c r="C7" s="11" t="s">
        <v>216</v>
      </c>
      <c r="D7" s="11" t="s">
        <v>217</v>
      </c>
      <c r="E7" s="11" t="s">
        <v>154</v>
      </c>
      <c r="F7" s="11" t="s">
        <v>75</v>
      </c>
      <c r="G7" s="33" t="s">
        <v>218</v>
      </c>
      <c r="H7" s="30" t="s">
        <v>219</v>
      </c>
    </row>
    <row r="8" customFormat="false" ht="31.5" hidden="false" customHeight="true" outlineLevel="0" collapsed="false">
      <c r="B8" s="16" t="n">
        <v>1</v>
      </c>
      <c r="C8" s="6" t="s">
        <v>220</v>
      </c>
      <c r="D8" s="7" t="s">
        <v>221</v>
      </c>
      <c r="E8" s="17"/>
      <c r="F8" s="5"/>
      <c r="G8" s="13" t="s">
        <v>157</v>
      </c>
      <c r="H8" s="8" t="s">
        <v>222</v>
      </c>
    </row>
    <row r="9" customFormat="false" ht="31.5" hidden="false" customHeight="true" outlineLevel="0" collapsed="false">
      <c r="B9" s="16" t="n">
        <v>2</v>
      </c>
      <c r="C9" s="6" t="s">
        <v>220</v>
      </c>
      <c r="D9" s="7" t="s">
        <v>223</v>
      </c>
      <c r="E9" s="17"/>
      <c r="F9" s="5"/>
      <c r="G9" s="13" t="s">
        <v>157</v>
      </c>
      <c r="H9" s="8" t="s">
        <v>222</v>
      </c>
    </row>
    <row r="10" customFormat="false" ht="31.5" hidden="false" customHeight="true" outlineLevel="0" collapsed="false">
      <c r="B10" s="16" t="n">
        <v>3</v>
      </c>
      <c r="C10" s="6" t="s">
        <v>224</v>
      </c>
      <c r="D10" s="7" t="s">
        <v>225</v>
      </c>
      <c r="E10" s="17"/>
      <c r="F10" s="5"/>
      <c r="G10" s="19" t="n">
        <v>120</v>
      </c>
      <c r="H10" s="34" t="str">
        <f aca="false">IF(OR($D$5="",G10=""),"",IF($D$5-G10/1440&lt;0,$D$5-G10/1440+1,$D$5-G10/1440))</f>
        <v/>
      </c>
    </row>
    <row r="11" customFormat="false" ht="31.5" hidden="false" customHeight="true" outlineLevel="0" collapsed="false">
      <c r="B11" s="16" t="n">
        <v>4</v>
      </c>
      <c r="C11" s="6" t="s">
        <v>224</v>
      </c>
      <c r="D11" s="7" t="s">
        <v>226</v>
      </c>
      <c r="E11" s="17"/>
      <c r="F11" s="5"/>
      <c r="G11" s="19" t="n">
        <v>120</v>
      </c>
      <c r="H11" s="34" t="str">
        <f aca="false">IF(OR($D$5="",G11=""),"",IF($D$5-G11/1440&lt;0,$D$5-G11/1440+1,$D$5-G11/1440))</f>
        <v/>
      </c>
    </row>
    <row r="12" customFormat="false" ht="31.5" hidden="false" customHeight="true" outlineLevel="0" collapsed="false">
      <c r="B12" s="16" t="n">
        <v>5</v>
      </c>
      <c r="C12" s="6" t="s">
        <v>227</v>
      </c>
      <c r="D12" s="7" t="s">
        <v>228</v>
      </c>
      <c r="E12" s="17"/>
      <c r="F12" s="5"/>
      <c r="G12" s="19" t="n">
        <v>90</v>
      </c>
      <c r="H12" s="34" t="str">
        <f aca="false">IF(OR($D$5="",G12=""),"",IF($D$5-G12/1440&lt;0,$D$5-G12/1440+1,$D$5-G12/1440))</f>
        <v/>
      </c>
    </row>
    <row r="13" customFormat="false" ht="31.5" hidden="false" customHeight="true" outlineLevel="0" collapsed="false">
      <c r="B13" s="16" t="n">
        <v>6</v>
      </c>
      <c r="C13" s="6" t="s">
        <v>229</v>
      </c>
      <c r="D13" s="7" t="s">
        <v>230</v>
      </c>
      <c r="E13" s="17"/>
      <c r="F13" s="5"/>
      <c r="G13" s="19" t="n">
        <v>60</v>
      </c>
      <c r="H13" s="34" t="str">
        <f aca="false">IF(OR($D$5="",G13=""),"",IF($D$5-G13/1440&lt;0,$D$5-G13/1440+1,$D$5-G13/1440))</f>
        <v/>
      </c>
    </row>
    <row r="14" customFormat="false" ht="31.5" hidden="false" customHeight="true" outlineLevel="0" collapsed="false">
      <c r="B14" s="16" t="n">
        <v>7</v>
      </c>
      <c r="C14" s="6" t="s">
        <v>229</v>
      </c>
      <c r="D14" s="7" t="s">
        <v>231</v>
      </c>
      <c r="E14" s="17"/>
      <c r="F14" s="5"/>
      <c r="G14" s="19" t="n">
        <v>60</v>
      </c>
      <c r="H14" s="34" t="str">
        <f aca="false">IF(OR($D$5="",G14=""),"",IF($D$5-G14/1440&lt;0,$D$5-G14/1440+1,$D$5-G14/1440))</f>
        <v/>
      </c>
    </row>
    <row r="15" customFormat="false" ht="31.5" hidden="false" customHeight="true" outlineLevel="0" collapsed="false">
      <c r="B15" s="16" t="n">
        <v>8</v>
      </c>
      <c r="C15" s="6" t="s">
        <v>232</v>
      </c>
      <c r="D15" s="7" t="s">
        <v>233</v>
      </c>
      <c r="E15" s="17"/>
      <c r="F15" s="5"/>
      <c r="G15" s="19" t="n">
        <v>45</v>
      </c>
      <c r="H15" s="34" t="str">
        <f aca="false">IF(OR($D$5="",G15=""),"",IF($D$5-G15/1440&lt;0,$D$5-G15/1440+1,$D$5-G15/1440))</f>
        <v/>
      </c>
    </row>
    <row r="16" customFormat="false" ht="19.5" hidden="false" customHeight="true" outlineLevel="0" collapsed="false">
      <c r="B16" s="16" t="n">
        <v>9</v>
      </c>
      <c r="C16" s="6" t="s">
        <v>232</v>
      </c>
      <c r="D16" s="7" t="s">
        <v>234</v>
      </c>
      <c r="E16" s="17"/>
      <c r="F16" s="5"/>
      <c r="G16" s="19" t="n">
        <v>45</v>
      </c>
      <c r="H16" s="34" t="str">
        <f aca="false">IF(OR($D$5="",G16=""),"",IF($D$5-G16/1440&lt;0,$D$5-G16/1440+1,$D$5-G16/1440))</f>
        <v/>
      </c>
    </row>
    <row r="17" customFormat="false" ht="31.5" hidden="false" customHeight="true" outlineLevel="0" collapsed="false">
      <c r="B17" s="16" t="n">
        <v>10</v>
      </c>
      <c r="C17" s="6" t="s">
        <v>235</v>
      </c>
      <c r="D17" s="7" t="s">
        <v>236</v>
      </c>
      <c r="E17" s="17"/>
      <c r="F17" s="5"/>
      <c r="G17" s="19" t="n">
        <v>30</v>
      </c>
      <c r="H17" s="34" t="str">
        <f aca="false">IF(OR($D$5="",G17=""),"",IF($D$5-G17/1440&lt;0,$D$5-G17/1440+1,$D$5-G17/1440))</f>
        <v/>
      </c>
    </row>
    <row r="18" customFormat="false" ht="31.5" hidden="false" customHeight="true" outlineLevel="0" collapsed="false">
      <c r="B18" s="16" t="n">
        <v>11</v>
      </c>
      <c r="C18" s="6" t="s">
        <v>237</v>
      </c>
      <c r="D18" s="7" t="s">
        <v>238</v>
      </c>
      <c r="E18" s="17"/>
      <c r="F18" s="5"/>
      <c r="G18" s="19" t="n">
        <v>15</v>
      </c>
      <c r="H18" s="34" t="str">
        <f aca="false">IF(OR($D$5="",G18=""),"",IF($D$5-G18/1440&lt;0,$D$5-G18/1440+1,$D$5-G18/1440))</f>
        <v/>
      </c>
    </row>
    <row r="19" customFormat="false" ht="31.5" hidden="false" customHeight="true" outlineLevel="0" collapsed="false">
      <c r="B19" s="16" t="n">
        <v>12</v>
      </c>
      <c r="C19" s="6" t="s">
        <v>239</v>
      </c>
      <c r="D19" s="7" t="s">
        <v>240</v>
      </c>
      <c r="E19" s="17"/>
      <c r="F19" s="5"/>
      <c r="G19" s="19" t="n">
        <v>0</v>
      </c>
      <c r="H19" s="34" t="str">
        <f aca="false">IF(OR($D$5="",G19=""),"",IF($D$5-G19/1440&lt;0,$D$5-G19/1440+1,$D$5-G19/1440))</f>
        <v/>
      </c>
    </row>
    <row r="21" customFormat="false" ht="19.5" hidden="false" customHeight="true" outlineLevel="0" collapsed="false">
      <c r="B21" s="20" t="s">
        <v>241</v>
      </c>
      <c r="C21" s="20"/>
      <c r="D21" s="20"/>
      <c r="E21" s="8" t="n">
        <f aca="false">COUNTA(E8:E19)</f>
        <v>0</v>
      </c>
    </row>
    <row r="22" customFormat="false" ht="19.5" hidden="false" customHeight="true" outlineLevel="0" collapsed="false">
      <c r="B22" s="20" t="s">
        <v>242</v>
      </c>
      <c r="C22" s="20"/>
      <c r="D22" s="20"/>
      <c r="E22" s="23" t="str">
        <f aca="false">IF(COUNTA(E8:E19)=0,"",(COUNTIF(E8:E19,"Sim")+COUNTIF(E8:E19,"Parcial")/2)/COUNTA(E8:E19))</f>
        <v/>
      </c>
    </row>
    <row r="23" customFormat="false" ht="19.5" hidden="false" customHeight="true" outlineLevel="0" collapsed="false">
      <c r="B23" s="20" t="s">
        <v>154</v>
      </c>
      <c r="C23" s="20"/>
      <c r="D23" s="20"/>
      <c r="E23" s="28" t="str">
        <f aca="false">IF(COUNTA(E8:E19)&lt;12,"Incompleto",IF(COUNTIF(E8:E19,"Não")=0,"OK","Há itens a resolver"))</f>
        <v>Incompleto</v>
      </c>
    </row>
  </sheetData>
  <mergeCells count="8">
    <mergeCell ref="B1:H1"/>
    <mergeCell ref="B2:H2"/>
    <mergeCell ref="B4:C4"/>
    <mergeCell ref="B5:C5"/>
    <mergeCell ref="E5:H5"/>
    <mergeCell ref="B21:D21"/>
    <mergeCell ref="B22:D22"/>
    <mergeCell ref="B23:D23"/>
  </mergeCells>
  <conditionalFormatting sqref="E8:E19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3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2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8:E19" type="list">
      <formula1>"Sim,Parcial,Não"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8:G19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9" style="0" width="46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243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244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64</v>
      </c>
      <c r="C4" s="4"/>
      <c r="D4" s="5"/>
      <c r="E4" s="5"/>
      <c r="F4" s="5"/>
      <c r="G4" s="5"/>
      <c r="H4" s="5"/>
    </row>
    <row r="5" customFormat="false" ht="21.75" hidden="false" customHeight="true" outlineLevel="0" collapsed="false">
      <c r="B5" s="4" t="s">
        <v>67</v>
      </c>
      <c r="C5" s="4"/>
      <c r="D5" s="5"/>
      <c r="E5" s="5"/>
      <c r="F5" s="5"/>
      <c r="G5" s="5"/>
      <c r="H5" s="5"/>
    </row>
    <row r="6" customFormat="false" ht="21.75" hidden="false" customHeight="true" outlineLevel="0" collapsed="false">
      <c r="B6" s="4" t="s">
        <v>245</v>
      </c>
      <c r="C6" s="4"/>
      <c r="D6" s="4"/>
      <c r="E6" s="4"/>
      <c r="F6" s="4"/>
      <c r="G6" s="19"/>
      <c r="H6" s="14" t="s">
        <v>246</v>
      </c>
      <c r="I6" s="14"/>
    </row>
    <row r="8" customFormat="false" ht="21.75" hidden="false" customHeight="true" outlineLevel="0" collapsed="false">
      <c r="B8" s="10" t="s">
        <v>247</v>
      </c>
      <c r="C8" s="10"/>
      <c r="D8" s="10"/>
      <c r="E8" s="10"/>
      <c r="F8" s="10"/>
      <c r="G8" s="10"/>
      <c r="H8" s="10"/>
      <c r="I8" s="10"/>
      <c r="J8" s="10"/>
    </row>
    <row r="9" customFormat="false" ht="24" hidden="false" customHeight="true" outlineLevel="0" collapsed="false">
      <c r="B9" s="11" t="s">
        <v>70</v>
      </c>
      <c r="C9" s="11" t="s">
        <v>66</v>
      </c>
      <c r="D9" s="12" t="s">
        <v>248</v>
      </c>
      <c r="E9" s="12" t="s">
        <v>249</v>
      </c>
      <c r="F9" s="30" t="s">
        <v>250</v>
      </c>
      <c r="G9" s="11" t="s">
        <v>251</v>
      </c>
      <c r="H9" s="11" t="s">
        <v>252</v>
      </c>
      <c r="I9" s="11" t="s">
        <v>253</v>
      </c>
      <c r="J9" s="11" t="s">
        <v>254</v>
      </c>
    </row>
    <row r="10" customFormat="false" ht="15" hidden="false" customHeight="false" outlineLevel="0" collapsed="false">
      <c r="B10" s="13"/>
      <c r="C10" s="13" t="s">
        <v>255</v>
      </c>
      <c r="D10" s="13" t="s">
        <v>256</v>
      </c>
      <c r="E10" s="13" t="s">
        <v>256</v>
      </c>
      <c r="F10" s="13" t="s">
        <v>257</v>
      </c>
      <c r="G10" s="13" t="s">
        <v>77</v>
      </c>
      <c r="H10" s="13" t="s">
        <v>77</v>
      </c>
      <c r="I10" s="13"/>
      <c r="J10" s="13"/>
    </row>
    <row r="11" customFormat="false" ht="24" hidden="false" customHeight="true" outlineLevel="0" collapsed="false">
      <c r="B11" s="13" t="s">
        <v>81</v>
      </c>
      <c r="C11" s="35" t="n">
        <v>46299</v>
      </c>
      <c r="D11" s="36" t="n">
        <v>0.8208333333</v>
      </c>
      <c r="E11" s="36" t="n">
        <v>0.8229166667</v>
      </c>
      <c r="F11" s="13" t="n">
        <v>3</v>
      </c>
      <c r="G11" s="14" t="s">
        <v>258</v>
      </c>
      <c r="H11" s="14" t="s">
        <v>259</v>
      </c>
      <c r="I11" s="14" t="s">
        <v>260</v>
      </c>
      <c r="J11" s="14" t="s">
        <v>261</v>
      </c>
    </row>
    <row r="12" customFormat="false" ht="21.75" hidden="false" customHeight="true" outlineLevel="0" collapsed="false">
      <c r="B12" s="16" t="n">
        <v>1</v>
      </c>
      <c r="C12" s="37"/>
      <c r="D12" s="38"/>
      <c r="E12" s="38"/>
      <c r="F12" s="8" t="str">
        <f aca="false">IF(OR(D12="",E12=""),"",ROUND(IF(E12&lt;D12,E12+1-D12,E12-D12)*1440,0))</f>
        <v/>
      </c>
      <c r="G12" s="5"/>
      <c r="H12" s="5"/>
      <c r="I12" s="5"/>
      <c r="J12" s="5"/>
    </row>
    <row r="13" customFormat="false" ht="21.75" hidden="false" customHeight="true" outlineLevel="0" collapsed="false">
      <c r="B13" s="16" t="n">
        <v>2</v>
      </c>
      <c r="C13" s="37"/>
      <c r="D13" s="38"/>
      <c r="E13" s="38"/>
      <c r="F13" s="8" t="str">
        <f aca="false">IF(OR(D13="",E13=""),"",ROUND(IF(E13&lt;D13,E13+1-D13,E13-D13)*1440,0))</f>
        <v/>
      </c>
      <c r="G13" s="5"/>
      <c r="H13" s="5"/>
      <c r="I13" s="5"/>
      <c r="J13" s="5"/>
    </row>
    <row r="14" customFormat="false" ht="21.75" hidden="false" customHeight="true" outlineLevel="0" collapsed="false">
      <c r="B14" s="16" t="n">
        <v>3</v>
      </c>
      <c r="C14" s="37"/>
      <c r="D14" s="38"/>
      <c r="E14" s="38"/>
      <c r="F14" s="8" t="str">
        <f aca="false">IF(OR(D14="",E14=""),"",ROUND(IF(E14&lt;D14,E14+1-D14,E14-D14)*1440,0))</f>
        <v/>
      </c>
      <c r="G14" s="5"/>
      <c r="H14" s="5"/>
      <c r="I14" s="5"/>
      <c r="J14" s="5"/>
    </row>
    <row r="15" customFormat="false" ht="21.75" hidden="false" customHeight="true" outlineLevel="0" collapsed="false">
      <c r="B15" s="16" t="n">
        <v>4</v>
      </c>
      <c r="C15" s="37"/>
      <c r="D15" s="38"/>
      <c r="E15" s="38"/>
      <c r="F15" s="8" t="str">
        <f aca="false">IF(OR(D15="",E15=""),"",ROUND(IF(E15&lt;D15,E15+1-D15,E15-D15)*1440,0))</f>
        <v/>
      </c>
      <c r="G15" s="5"/>
      <c r="H15" s="5"/>
      <c r="I15" s="5"/>
      <c r="J15" s="5"/>
    </row>
    <row r="16" customFormat="false" ht="21.75" hidden="false" customHeight="true" outlineLevel="0" collapsed="false">
      <c r="B16" s="16" t="n">
        <v>5</v>
      </c>
      <c r="C16" s="37"/>
      <c r="D16" s="38"/>
      <c r="E16" s="38"/>
      <c r="F16" s="8" t="str">
        <f aca="false">IF(OR(D16="",E16=""),"",ROUND(IF(E16&lt;D16,E16+1-D16,E16-D16)*1440,0))</f>
        <v/>
      </c>
      <c r="G16" s="5"/>
      <c r="H16" s="5"/>
      <c r="I16" s="5"/>
      <c r="J16" s="5"/>
    </row>
    <row r="17" customFormat="false" ht="21.75" hidden="false" customHeight="true" outlineLevel="0" collapsed="false">
      <c r="B17" s="16" t="n">
        <v>6</v>
      </c>
      <c r="C17" s="37"/>
      <c r="D17" s="38"/>
      <c r="E17" s="38"/>
      <c r="F17" s="8" t="str">
        <f aca="false">IF(OR(D17="",E17=""),"",ROUND(IF(E17&lt;D17,E17+1-D17,E17-D17)*1440,0))</f>
        <v/>
      </c>
      <c r="G17" s="5"/>
      <c r="H17" s="5"/>
      <c r="I17" s="5"/>
      <c r="J17" s="5"/>
    </row>
    <row r="18" customFormat="false" ht="21.75" hidden="false" customHeight="true" outlineLevel="0" collapsed="false">
      <c r="B18" s="16" t="n">
        <v>7</v>
      </c>
      <c r="C18" s="37"/>
      <c r="D18" s="38"/>
      <c r="E18" s="38"/>
      <c r="F18" s="8" t="str">
        <f aca="false">IF(OR(D18="",E18=""),"",ROUND(IF(E18&lt;D18,E18+1-D18,E18-D18)*1440,0))</f>
        <v/>
      </c>
      <c r="G18" s="5"/>
      <c r="H18" s="5"/>
      <c r="I18" s="5"/>
      <c r="J18" s="5"/>
    </row>
    <row r="19" customFormat="false" ht="21.75" hidden="false" customHeight="true" outlineLevel="0" collapsed="false">
      <c r="B19" s="16" t="n">
        <v>8</v>
      </c>
      <c r="C19" s="37"/>
      <c r="D19" s="38"/>
      <c r="E19" s="38"/>
      <c r="F19" s="8" t="str">
        <f aca="false">IF(OR(D19="",E19=""),"",ROUND(IF(E19&lt;D19,E19+1-D19,E19-D19)*1440,0))</f>
        <v/>
      </c>
      <c r="G19" s="5"/>
      <c r="H19" s="5"/>
      <c r="I19" s="5"/>
      <c r="J19" s="5"/>
    </row>
    <row r="20" customFormat="false" ht="21.75" hidden="false" customHeight="true" outlineLevel="0" collapsed="false">
      <c r="B20" s="16" t="n">
        <v>9</v>
      </c>
      <c r="C20" s="37"/>
      <c r="D20" s="38"/>
      <c r="E20" s="38"/>
      <c r="F20" s="8" t="str">
        <f aca="false">IF(OR(D20="",E20=""),"",ROUND(IF(E20&lt;D20,E20+1-D20,E20-D20)*1440,0))</f>
        <v/>
      </c>
      <c r="G20" s="5"/>
      <c r="H20" s="5"/>
      <c r="I20" s="5"/>
      <c r="J20" s="5"/>
    </row>
    <row r="21" customFormat="false" ht="21.75" hidden="false" customHeight="true" outlineLevel="0" collapsed="false">
      <c r="B21" s="16" t="n">
        <v>10</v>
      </c>
      <c r="C21" s="37"/>
      <c r="D21" s="38"/>
      <c r="E21" s="38"/>
      <c r="F21" s="8" t="str">
        <f aca="false">IF(OR(D21="",E21=""),"",ROUND(IF(E21&lt;D21,E21+1-D21,E21-D21)*1440,0))</f>
        <v/>
      </c>
      <c r="G21" s="5"/>
      <c r="H21" s="5"/>
      <c r="I21" s="5"/>
      <c r="J21" s="5"/>
    </row>
    <row r="22" customFormat="false" ht="21.75" hidden="false" customHeight="true" outlineLevel="0" collapsed="false">
      <c r="B22" s="16" t="n">
        <v>11</v>
      </c>
      <c r="C22" s="37"/>
      <c r="D22" s="38"/>
      <c r="E22" s="38"/>
      <c r="F22" s="8" t="str">
        <f aca="false">IF(OR(D22="",E22=""),"",ROUND(IF(E22&lt;D22,E22+1-D22,E22-D22)*1440,0))</f>
        <v/>
      </c>
      <c r="G22" s="5"/>
      <c r="H22" s="5"/>
      <c r="I22" s="5"/>
      <c r="J22" s="5"/>
    </row>
    <row r="23" customFormat="false" ht="21.75" hidden="false" customHeight="true" outlineLevel="0" collapsed="false">
      <c r="B23" s="16" t="n">
        <v>12</v>
      </c>
      <c r="C23" s="37"/>
      <c r="D23" s="38"/>
      <c r="E23" s="38"/>
      <c r="F23" s="8" t="str">
        <f aca="false">IF(OR(D23="",E23=""),"",ROUND(IF(E23&lt;D23,E23+1-D23,E23-D23)*1440,0))</f>
        <v/>
      </c>
      <c r="G23" s="5"/>
      <c r="H23" s="5"/>
      <c r="I23" s="5"/>
      <c r="J23" s="5"/>
    </row>
    <row r="24" customFormat="false" ht="21.75" hidden="false" customHeight="true" outlineLevel="0" collapsed="false">
      <c r="B24" s="16" t="n">
        <v>13</v>
      </c>
      <c r="C24" s="37"/>
      <c r="D24" s="38"/>
      <c r="E24" s="38"/>
      <c r="F24" s="8" t="str">
        <f aca="false">IF(OR(D24="",E24=""),"",ROUND(IF(E24&lt;D24,E24+1-D24,E24-D24)*1440,0))</f>
        <v/>
      </c>
      <c r="G24" s="5"/>
      <c r="H24" s="5"/>
      <c r="I24" s="5"/>
      <c r="J24" s="5"/>
    </row>
    <row r="25" customFormat="false" ht="21.75" hidden="false" customHeight="true" outlineLevel="0" collapsed="false">
      <c r="B25" s="16" t="n">
        <v>14</v>
      </c>
      <c r="C25" s="37"/>
      <c r="D25" s="38"/>
      <c r="E25" s="38"/>
      <c r="F25" s="8" t="str">
        <f aca="false">IF(OR(D25="",E25=""),"",ROUND(IF(E25&lt;D25,E25+1-D25,E25-D25)*1440,0))</f>
        <v/>
      </c>
      <c r="G25" s="5"/>
      <c r="H25" s="5"/>
      <c r="I25" s="5"/>
      <c r="J25" s="5"/>
    </row>
    <row r="26" customFormat="false" ht="21.75" hidden="false" customHeight="true" outlineLevel="0" collapsed="false">
      <c r="B26" s="16" t="n">
        <v>15</v>
      </c>
      <c r="C26" s="37"/>
      <c r="D26" s="38"/>
      <c r="E26" s="38"/>
      <c r="F26" s="8" t="str">
        <f aca="false">IF(OR(D26="",E26=""),"",ROUND(IF(E26&lt;D26,E26+1-D26,E26-D26)*1440,0))</f>
        <v/>
      </c>
      <c r="G26" s="5"/>
      <c r="H26" s="5"/>
      <c r="I26" s="5"/>
      <c r="J26" s="5"/>
    </row>
    <row r="27" customFormat="false" ht="21.75" hidden="false" customHeight="true" outlineLevel="0" collapsed="false">
      <c r="B27" s="16" t="n">
        <v>16</v>
      </c>
      <c r="C27" s="37"/>
      <c r="D27" s="38"/>
      <c r="E27" s="38"/>
      <c r="F27" s="8" t="str">
        <f aca="false">IF(OR(D27="",E27=""),"",ROUND(IF(E27&lt;D27,E27+1-D27,E27-D27)*1440,0))</f>
        <v/>
      </c>
      <c r="G27" s="5"/>
      <c r="H27" s="5"/>
      <c r="I27" s="5"/>
      <c r="J27" s="5"/>
    </row>
    <row r="28" customFormat="false" ht="21.75" hidden="false" customHeight="true" outlineLevel="0" collapsed="false">
      <c r="B28" s="16" t="n">
        <v>17</v>
      </c>
      <c r="C28" s="37"/>
      <c r="D28" s="38"/>
      <c r="E28" s="38"/>
      <c r="F28" s="8" t="str">
        <f aca="false">IF(OR(D28="",E28=""),"",ROUND(IF(E28&lt;D28,E28+1-D28,E28-D28)*1440,0))</f>
        <v/>
      </c>
      <c r="G28" s="5"/>
      <c r="H28" s="5"/>
      <c r="I28" s="5"/>
      <c r="J28" s="5"/>
    </row>
    <row r="29" customFormat="false" ht="21.75" hidden="false" customHeight="true" outlineLevel="0" collapsed="false">
      <c r="B29" s="16" t="n">
        <v>18</v>
      </c>
      <c r="C29" s="37"/>
      <c r="D29" s="38"/>
      <c r="E29" s="38"/>
      <c r="F29" s="8" t="str">
        <f aca="false">IF(OR(D29="",E29=""),"",ROUND(IF(E29&lt;D29,E29+1-D29,E29-D29)*1440,0))</f>
        <v/>
      </c>
      <c r="G29" s="5"/>
      <c r="H29" s="5"/>
      <c r="I29" s="5"/>
      <c r="J29" s="5"/>
    </row>
    <row r="30" customFormat="false" ht="21.75" hidden="false" customHeight="true" outlineLevel="0" collapsed="false">
      <c r="B30" s="16" t="n">
        <v>19</v>
      </c>
      <c r="C30" s="37"/>
      <c r="D30" s="38"/>
      <c r="E30" s="38"/>
      <c r="F30" s="8" t="str">
        <f aca="false">IF(OR(D30="",E30=""),"",ROUND(IF(E30&lt;D30,E30+1-D30,E30-D30)*1440,0))</f>
        <v/>
      </c>
      <c r="G30" s="5"/>
      <c r="H30" s="5"/>
      <c r="I30" s="5"/>
      <c r="J30" s="5"/>
    </row>
    <row r="31" customFormat="false" ht="21.75" hidden="false" customHeight="true" outlineLevel="0" collapsed="false">
      <c r="B31" s="16" t="n">
        <v>20</v>
      </c>
      <c r="C31" s="37"/>
      <c r="D31" s="38"/>
      <c r="E31" s="38"/>
      <c r="F31" s="8" t="str">
        <f aca="false">IF(OR(D31="",E31=""),"",ROUND(IF(E31&lt;D31,E31+1-D31,E31-D31)*1440,0))</f>
        <v/>
      </c>
      <c r="G31" s="5"/>
      <c r="H31" s="5"/>
      <c r="I31" s="5"/>
      <c r="J31" s="5"/>
    </row>
    <row r="33" customFormat="false" ht="21.75" hidden="false" customHeight="true" outlineLevel="0" collapsed="false">
      <c r="B33" s="10" t="s">
        <v>207</v>
      </c>
      <c r="C33" s="10"/>
      <c r="D33" s="10"/>
      <c r="E33" s="10"/>
      <c r="F33" s="10"/>
      <c r="G33" s="10"/>
      <c r="H33" s="10"/>
      <c r="I33" s="10"/>
      <c r="J33" s="10"/>
    </row>
    <row r="34" customFormat="false" ht="19.5" hidden="false" customHeight="true" outlineLevel="0" collapsed="false">
      <c r="B34" s="20" t="s">
        <v>262</v>
      </c>
      <c r="C34" s="20"/>
      <c r="D34" s="20"/>
      <c r="E34" s="20"/>
      <c r="F34" s="8" t="n">
        <f aca="false">COUNTA(G12:G31)</f>
        <v>0</v>
      </c>
      <c r="H34" s="14" t="s">
        <v>263</v>
      </c>
      <c r="I34" s="14"/>
      <c r="J34" s="14"/>
    </row>
    <row r="35" customFormat="false" ht="19.5" hidden="false" customHeight="true" outlineLevel="0" collapsed="false">
      <c r="B35" s="20" t="s">
        <v>264</v>
      </c>
      <c r="C35" s="20"/>
      <c r="D35" s="20"/>
      <c r="E35" s="20"/>
      <c r="F35" s="8" t="n">
        <f aca="false">SUM(F12:F31)</f>
        <v>0</v>
      </c>
      <c r="H35" s="14"/>
      <c r="I35" s="14"/>
      <c r="J35" s="14"/>
    </row>
    <row r="36" customFormat="false" ht="19.5" hidden="false" customHeight="true" outlineLevel="0" collapsed="false">
      <c r="B36" s="20" t="s">
        <v>265</v>
      </c>
      <c r="C36" s="20"/>
      <c r="D36" s="20"/>
      <c r="E36" s="20"/>
      <c r="F36" s="39" t="str">
        <f aca="false">IF(OR(G6="",G6=0),"",F35/G6)</f>
        <v/>
      </c>
      <c r="H36" s="14"/>
      <c r="I36" s="14"/>
      <c r="J36" s="14"/>
    </row>
    <row r="37" customFormat="false" ht="19.5" hidden="false" customHeight="true" outlineLevel="0" collapsed="false">
      <c r="B37" s="20" t="s">
        <v>266</v>
      </c>
      <c r="C37" s="20"/>
      <c r="D37" s="20"/>
      <c r="E37" s="20"/>
      <c r="F37" s="28" t="str">
        <f aca="false">IF(MAX(F39:F47)=0,"",INDEX(B39:B47,MATCH(MAX(F39:F47),F39:F47,0)))</f>
        <v/>
      </c>
      <c r="G37" s="28"/>
    </row>
    <row r="38" customFormat="false" ht="23.85" hidden="false" customHeight="true" outlineLevel="0" collapsed="false">
      <c r="B38" s="8" t="s">
        <v>267</v>
      </c>
      <c r="C38" s="8"/>
      <c r="D38" s="8"/>
      <c r="E38" s="8"/>
      <c r="F38" s="8" t="s">
        <v>268</v>
      </c>
      <c r="G38" s="8" t="s">
        <v>269</v>
      </c>
    </row>
    <row r="39" customFormat="false" ht="15" hidden="false" customHeight="true" outlineLevel="0" collapsed="false">
      <c r="B39" s="6" t="s">
        <v>259</v>
      </c>
      <c r="C39" s="6"/>
      <c r="D39" s="6"/>
      <c r="E39" s="6"/>
      <c r="F39" s="40" t="n">
        <f aca="false">COUNTIF(H12:H31,"Internet")</f>
        <v>0</v>
      </c>
      <c r="G39" s="40" t="n">
        <f aca="false">SUMIF(H12:H31,"Internet",F12:F31)</f>
        <v>0</v>
      </c>
    </row>
    <row r="40" customFormat="false" ht="15" hidden="false" customHeight="true" outlineLevel="0" collapsed="false">
      <c r="B40" s="6" t="s">
        <v>270</v>
      </c>
      <c r="C40" s="6"/>
      <c r="D40" s="6"/>
      <c r="E40" s="6"/>
      <c r="F40" s="40" t="n">
        <f aca="false">COUNTIF(H12:H31,"Codificador")</f>
        <v>0</v>
      </c>
      <c r="G40" s="40" t="n">
        <f aca="false">SUMIF(H12:H31,"Codificador",F12:F31)</f>
        <v>0</v>
      </c>
    </row>
    <row r="41" customFormat="false" ht="15" hidden="false" customHeight="true" outlineLevel="0" collapsed="false">
      <c r="B41" s="6" t="s">
        <v>271</v>
      </c>
      <c r="C41" s="6"/>
      <c r="D41" s="6"/>
      <c r="E41" s="6"/>
      <c r="F41" s="40" t="n">
        <f aca="false">COUNTIF(H12:H31,"Computador")</f>
        <v>0</v>
      </c>
      <c r="G41" s="40" t="n">
        <f aca="false">SUMIF(H12:H31,"Computador",F12:F31)</f>
        <v>0</v>
      </c>
    </row>
    <row r="42" customFormat="false" ht="15" hidden="false" customHeight="true" outlineLevel="0" collapsed="false">
      <c r="B42" s="6" t="s">
        <v>56</v>
      </c>
      <c r="C42" s="6"/>
      <c r="D42" s="6"/>
      <c r="E42" s="6"/>
      <c r="F42" s="40" t="n">
        <f aca="false">COUNTIF(H12:H31,"Áudio")</f>
        <v>0</v>
      </c>
      <c r="G42" s="40" t="n">
        <f aca="false">SUMIF(H12:H31,"Áudio",F12:F31)</f>
        <v>0</v>
      </c>
    </row>
    <row r="43" customFormat="false" ht="15" hidden="false" customHeight="true" outlineLevel="0" collapsed="false">
      <c r="B43" s="6" t="s">
        <v>166</v>
      </c>
      <c r="C43" s="6"/>
      <c r="D43" s="6"/>
      <c r="E43" s="6"/>
      <c r="F43" s="40" t="n">
        <f aca="false">COUNTIF(H12:H31,"Vídeo")</f>
        <v>0</v>
      </c>
      <c r="G43" s="40" t="n">
        <f aca="false">SUMIF(H12:H31,"Vídeo",F12:F31)</f>
        <v>0</v>
      </c>
    </row>
    <row r="44" customFormat="false" ht="15" hidden="false" customHeight="true" outlineLevel="0" collapsed="false">
      <c r="B44" s="6" t="s">
        <v>272</v>
      </c>
      <c r="C44" s="6"/>
      <c r="D44" s="6"/>
      <c r="E44" s="6"/>
      <c r="F44" s="40" t="n">
        <f aca="false">COUNTIF(H12:H31,"Energia")</f>
        <v>0</v>
      </c>
      <c r="G44" s="40" t="n">
        <f aca="false">SUMIF(H12:H31,"Energia",F12:F31)</f>
        <v>0</v>
      </c>
    </row>
    <row r="45" customFormat="false" ht="15" hidden="false" customHeight="true" outlineLevel="0" collapsed="false">
      <c r="B45" s="6" t="s">
        <v>68</v>
      </c>
      <c r="C45" s="6"/>
      <c r="D45" s="6"/>
      <c r="E45" s="6"/>
      <c r="F45" s="40" t="n">
        <f aca="false">COUNTIF(H12:H31,"Plataforma")</f>
        <v>0</v>
      </c>
      <c r="G45" s="40" t="n">
        <f aca="false">SUMIF(H12:H31,"Plataforma",F12:F31)</f>
        <v>0</v>
      </c>
    </row>
    <row r="46" customFormat="false" ht="15" hidden="false" customHeight="true" outlineLevel="0" collapsed="false">
      <c r="B46" s="6" t="s">
        <v>273</v>
      </c>
      <c r="C46" s="6"/>
      <c r="D46" s="6"/>
      <c r="E46" s="6"/>
      <c r="F46" s="40" t="n">
        <f aca="false">COUNTIF(H12:H31,"Operação")</f>
        <v>0</v>
      </c>
      <c r="G46" s="40" t="n">
        <f aca="false">SUMIF(H12:H31,"Operação",F12:F31)</f>
        <v>0</v>
      </c>
    </row>
    <row r="47" customFormat="false" ht="15" hidden="false" customHeight="true" outlineLevel="0" collapsed="false">
      <c r="B47" s="6" t="s">
        <v>274</v>
      </c>
      <c r="C47" s="6"/>
      <c r="D47" s="6"/>
      <c r="E47" s="6"/>
      <c r="F47" s="40" t="n">
        <f aca="false">COUNTIF(H12:H31,"Não identificada")</f>
        <v>0</v>
      </c>
      <c r="G47" s="40" t="n">
        <f aca="false">SUMIF(H12:H31,"Não identificada",F12:F31)</f>
        <v>0</v>
      </c>
    </row>
  </sheetData>
  <mergeCells count="26">
    <mergeCell ref="B1:J1"/>
    <mergeCell ref="B2:J2"/>
    <mergeCell ref="B4:C4"/>
    <mergeCell ref="D4:H4"/>
    <mergeCell ref="B5:C5"/>
    <mergeCell ref="D5:H5"/>
    <mergeCell ref="B6:F6"/>
    <mergeCell ref="H6:I6"/>
    <mergeCell ref="B8:J8"/>
    <mergeCell ref="B33:J33"/>
    <mergeCell ref="B34:E34"/>
    <mergeCell ref="H34:J36"/>
    <mergeCell ref="B35:E35"/>
    <mergeCell ref="B36:E36"/>
    <mergeCell ref="B37:E37"/>
    <mergeCell ref="F37:G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</mergeCells>
  <dataValidations count="4">
    <dataValidation allowBlank="true" error="Digite uma data no formato dia/mês/ano." errorStyle="stop" errorTitle="Data inválida" operator="greaterThanOrEqual" showDropDown="false" showErrorMessage="true" showInputMessage="false" sqref="C12:C31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6" type="decimal">
      <formula1>-1000000000</formula1>
      <formula2>1000000000</formula2>
    </dataValidation>
    <dataValidation allowBlank="true" error="Escolha uma das opções da lista." errorStyle="stop" errorTitle="Valor inválido" operator="between" prompt="Escolha o que o espectador viu ou ouviu." promptTitle="Opções" showDropDown="false" showErrorMessage="true" showInputMessage="true" sqref="G12:G31" type="list">
      <formula1>"Queda total,Travamento,Sem áudio,Sem vídeo,Fora de sincronismo,Imagem ruim,Som ruim,Outro"</formula1>
      <formula2>0</formula2>
    </dataValidation>
    <dataValidation allowBlank="true" error="Escolha uma das opções da lista." errorStyle="stop" errorTitle="Valor inválido" operator="between" prompt="Escolha a etapa em que a falha nasceu." promptTitle="Opções" showDropDown="false" showErrorMessage="true" showInputMessage="true" sqref="H12:H31" type="list">
      <formula1>"Internet,Codificador,Computador,Áudio,Vídeo,Energia,Plataforma,Operação,Não identificada"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275</v>
      </c>
      <c r="C1" s="1"/>
      <c r="D1" s="1"/>
      <c r="E1" s="1"/>
    </row>
    <row r="2" customFormat="false" ht="19.5" hidden="false" customHeight="true" outlineLevel="0" collapsed="false">
      <c r="B2" s="2" t="s">
        <v>276</v>
      </c>
      <c r="C2" s="2"/>
      <c r="D2" s="2"/>
      <c r="E2" s="2"/>
    </row>
    <row r="4" customFormat="false" ht="21.75" hidden="false" customHeight="true" outlineLevel="0" collapsed="false">
      <c r="B4" s="10" t="s">
        <v>277</v>
      </c>
      <c r="C4" s="10"/>
      <c r="D4" s="10"/>
      <c r="E4" s="10"/>
    </row>
    <row r="5" customFormat="false" ht="21.75" hidden="false" customHeight="true" outlineLevel="0" collapsed="false">
      <c r="B5" s="8" t="s">
        <v>130</v>
      </c>
      <c r="C5" s="8" t="s">
        <v>278</v>
      </c>
      <c r="D5" s="8" t="s">
        <v>279</v>
      </c>
      <c r="E5" s="8" t="s">
        <v>280</v>
      </c>
    </row>
    <row r="6" customFormat="false" ht="31.5" hidden="false" customHeight="true" outlineLevel="0" collapsed="false">
      <c r="B6" s="41" t="s">
        <v>281</v>
      </c>
      <c r="C6" s="42" t="s">
        <v>282</v>
      </c>
      <c r="D6" s="42" t="s">
        <v>283</v>
      </c>
      <c r="E6" s="7" t="s">
        <v>284</v>
      </c>
    </row>
    <row r="7" customFormat="false" ht="31.5" hidden="false" customHeight="true" outlineLevel="0" collapsed="false">
      <c r="B7" s="41" t="s">
        <v>285</v>
      </c>
      <c r="C7" s="42" t="s">
        <v>286</v>
      </c>
      <c r="D7" s="42" t="s">
        <v>287</v>
      </c>
      <c r="E7" s="7" t="s">
        <v>288</v>
      </c>
    </row>
    <row r="8" customFormat="false" ht="31.5" hidden="false" customHeight="true" outlineLevel="0" collapsed="false">
      <c r="B8" s="41" t="s">
        <v>289</v>
      </c>
      <c r="C8" s="42" t="s">
        <v>290</v>
      </c>
      <c r="D8" s="42" t="s">
        <v>291</v>
      </c>
      <c r="E8" s="7" t="s">
        <v>292</v>
      </c>
    </row>
    <row r="9" customFormat="false" ht="31.5" hidden="false" customHeight="true" outlineLevel="0" collapsed="false">
      <c r="B9" s="41" t="s">
        <v>293</v>
      </c>
      <c r="C9" s="42" t="s">
        <v>294</v>
      </c>
      <c r="D9" s="42" t="s">
        <v>295</v>
      </c>
      <c r="E9" s="7" t="s">
        <v>296</v>
      </c>
    </row>
    <row r="10" customFormat="false" ht="31.5" hidden="false" customHeight="true" outlineLevel="0" collapsed="false">
      <c r="B10" s="41" t="s">
        <v>297</v>
      </c>
      <c r="C10" s="42" t="s">
        <v>298</v>
      </c>
      <c r="D10" s="42" t="s">
        <v>299</v>
      </c>
      <c r="E10" s="7" t="s">
        <v>144</v>
      </c>
    </row>
    <row r="12" customFormat="false" ht="21.75" hidden="false" customHeight="true" outlineLevel="0" collapsed="false">
      <c r="B12" s="10" t="s">
        <v>300</v>
      </c>
      <c r="C12" s="10"/>
      <c r="D12" s="10"/>
      <c r="E12" s="10"/>
    </row>
    <row r="13" customFormat="false" ht="21.75" hidden="false" customHeight="true" outlineLevel="0" collapsed="false">
      <c r="B13" s="8" t="s">
        <v>301</v>
      </c>
      <c r="C13" s="8" t="s">
        <v>153</v>
      </c>
      <c r="D13" s="8" t="s">
        <v>302</v>
      </c>
      <c r="E13" s="8" t="s">
        <v>75</v>
      </c>
    </row>
    <row r="14" customFormat="false" ht="31.5" hidden="false" customHeight="true" outlineLevel="0" collapsed="false">
      <c r="B14" s="41" t="s">
        <v>171</v>
      </c>
      <c r="C14" s="42" t="s">
        <v>303</v>
      </c>
      <c r="D14" s="42" t="s">
        <v>304</v>
      </c>
      <c r="E14" s="7" t="s">
        <v>305</v>
      </c>
    </row>
    <row r="15" customFormat="false" ht="31.5" hidden="false" customHeight="true" outlineLevel="0" collapsed="false">
      <c r="B15" s="41" t="s">
        <v>173</v>
      </c>
      <c r="C15" s="42" t="s">
        <v>306</v>
      </c>
      <c r="D15" s="42" t="s">
        <v>307</v>
      </c>
      <c r="E15" s="7" t="s">
        <v>308</v>
      </c>
    </row>
    <row r="16" customFormat="false" ht="31.5" hidden="false" customHeight="true" outlineLevel="0" collapsed="false">
      <c r="B16" s="41" t="s">
        <v>309</v>
      </c>
      <c r="C16" s="42" t="s">
        <v>310</v>
      </c>
      <c r="D16" s="42" t="s">
        <v>311</v>
      </c>
      <c r="E16" s="7" t="s">
        <v>312</v>
      </c>
    </row>
    <row r="17" customFormat="false" ht="31.5" hidden="false" customHeight="true" outlineLevel="0" collapsed="false">
      <c r="B17" s="41" t="s">
        <v>313</v>
      </c>
      <c r="C17" s="42" t="s">
        <v>314</v>
      </c>
      <c r="D17" s="42" t="s">
        <v>315</v>
      </c>
      <c r="E17" s="7" t="s">
        <v>316</v>
      </c>
    </row>
    <row r="18" customFormat="false" ht="31.5" hidden="false" customHeight="true" outlineLevel="0" collapsed="false">
      <c r="B18" s="41" t="s">
        <v>56</v>
      </c>
      <c r="C18" s="42" t="s">
        <v>317</v>
      </c>
      <c r="D18" s="42" t="s">
        <v>157</v>
      </c>
      <c r="E18" s="7" t="s">
        <v>318</v>
      </c>
    </row>
    <row r="19" customFormat="false" ht="31.5" hidden="false" customHeight="true" outlineLevel="0" collapsed="false">
      <c r="B19" s="41" t="s">
        <v>319</v>
      </c>
      <c r="C19" s="42" t="s">
        <v>320</v>
      </c>
      <c r="D19" s="42" t="s">
        <v>157</v>
      </c>
      <c r="E19" s="7" t="s">
        <v>321</v>
      </c>
    </row>
    <row r="21" customFormat="false" ht="21.75" hidden="false" customHeight="true" outlineLevel="0" collapsed="false">
      <c r="B21" s="10" t="s">
        <v>322</v>
      </c>
      <c r="C21" s="10"/>
      <c r="D21" s="10"/>
      <c r="E21" s="10"/>
    </row>
    <row r="22" customFormat="false" ht="21.75" hidden="false" customHeight="true" outlineLevel="0" collapsed="false">
      <c r="B22" s="8" t="s">
        <v>323</v>
      </c>
      <c r="C22" s="8" t="s">
        <v>153</v>
      </c>
      <c r="D22" s="8" t="s">
        <v>324</v>
      </c>
      <c r="E22" s="8" t="s">
        <v>75</v>
      </c>
    </row>
    <row r="23" customFormat="false" ht="31.5" hidden="false" customHeight="true" outlineLevel="0" collapsed="false">
      <c r="B23" s="41" t="s">
        <v>325</v>
      </c>
      <c r="C23" s="42" t="s">
        <v>326</v>
      </c>
      <c r="D23" s="42" t="s">
        <v>327</v>
      </c>
      <c r="E23" s="7" t="s">
        <v>328</v>
      </c>
    </row>
    <row r="24" customFormat="false" ht="31.5" hidden="false" customHeight="true" outlineLevel="0" collapsed="false">
      <c r="B24" s="41" t="s">
        <v>329</v>
      </c>
      <c r="C24" s="42" t="s">
        <v>330</v>
      </c>
      <c r="D24" s="42" t="s">
        <v>331</v>
      </c>
      <c r="E24" s="7" t="s">
        <v>332</v>
      </c>
    </row>
    <row r="25" customFormat="false" ht="31.5" hidden="false" customHeight="true" outlineLevel="0" collapsed="false">
      <c r="B25" s="41" t="s">
        <v>333</v>
      </c>
      <c r="C25" s="42" t="s">
        <v>334</v>
      </c>
      <c r="D25" s="42" t="s">
        <v>331</v>
      </c>
      <c r="E25" s="7" t="s">
        <v>335</v>
      </c>
    </row>
    <row r="26" customFormat="false" ht="31.5" hidden="false" customHeight="true" outlineLevel="0" collapsed="false">
      <c r="B26" s="41" t="s">
        <v>336</v>
      </c>
      <c r="C26" s="42" t="s">
        <v>337</v>
      </c>
      <c r="D26" s="42" t="s">
        <v>338</v>
      </c>
      <c r="E26" s="7" t="s">
        <v>339</v>
      </c>
    </row>
    <row r="27" customFormat="false" ht="31.5" hidden="false" customHeight="true" outlineLevel="0" collapsed="false">
      <c r="B27" s="41" t="s">
        <v>54</v>
      </c>
      <c r="C27" s="42" t="s">
        <v>340</v>
      </c>
      <c r="D27" s="42" t="s">
        <v>341</v>
      </c>
      <c r="E27" s="7" t="s">
        <v>342</v>
      </c>
    </row>
    <row r="29" customFormat="false" ht="21.75" hidden="false" customHeight="true" outlineLevel="0" collapsed="false">
      <c r="B29" s="10" t="s">
        <v>343</v>
      </c>
      <c r="C29" s="10"/>
      <c r="D29" s="10"/>
      <c r="E29" s="10"/>
    </row>
    <row r="30" customFormat="false" ht="21.75" hidden="false" customHeight="true" outlineLevel="0" collapsed="false">
      <c r="B30" s="8" t="s">
        <v>344</v>
      </c>
      <c r="C30" s="8" t="s">
        <v>252</v>
      </c>
      <c r="D30" s="8" t="s">
        <v>345</v>
      </c>
      <c r="E30" s="8" t="s">
        <v>346</v>
      </c>
    </row>
    <row r="31" customFormat="false" ht="31.5" hidden="false" customHeight="true" outlineLevel="0" collapsed="false">
      <c r="B31" s="41" t="s">
        <v>347</v>
      </c>
      <c r="C31" s="42" t="s">
        <v>348</v>
      </c>
      <c r="D31" s="42" t="s">
        <v>349</v>
      </c>
      <c r="E31" s="7" t="s">
        <v>350</v>
      </c>
    </row>
    <row r="32" customFormat="false" ht="31.5" hidden="false" customHeight="true" outlineLevel="0" collapsed="false">
      <c r="B32" s="41" t="s">
        <v>351</v>
      </c>
      <c r="C32" s="42" t="s">
        <v>352</v>
      </c>
      <c r="D32" s="42" t="s">
        <v>353</v>
      </c>
      <c r="E32" s="7" t="s">
        <v>354</v>
      </c>
    </row>
    <row r="33" customFormat="false" ht="31.5" hidden="false" customHeight="true" outlineLevel="0" collapsed="false">
      <c r="B33" s="41" t="s">
        <v>355</v>
      </c>
      <c r="C33" s="42" t="s">
        <v>356</v>
      </c>
      <c r="D33" s="42" t="s">
        <v>357</v>
      </c>
      <c r="E33" s="7" t="s">
        <v>358</v>
      </c>
    </row>
    <row r="34" customFormat="false" ht="31.5" hidden="false" customHeight="true" outlineLevel="0" collapsed="false">
      <c r="B34" s="41" t="s">
        <v>359</v>
      </c>
      <c r="C34" s="42" t="s">
        <v>56</v>
      </c>
      <c r="D34" s="42" t="s">
        <v>331</v>
      </c>
      <c r="E34" s="7" t="s">
        <v>360</v>
      </c>
    </row>
    <row r="35" customFormat="false" ht="31.5" hidden="false" customHeight="true" outlineLevel="0" collapsed="false">
      <c r="B35" s="41" t="s">
        <v>361</v>
      </c>
      <c r="C35" s="42" t="s">
        <v>362</v>
      </c>
      <c r="D35" s="42" t="s">
        <v>363</v>
      </c>
      <c r="E35" s="7" t="s">
        <v>364</v>
      </c>
    </row>
    <row r="36" customFormat="false" ht="31.5" hidden="false" customHeight="true" outlineLevel="0" collapsed="false">
      <c r="B36" s="41" t="s">
        <v>365</v>
      </c>
      <c r="C36" s="42" t="s">
        <v>366</v>
      </c>
      <c r="D36" s="42" t="s">
        <v>367</v>
      </c>
      <c r="E36" s="7" t="s">
        <v>368</v>
      </c>
    </row>
    <row r="37" customFormat="false" ht="31.5" hidden="false" customHeight="true" outlineLevel="0" collapsed="false">
      <c r="B37" s="41" t="s">
        <v>369</v>
      </c>
      <c r="C37" s="42" t="s">
        <v>370</v>
      </c>
      <c r="D37" s="42" t="s">
        <v>371</v>
      </c>
      <c r="E37" s="7" t="s">
        <v>372</v>
      </c>
    </row>
    <row r="38" customFormat="false" ht="31.5" hidden="false" customHeight="true" outlineLevel="0" collapsed="false">
      <c r="B38" s="41" t="s">
        <v>373</v>
      </c>
      <c r="C38" s="42" t="s">
        <v>374</v>
      </c>
      <c r="D38" s="42" t="s">
        <v>375</v>
      </c>
      <c r="E38" s="7" t="s">
        <v>376</v>
      </c>
    </row>
    <row r="39" customFormat="false" ht="15" hidden="false" customHeight="true" outlineLevel="0" collapsed="false">
      <c r="B39" s="14" t="s">
        <v>377</v>
      </c>
      <c r="C39" s="14"/>
      <c r="D39" s="14"/>
      <c r="E39" s="14"/>
    </row>
  </sheetData>
  <mergeCells count="7">
    <mergeCell ref="B1:E1"/>
    <mergeCell ref="B2:E2"/>
    <mergeCell ref="B4:E4"/>
    <mergeCell ref="B12:E12"/>
    <mergeCell ref="B21:E21"/>
    <mergeCell ref="B29:E29"/>
    <mergeCell ref="B39:E3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62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378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4" t="s">
        <v>64</v>
      </c>
      <c r="C4" s="4"/>
      <c r="D4" s="43" t="s">
        <v>379</v>
      </c>
      <c r="E4" s="43"/>
      <c r="F4" s="43"/>
      <c r="G4" s="43"/>
    </row>
    <row r="5" customFormat="false" ht="21.75" hidden="false" customHeight="true" outlineLevel="0" collapsed="false">
      <c r="B5" s="4" t="s">
        <v>65</v>
      </c>
      <c r="C5" s="4"/>
      <c r="D5" s="43" t="s">
        <v>380</v>
      </c>
      <c r="E5" s="43"/>
      <c r="F5" s="43"/>
      <c r="G5" s="43"/>
    </row>
    <row r="6" customFormat="false" ht="21.75" hidden="false" customHeight="true" outlineLevel="0" collapsed="false">
      <c r="B6" s="4" t="s">
        <v>66</v>
      </c>
      <c r="C6" s="4"/>
      <c r="D6" s="44" t="n">
        <v>46299</v>
      </c>
      <c r="E6" s="44"/>
      <c r="F6" s="44"/>
      <c r="G6" s="44"/>
    </row>
    <row r="7" customFormat="false" ht="21.75" hidden="false" customHeight="true" outlineLevel="0" collapsed="false">
      <c r="B7" s="4" t="s">
        <v>67</v>
      </c>
      <c r="C7" s="4"/>
      <c r="D7" s="43" t="s">
        <v>381</v>
      </c>
      <c r="E7" s="43"/>
      <c r="F7" s="43"/>
      <c r="G7" s="43"/>
    </row>
    <row r="8" customFormat="false" ht="21.75" hidden="false" customHeight="true" outlineLevel="0" collapsed="false">
      <c r="B8" s="4" t="s">
        <v>68</v>
      </c>
      <c r="C8" s="4"/>
      <c r="D8" s="43" t="s">
        <v>382</v>
      </c>
      <c r="E8" s="43"/>
      <c r="F8" s="43"/>
      <c r="G8" s="43"/>
    </row>
    <row r="10" customFormat="false" ht="21.75" hidden="false" customHeight="true" outlineLevel="0" collapsed="false">
      <c r="B10" s="10" t="s">
        <v>69</v>
      </c>
      <c r="C10" s="10"/>
      <c r="D10" s="10"/>
      <c r="E10" s="10"/>
      <c r="F10" s="10"/>
      <c r="G10" s="10"/>
      <c r="H10" s="10"/>
      <c r="I10" s="10"/>
    </row>
    <row r="11" customFormat="false" ht="24" hidden="false" customHeight="true" outlineLevel="0" collapsed="false">
      <c r="B11" s="11" t="s">
        <v>70</v>
      </c>
      <c r="C11" s="11" t="s">
        <v>71</v>
      </c>
      <c r="D11" s="11" t="s">
        <v>72</v>
      </c>
      <c r="E11" s="12" t="s">
        <v>73</v>
      </c>
      <c r="F11" s="11" t="s">
        <v>74</v>
      </c>
      <c r="G11" s="11" t="s">
        <v>75</v>
      </c>
      <c r="H11" s="11"/>
      <c r="I11" s="11"/>
    </row>
    <row r="12" customFormat="false" ht="15" hidden="false" customHeight="true" outlineLevel="0" collapsed="false">
      <c r="B12" s="13"/>
      <c r="C12" s="13" t="s">
        <v>76</v>
      </c>
      <c r="D12" s="13" t="s">
        <v>77</v>
      </c>
      <c r="E12" s="13" t="s">
        <v>78</v>
      </c>
      <c r="F12" s="13" t="s">
        <v>79</v>
      </c>
      <c r="G12" s="13" t="s">
        <v>80</v>
      </c>
      <c r="H12" s="13"/>
      <c r="I12" s="13"/>
    </row>
    <row r="13" customFormat="false" ht="21.75" hidden="false" customHeight="true" outlineLevel="0" collapsed="false">
      <c r="B13" s="14" t="s">
        <v>383</v>
      </c>
      <c r="C13" s="14"/>
      <c r="D13" s="14"/>
      <c r="E13" s="14"/>
      <c r="F13" s="14"/>
      <c r="G13" s="14"/>
      <c r="H13" s="14"/>
      <c r="I13" s="14"/>
    </row>
    <row r="14" customFormat="false" ht="21.75" hidden="false" customHeight="true" outlineLevel="0" collapsed="false">
      <c r="B14" s="16" t="n">
        <v>1</v>
      </c>
      <c r="C14" s="43" t="s">
        <v>384</v>
      </c>
      <c r="D14" s="45" t="s">
        <v>83</v>
      </c>
      <c r="E14" s="46" t="n">
        <v>12.4</v>
      </c>
      <c r="F14" s="47" t="n">
        <v>92</v>
      </c>
      <c r="G14" s="43" t="s">
        <v>385</v>
      </c>
      <c r="H14" s="43"/>
      <c r="I14" s="43"/>
    </row>
    <row r="15" customFormat="false" ht="21.75" hidden="false" customHeight="true" outlineLevel="0" collapsed="false">
      <c r="B15" s="16" t="n">
        <v>2</v>
      </c>
      <c r="C15" s="43" t="s">
        <v>386</v>
      </c>
      <c r="D15" s="45" t="s">
        <v>83</v>
      </c>
      <c r="E15" s="46" t="n">
        <v>9.8</v>
      </c>
      <c r="F15" s="47" t="n">
        <v>85</v>
      </c>
      <c r="G15" s="43" t="s">
        <v>387</v>
      </c>
      <c r="H15" s="43"/>
      <c r="I15" s="43"/>
    </row>
    <row r="16" customFormat="false" ht="21.75" hidden="false" customHeight="true" outlineLevel="0" collapsed="false">
      <c r="B16" s="16" t="n">
        <v>3</v>
      </c>
      <c r="C16" s="43" t="s">
        <v>388</v>
      </c>
      <c r="D16" s="45" t="s">
        <v>83</v>
      </c>
      <c r="E16" s="46" t="n">
        <v>8.2</v>
      </c>
      <c r="F16" s="47" t="n">
        <v>60</v>
      </c>
      <c r="G16" s="43" t="s">
        <v>389</v>
      </c>
      <c r="H16" s="43"/>
      <c r="I16" s="43"/>
    </row>
    <row r="17" customFormat="false" ht="21.75" hidden="false" customHeight="true" outlineLevel="0" collapsed="false">
      <c r="B17" s="16" t="n">
        <v>4</v>
      </c>
      <c r="C17" s="43"/>
      <c r="D17" s="45"/>
      <c r="E17" s="46"/>
      <c r="F17" s="47"/>
      <c r="G17" s="43"/>
      <c r="H17" s="43"/>
      <c r="I17" s="43"/>
    </row>
    <row r="18" customFormat="false" ht="21.75" hidden="false" customHeight="true" outlineLevel="0" collapsed="false">
      <c r="B18" s="16" t="n">
        <v>5</v>
      </c>
      <c r="C18" s="43"/>
      <c r="D18" s="45"/>
      <c r="E18" s="46"/>
      <c r="F18" s="47"/>
      <c r="G18" s="43"/>
      <c r="H18" s="43"/>
      <c r="I18" s="43"/>
    </row>
    <row r="19" customFormat="false" ht="21.75" hidden="false" customHeight="true" outlineLevel="0" collapsed="false">
      <c r="B19" s="20" t="s">
        <v>85</v>
      </c>
      <c r="C19" s="20"/>
      <c r="D19" s="20"/>
      <c r="E19" s="21" t="n">
        <f aca="false">IF(COUNT(E14:E18)=0,"",MIN(E14:E18))</f>
        <v>8.2</v>
      </c>
      <c r="F19" s="14" t="s">
        <v>86</v>
      </c>
      <c r="G19" s="14"/>
      <c r="H19" s="14"/>
      <c r="I19" s="14"/>
    </row>
    <row r="20" customFormat="false" ht="21.75" hidden="false" customHeight="true" outlineLevel="0" collapsed="false">
      <c r="B20" s="20" t="s">
        <v>87</v>
      </c>
      <c r="C20" s="20"/>
      <c r="D20" s="20"/>
      <c r="E20" s="8" t="n">
        <f aca="false">COUNT(E14:E18)</f>
        <v>3</v>
      </c>
      <c r="F20" s="22" t="str">
        <f aca="false">IF(E20=0,"",IF(E20&lt;3,"Meça pelo menos três vezes, uma delas no horário do evento","OK"))</f>
        <v>OK</v>
      </c>
      <c r="G20" s="22"/>
      <c r="H20" s="22"/>
      <c r="I20" s="22"/>
    </row>
    <row r="21" customFormat="false" ht="21.75" hidden="false" customHeight="true" outlineLevel="0" collapsed="false">
      <c r="B21" s="20" t="s">
        <v>88</v>
      </c>
      <c r="C21" s="20"/>
      <c r="D21" s="20"/>
      <c r="E21" s="23" t="n">
        <f aca="false">IF(COUNT(E14:E18)&lt;2,"",(MAX(E14:E18)-MIN(E14:E18))/MAX(E14:E18))</f>
        <v>0.338709677419355</v>
      </c>
      <c r="F21" s="22" t="str">
        <f aca="false">IF(E21="","",IF(E21&gt;0.3,"Variação alta: há mais gente usando este upload, ou a rede é instável","OK"))</f>
        <v>Variação alta: há mais gente usando este upload, ou a rede é instável</v>
      </c>
      <c r="G21" s="22"/>
      <c r="H21" s="22"/>
      <c r="I21" s="22"/>
    </row>
    <row r="23" customFormat="false" ht="21.75" hidden="false" customHeight="true" outlineLevel="0" collapsed="false">
      <c r="B23" s="10" t="s">
        <v>89</v>
      </c>
      <c r="C23" s="10"/>
      <c r="D23" s="10"/>
      <c r="E23" s="10"/>
      <c r="F23" s="10"/>
      <c r="G23" s="10"/>
      <c r="H23" s="10"/>
      <c r="I23" s="10"/>
    </row>
    <row r="24" customFormat="false" ht="21.75" hidden="false" customHeight="true" outlineLevel="0" collapsed="false">
      <c r="B24" s="20" t="s">
        <v>90</v>
      </c>
      <c r="C24" s="20"/>
      <c r="D24" s="20"/>
      <c r="E24" s="45" t="s">
        <v>390</v>
      </c>
      <c r="F24" s="14" t="s">
        <v>91</v>
      </c>
      <c r="G24" s="14"/>
      <c r="H24" s="14"/>
      <c r="I24" s="14"/>
    </row>
    <row r="25" customFormat="false" ht="21.75" hidden="false" customHeight="true" outlineLevel="0" collapsed="false">
      <c r="B25" s="20" t="s">
        <v>92</v>
      </c>
      <c r="C25" s="20"/>
      <c r="D25" s="20"/>
      <c r="E25" s="45" t="n">
        <v>60</v>
      </c>
      <c r="F25" s="14" t="s">
        <v>93</v>
      </c>
      <c r="G25" s="14"/>
      <c r="H25" s="14"/>
      <c r="I25" s="14"/>
    </row>
    <row r="26" customFormat="false" ht="21.75" hidden="false" customHeight="true" outlineLevel="0" collapsed="false">
      <c r="B26" s="20" t="s">
        <v>94</v>
      </c>
      <c r="C26" s="20"/>
      <c r="D26" s="20"/>
      <c r="E26" s="48" t="n">
        <v>9000</v>
      </c>
      <c r="F26" s="14" t="s">
        <v>95</v>
      </c>
      <c r="G26" s="14"/>
      <c r="H26" s="14"/>
      <c r="I26" s="14"/>
    </row>
    <row r="27" customFormat="false" ht="21.75" hidden="false" customHeight="true" outlineLevel="0" collapsed="false">
      <c r="B27" s="20" t="s">
        <v>96</v>
      </c>
      <c r="C27" s="20"/>
      <c r="D27" s="20"/>
      <c r="E27" s="48" t="n">
        <v>160</v>
      </c>
      <c r="F27" s="14" t="s">
        <v>97</v>
      </c>
      <c r="G27" s="14"/>
      <c r="H27" s="14"/>
      <c r="I27" s="14"/>
    </row>
    <row r="28" customFormat="false" ht="21.75" hidden="false" customHeight="true" outlineLevel="0" collapsed="false">
      <c r="B28" s="20" t="s">
        <v>98</v>
      </c>
      <c r="C28" s="20"/>
      <c r="D28" s="20"/>
      <c r="E28" s="49" t="n">
        <v>0.5</v>
      </c>
      <c r="F28" s="14" t="s">
        <v>99</v>
      </c>
      <c r="G28" s="14"/>
      <c r="H28" s="14"/>
      <c r="I28" s="14"/>
    </row>
    <row r="29" customFormat="false" ht="21.75" hidden="false" customHeight="true" outlineLevel="0" collapsed="false">
      <c r="B29" s="20" t="s">
        <v>100</v>
      </c>
      <c r="C29" s="20"/>
      <c r="D29" s="20"/>
      <c r="E29" s="47" t="n">
        <v>120</v>
      </c>
      <c r="F29" s="14" t="s">
        <v>101</v>
      </c>
      <c r="G29" s="14"/>
      <c r="H29" s="14"/>
      <c r="I29" s="14"/>
    </row>
    <row r="30" customFormat="false" ht="21.75" hidden="false" customHeight="true" outlineLevel="0" collapsed="false">
      <c r="B30" s="20" t="s">
        <v>102</v>
      </c>
      <c r="C30" s="20"/>
      <c r="D30" s="20"/>
      <c r="E30" s="46" t="n">
        <v>6</v>
      </c>
      <c r="F30" s="14" t="s">
        <v>103</v>
      </c>
      <c r="G30" s="14"/>
      <c r="H30" s="14"/>
      <c r="I30" s="14"/>
    </row>
    <row r="32" customFormat="false" ht="21.75" hidden="false" customHeight="true" outlineLevel="0" collapsed="false">
      <c r="B32" s="10" t="s">
        <v>104</v>
      </c>
      <c r="C32" s="10"/>
      <c r="D32" s="10"/>
      <c r="E32" s="10"/>
      <c r="F32" s="10"/>
      <c r="G32" s="10"/>
      <c r="H32" s="10"/>
      <c r="I32" s="10"/>
    </row>
    <row r="33" customFormat="false" ht="21.75" hidden="false" customHeight="true" outlineLevel="0" collapsed="false">
      <c r="B33" s="20" t="s">
        <v>105</v>
      </c>
      <c r="C33" s="20"/>
      <c r="D33" s="20"/>
      <c r="E33" s="26" t="n">
        <f aca="false">IF(OR($E$26="",$E$27=""),"",$E$26+$E$27)</f>
        <v>9160</v>
      </c>
      <c r="F33" s="14" t="s">
        <v>106</v>
      </c>
      <c r="G33" s="14"/>
      <c r="H33" s="14"/>
      <c r="I33" s="14"/>
    </row>
    <row r="34" customFormat="false" ht="21.75" hidden="false" customHeight="true" outlineLevel="0" collapsed="false">
      <c r="B34" s="20" t="s">
        <v>107</v>
      </c>
      <c r="C34" s="20"/>
      <c r="D34" s="20"/>
      <c r="E34" s="27" t="n">
        <f aca="false">IF($E$33="","",$E$33/1000)</f>
        <v>9.16</v>
      </c>
      <c r="F34" s="14" t="s">
        <v>108</v>
      </c>
      <c r="G34" s="14"/>
      <c r="H34" s="14"/>
      <c r="I34" s="14"/>
    </row>
    <row r="35" customFormat="false" ht="21.75" hidden="false" customHeight="true" outlineLevel="0" collapsed="false">
      <c r="B35" s="20" t="s">
        <v>109</v>
      </c>
      <c r="C35" s="20"/>
      <c r="D35" s="20"/>
      <c r="E35" s="26" t="n">
        <f aca="false">IF(OR($E$19="",$E$28=""),"",ROUND($E$19*1000*$E$28,0))</f>
        <v>4100</v>
      </c>
      <c r="F35" s="14" t="s">
        <v>110</v>
      </c>
      <c r="G35" s="14"/>
      <c r="H35" s="14"/>
      <c r="I35" s="14"/>
    </row>
    <row r="36" customFormat="false" ht="21.75" hidden="false" customHeight="true" outlineLevel="0" collapsed="false">
      <c r="B36" s="20" t="s">
        <v>111</v>
      </c>
      <c r="C36" s="20"/>
      <c r="D36" s="20"/>
      <c r="E36" s="23" t="n">
        <f aca="false">IF(OR($E$33="",$E$19=""),"",$E$33/($E$19*1000))</f>
        <v>1.11707317073171</v>
      </c>
      <c r="F36" s="14" t="s">
        <v>112</v>
      </c>
      <c r="G36" s="14"/>
      <c r="H36" s="14"/>
      <c r="I36" s="14"/>
    </row>
    <row r="37" customFormat="false" ht="21.75" hidden="false" customHeight="true" outlineLevel="0" collapsed="false">
      <c r="B37" s="20" t="s">
        <v>48</v>
      </c>
      <c r="C37" s="20"/>
      <c r="D37" s="20"/>
      <c r="E37" s="28" t="str">
        <f aca="false">IF(OR($E$36="",$E$28=""),"",IF($E$36&lt;=$E$28,"OK",IF($E$36&lt;=MAX($E$28,0.75),"Apertado","Insuficiente")))</f>
        <v>Insuficiente</v>
      </c>
      <c r="F37" s="14" t="s">
        <v>113</v>
      </c>
      <c r="G37" s="14"/>
      <c r="H37" s="14"/>
      <c r="I37" s="14"/>
    </row>
    <row r="38" customFormat="false" ht="21.75" hidden="false" customHeight="true" outlineLevel="0" collapsed="false">
      <c r="B38" s="20" t="s">
        <v>114</v>
      </c>
      <c r="C38" s="20"/>
      <c r="D38" s="20"/>
      <c r="E38" s="26" t="n">
        <f aca="false">IF(OR($E$35="",$E$27=""),"",MAX(0,$E$35-$E$27))</f>
        <v>3940</v>
      </c>
      <c r="F38" s="14" t="s">
        <v>115</v>
      </c>
      <c r="G38" s="14"/>
      <c r="H38" s="14"/>
      <c r="I38" s="14"/>
    </row>
    <row r="39" customFormat="false" ht="21.75" hidden="false" customHeight="true" outlineLevel="0" collapsed="false">
      <c r="B39" s="20" t="s">
        <v>116</v>
      </c>
      <c r="C39" s="20"/>
      <c r="D39" s="20"/>
      <c r="E39" s="26" t="n">
        <f aca="false">IFERROR(VLOOKUP($E$24&amp;$E$25,$C$49:$E$53,2,FALSE()),"")</f>
        <v>6000</v>
      </c>
      <c r="F39" s="14" t="s">
        <v>117</v>
      </c>
      <c r="G39" s="14"/>
      <c r="H39" s="14"/>
      <c r="I39" s="14"/>
    </row>
    <row r="40" customFormat="false" ht="21.75" hidden="false" customHeight="true" outlineLevel="0" collapsed="false">
      <c r="B40" s="20" t="s">
        <v>118</v>
      </c>
      <c r="C40" s="20"/>
      <c r="D40" s="20"/>
      <c r="E40" s="26" t="n">
        <f aca="false">IFERROR(VLOOKUP($E$24&amp;$E$25,$C$49:$E$53,3,FALSE()),"")</f>
        <v>9000</v>
      </c>
      <c r="F40" s="14" t="s">
        <v>119</v>
      </c>
      <c r="G40" s="14"/>
      <c r="H40" s="14"/>
      <c r="I40" s="14"/>
    </row>
    <row r="41" customFormat="false" ht="21.75" hidden="false" customHeight="true" outlineLevel="0" collapsed="false">
      <c r="B41" s="20" t="s">
        <v>120</v>
      </c>
      <c r="C41" s="20"/>
      <c r="D41" s="20"/>
      <c r="E41" s="28" t="str">
        <f aca="false">IF(OR($E$26="",$E$39=""),"",IF($E$26&lt;$E$39,"Abaixo da faixa",IF($E$26&gt;$E$40,"Acima da faixa","OK")))</f>
        <v>OK</v>
      </c>
      <c r="F41" s="14" t="s">
        <v>121</v>
      </c>
      <c r="G41" s="14"/>
      <c r="H41" s="14"/>
      <c r="I41" s="14"/>
    </row>
    <row r="42" customFormat="false" ht="21.75" hidden="false" customHeight="true" outlineLevel="0" collapsed="false">
      <c r="B42" s="20" t="s">
        <v>122</v>
      </c>
      <c r="C42" s="20"/>
      <c r="D42" s="20"/>
      <c r="E42" s="21" t="n">
        <f aca="false">IF(OR($E$33="",$E$29=""),"",ROUND($E$33*$E$29*60/8/1000000,1))</f>
        <v>8.2</v>
      </c>
      <c r="F42" s="14" t="s">
        <v>123</v>
      </c>
      <c r="G42" s="14"/>
      <c r="H42" s="14"/>
      <c r="I42" s="14"/>
    </row>
    <row r="43" customFormat="false" ht="21.75" hidden="false" customHeight="true" outlineLevel="0" collapsed="false">
      <c r="B43" s="20" t="s">
        <v>124</v>
      </c>
      <c r="C43" s="20"/>
      <c r="D43" s="20"/>
      <c r="E43" s="23" t="n">
        <f aca="false">IF(OR($E$33="",$E$30=""),"",$E$33/($E$30*1000))</f>
        <v>1.52666666666667</v>
      </c>
      <c r="F43" s="14" t="s">
        <v>125</v>
      </c>
      <c r="G43" s="14"/>
      <c r="H43" s="14"/>
      <c r="I43" s="14"/>
    </row>
    <row r="44" customFormat="false" ht="21.75" hidden="false" customHeight="true" outlineLevel="0" collapsed="false">
      <c r="B44" s="20" t="s">
        <v>126</v>
      </c>
      <c r="C44" s="20"/>
      <c r="D44" s="20"/>
      <c r="E44" s="28" t="str">
        <f aca="false">IF(OR($E$43="",$E$28=""),"",IF($E$43&lt;=$E$28,"OK",IF($E$43&lt;=MAX($E$28,0.75),"Apertado","Insuficiente")))</f>
        <v>Insuficiente</v>
      </c>
      <c r="F44" s="14" t="s">
        <v>127</v>
      </c>
      <c r="G44" s="14"/>
      <c r="H44" s="14"/>
      <c r="I44" s="14"/>
    </row>
    <row r="45" customFormat="false" ht="24" hidden="false" customHeight="true" outlineLevel="0" collapsed="false">
      <c r="B45" s="20" t="s">
        <v>128</v>
      </c>
      <c r="C45" s="20"/>
      <c r="D45" s="20"/>
      <c r="E45" s="22" t="str">
        <f aca="false">IF($E$37="","Preencha as medições de upload e a configuração",IF($E$37="OK",IF($E$41="Abaixo da faixa","A rede comporta, mas o bitrate está baixo para o formato: suba o bitrate ou reduza o formato",IF($E$41="Acima da faixa","Bitrate acima da faixa do formato: pode baixar sem perder imagem","Manter")),IF(AND($E$39&lt;&gt;"",$E$38&lt;$E$39),"Este formato não cabe neste upload: reduza a resolução ou os quadros. Veja a tabela abaixo","Baixe o bitrate de vídeo para "&amp;$E$38&amp;" kbps ou menos")))</f>
        <v>Este formato não cabe neste upload: reduza a resolução ou os quadros. Veja a tabela abaixo</v>
      </c>
      <c r="F45" s="22"/>
      <c r="G45" s="22"/>
      <c r="H45" s="22"/>
      <c r="I45" s="22"/>
    </row>
    <row r="47" customFormat="false" ht="21.75" hidden="false" customHeight="true" outlineLevel="0" collapsed="false">
      <c r="B47" s="10" t="s">
        <v>129</v>
      </c>
      <c r="C47" s="10"/>
      <c r="D47" s="10"/>
      <c r="E47" s="10"/>
      <c r="F47" s="10"/>
      <c r="G47" s="10"/>
      <c r="H47" s="10"/>
      <c r="I47" s="10"/>
    </row>
    <row r="48" customFormat="false" ht="24" hidden="false" customHeight="true" outlineLevel="0" collapsed="false">
      <c r="B48" s="11" t="s">
        <v>70</v>
      </c>
      <c r="C48" s="11" t="s">
        <v>130</v>
      </c>
      <c r="D48" s="11" t="s">
        <v>131</v>
      </c>
      <c r="E48" s="11" t="s">
        <v>132</v>
      </c>
      <c r="F48" s="12" t="s">
        <v>133</v>
      </c>
      <c r="G48" s="12" t="s">
        <v>134</v>
      </c>
      <c r="H48" s="12" t="s">
        <v>111</v>
      </c>
      <c r="I48" s="11" t="s">
        <v>75</v>
      </c>
    </row>
    <row r="49" customFormat="false" ht="21.75" hidden="false" customHeight="true" outlineLevel="0" collapsed="false">
      <c r="B49" s="16" t="n">
        <v>1</v>
      </c>
      <c r="C49" s="8" t="s">
        <v>135</v>
      </c>
      <c r="D49" s="48" t="n">
        <v>1000</v>
      </c>
      <c r="E49" s="48" t="n">
        <v>2000</v>
      </c>
      <c r="F49" s="28" t="str">
        <f aca="false">IF(OR($E$38="",D49=""),"",IF($E$38&gt;=D49,"Cabe","Não cabe"))</f>
        <v>Cabe</v>
      </c>
      <c r="G49" s="26" t="n">
        <f aca="false">IF(F49="Cabe",MIN(E49,ROUND($E$38/100-0.5,0)*100),"")</f>
        <v>2000</v>
      </c>
      <c r="H49" s="29" t="n">
        <f aca="false">IF(OR(G49="",$E$19=""),"",(G49+$E$27)/($E$19*1000))</f>
        <v>0.263414634146342</v>
      </c>
      <c r="I49" s="6" t="s">
        <v>136</v>
      </c>
    </row>
    <row r="50" customFormat="false" ht="21.75" hidden="false" customHeight="true" outlineLevel="0" collapsed="false">
      <c r="B50" s="16" t="n">
        <v>2</v>
      </c>
      <c r="C50" s="8" t="s">
        <v>137</v>
      </c>
      <c r="D50" s="48" t="n">
        <v>2500</v>
      </c>
      <c r="E50" s="48" t="n">
        <v>4000</v>
      </c>
      <c r="F50" s="28" t="str">
        <f aca="false">IF(OR($E$38="",D50=""),"",IF($E$38&gt;=D50,"Cabe","Não cabe"))</f>
        <v>Cabe</v>
      </c>
      <c r="G50" s="26" t="n">
        <f aca="false">IF(F50="Cabe",MIN(E50,ROUND($E$38/100-0.5,0)*100),"")</f>
        <v>3900</v>
      </c>
      <c r="H50" s="29" t="n">
        <f aca="false">IF(OR(G50="",$E$19=""),"",(G50+$E$27)/($E$19*1000))</f>
        <v>0.495121951219512</v>
      </c>
      <c r="I50" s="6" t="s">
        <v>138</v>
      </c>
    </row>
    <row r="51" customFormat="false" ht="21.75" hidden="false" customHeight="true" outlineLevel="0" collapsed="false">
      <c r="B51" s="16" t="n">
        <v>3</v>
      </c>
      <c r="C51" s="8" t="s">
        <v>139</v>
      </c>
      <c r="D51" s="48" t="n">
        <v>3500</v>
      </c>
      <c r="E51" s="48" t="n">
        <v>6000</v>
      </c>
      <c r="F51" s="28" t="str">
        <f aca="false">IF(OR($E$38="",D51=""),"",IF($E$38&gt;=D51,"Cabe","Não cabe"))</f>
        <v>Cabe</v>
      </c>
      <c r="G51" s="26" t="n">
        <f aca="false">IF(F51="Cabe",MIN(E51,ROUND($E$38/100-0.5,0)*100),"")</f>
        <v>3900</v>
      </c>
      <c r="H51" s="29" t="n">
        <f aca="false">IF(OR(G51="",$E$19=""),"",(G51+$E$27)/($E$19*1000))</f>
        <v>0.495121951219512</v>
      </c>
      <c r="I51" s="6" t="s">
        <v>140</v>
      </c>
    </row>
    <row r="52" customFormat="false" ht="21.75" hidden="false" customHeight="true" outlineLevel="0" collapsed="false">
      <c r="B52" s="16" t="n">
        <v>4</v>
      </c>
      <c r="C52" s="8" t="s">
        <v>141</v>
      </c>
      <c r="D52" s="48" t="n">
        <v>4000</v>
      </c>
      <c r="E52" s="48" t="n">
        <v>6000</v>
      </c>
      <c r="F52" s="28" t="str">
        <f aca="false">IF(OR($E$38="",D52=""),"",IF($E$38&gt;=D52,"Cabe","Não cabe"))</f>
        <v>Não cabe</v>
      </c>
      <c r="G52" s="26" t="str">
        <f aca="false">IF(F52="Cabe",MIN(E52,ROUND($E$38/100-0.5,0)*100),"")</f>
        <v/>
      </c>
      <c r="H52" s="29" t="str">
        <f aca="false">IF(OR(G52="",$E$19=""),"",(G52+$E$27)/($E$19*1000))</f>
        <v/>
      </c>
      <c r="I52" s="6" t="s">
        <v>142</v>
      </c>
    </row>
    <row r="53" customFormat="false" ht="21.75" hidden="false" customHeight="true" outlineLevel="0" collapsed="false">
      <c r="B53" s="16" t="n">
        <v>5</v>
      </c>
      <c r="C53" s="8" t="s">
        <v>143</v>
      </c>
      <c r="D53" s="48" t="n">
        <v>6000</v>
      </c>
      <c r="E53" s="48" t="n">
        <v>9000</v>
      </c>
      <c r="F53" s="28" t="str">
        <f aca="false">IF(OR($E$38="",D53=""),"",IF($E$38&gt;=D53,"Cabe","Não cabe"))</f>
        <v>Não cabe</v>
      </c>
      <c r="G53" s="26" t="str">
        <f aca="false">IF(F53="Cabe",MIN(E53,ROUND($E$38/100-0.5,0)*100),"")</f>
        <v/>
      </c>
      <c r="H53" s="29" t="str">
        <f aca="false">IF(OR(G53="",$E$19=""),"",(G53+$E$27)/($E$19*1000))</f>
        <v/>
      </c>
      <c r="I53" s="6" t="s">
        <v>144</v>
      </c>
    </row>
    <row r="54" customFormat="false" ht="30" hidden="false" customHeight="true" outlineLevel="0" collapsed="false">
      <c r="B54" s="14" t="s">
        <v>145</v>
      </c>
      <c r="C54" s="14"/>
      <c r="D54" s="14"/>
      <c r="E54" s="14"/>
      <c r="F54" s="14"/>
      <c r="G54" s="14"/>
      <c r="H54" s="14"/>
      <c r="I54" s="14"/>
    </row>
    <row r="56" customFormat="false" ht="21.75" hidden="false" customHeight="true" outlineLevel="0" collapsed="false">
      <c r="B56" s="10" t="s">
        <v>391</v>
      </c>
      <c r="C56" s="10"/>
      <c r="D56" s="10"/>
      <c r="E56" s="10"/>
      <c r="F56" s="10"/>
      <c r="G56" s="10"/>
      <c r="H56" s="10"/>
      <c r="I56" s="10"/>
    </row>
    <row r="57" customFormat="false" ht="21.75" hidden="false" customHeight="true" outlineLevel="0" collapsed="false">
      <c r="B57" s="28" t="s">
        <v>392</v>
      </c>
      <c r="C57" s="28"/>
      <c r="D57" s="8" t="s">
        <v>253</v>
      </c>
      <c r="E57" s="8"/>
      <c r="F57" s="8"/>
      <c r="G57" s="8"/>
      <c r="H57" s="8"/>
      <c r="I57" s="8" t="s">
        <v>393</v>
      </c>
    </row>
    <row r="58" customFormat="false" ht="24" hidden="false" customHeight="true" outlineLevel="0" collapsed="false">
      <c r="B58" s="4" t="s">
        <v>130</v>
      </c>
      <c r="C58" s="4"/>
      <c r="D58" s="7" t="s">
        <v>394</v>
      </c>
      <c r="E58" s="7"/>
      <c r="F58" s="7"/>
      <c r="G58" s="7"/>
      <c r="H58" s="7"/>
      <c r="I58" s="7" t="s">
        <v>395</v>
      </c>
    </row>
    <row r="59" customFormat="false" ht="24" hidden="false" customHeight="true" outlineLevel="0" collapsed="false">
      <c r="B59" s="4" t="s">
        <v>348</v>
      </c>
      <c r="C59" s="4"/>
      <c r="D59" s="7" t="s">
        <v>396</v>
      </c>
      <c r="E59" s="7"/>
      <c r="F59" s="7"/>
      <c r="G59" s="7"/>
      <c r="H59" s="7"/>
      <c r="I59" s="7" t="s">
        <v>397</v>
      </c>
    </row>
    <row r="60" customFormat="false" ht="24" hidden="false" customHeight="true" outlineLevel="0" collapsed="false">
      <c r="B60" s="4" t="s">
        <v>398</v>
      </c>
      <c r="C60" s="4"/>
      <c r="D60" s="7" t="s">
        <v>399</v>
      </c>
      <c r="E60" s="7"/>
      <c r="F60" s="7"/>
      <c r="G60" s="7"/>
      <c r="H60" s="7"/>
      <c r="I60" s="7" t="s">
        <v>400</v>
      </c>
    </row>
    <row r="61" customFormat="false" ht="24" hidden="false" customHeight="true" outlineLevel="0" collapsed="false">
      <c r="B61" s="4" t="s">
        <v>401</v>
      </c>
      <c r="C61" s="4"/>
      <c r="D61" s="7" t="s">
        <v>402</v>
      </c>
      <c r="E61" s="7"/>
      <c r="F61" s="7"/>
      <c r="G61" s="7"/>
      <c r="H61" s="7"/>
      <c r="I61" s="7" t="s">
        <v>403</v>
      </c>
    </row>
  </sheetData>
  <mergeCells count="82">
    <mergeCell ref="B1:I1"/>
    <mergeCell ref="B2:I2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  <mergeCell ref="B10:I10"/>
    <mergeCell ref="G11:I11"/>
    <mergeCell ref="G12:I12"/>
    <mergeCell ref="B13:I13"/>
    <mergeCell ref="G14:I14"/>
    <mergeCell ref="G15:I15"/>
    <mergeCell ref="G16:I16"/>
    <mergeCell ref="G17:I17"/>
    <mergeCell ref="G18:I18"/>
    <mergeCell ref="B19:D19"/>
    <mergeCell ref="F19:I19"/>
    <mergeCell ref="B20:D20"/>
    <mergeCell ref="F20:I20"/>
    <mergeCell ref="B21:D21"/>
    <mergeCell ref="F21:I21"/>
    <mergeCell ref="B23:I23"/>
    <mergeCell ref="B24:D24"/>
    <mergeCell ref="F24:I24"/>
    <mergeCell ref="B25:D25"/>
    <mergeCell ref="F25:I25"/>
    <mergeCell ref="B26:D26"/>
    <mergeCell ref="F26:I26"/>
    <mergeCell ref="B27:D27"/>
    <mergeCell ref="F27:I27"/>
    <mergeCell ref="B28:D28"/>
    <mergeCell ref="F28:I28"/>
    <mergeCell ref="B29:D29"/>
    <mergeCell ref="F29:I29"/>
    <mergeCell ref="B30:D30"/>
    <mergeCell ref="F30:I30"/>
    <mergeCell ref="B32:I32"/>
    <mergeCell ref="B33:D33"/>
    <mergeCell ref="F33:I33"/>
    <mergeCell ref="B34:D34"/>
    <mergeCell ref="F34:I34"/>
    <mergeCell ref="B35:D35"/>
    <mergeCell ref="F35:I35"/>
    <mergeCell ref="B36:D36"/>
    <mergeCell ref="F36:I36"/>
    <mergeCell ref="B37:D37"/>
    <mergeCell ref="F37:I37"/>
    <mergeCell ref="B38:D38"/>
    <mergeCell ref="F38:I38"/>
    <mergeCell ref="B39:D39"/>
    <mergeCell ref="F39:I39"/>
    <mergeCell ref="B40:D40"/>
    <mergeCell ref="F40:I40"/>
    <mergeCell ref="B41:D41"/>
    <mergeCell ref="F41:I41"/>
    <mergeCell ref="B42:D42"/>
    <mergeCell ref="F42:I42"/>
    <mergeCell ref="B43:D43"/>
    <mergeCell ref="F43:I43"/>
    <mergeCell ref="B44:D44"/>
    <mergeCell ref="F44:I44"/>
    <mergeCell ref="B45:D45"/>
    <mergeCell ref="E45:I45"/>
    <mergeCell ref="B47:I47"/>
    <mergeCell ref="B54:I54"/>
    <mergeCell ref="B56:I56"/>
    <mergeCell ref="B57:C57"/>
    <mergeCell ref="D57:H57"/>
    <mergeCell ref="B58:C58"/>
    <mergeCell ref="D58:H58"/>
    <mergeCell ref="B59:C59"/>
    <mergeCell ref="D59:H59"/>
    <mergeCell ref="B60:C60"/>
    <mergeCell ref="D60:H60"/>
    <mergeCell ref="B61:C61"/>
    <mergeCell ref="D61:H61"/>
  </mergeCells>
  <conditionalFormatting sqref="F20:I20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AND(LEN($F$20)&gt;0,$F$20&lt;&gt;"OK")</formula>
    </cfRule>
  </conditionalFormatting>
  <conditionalFormatting sqref="F21:I21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AND(LEN($F$21)&gt;0,$F$21&lt;&gt;"OK")</formula>
    </cfRule>
  </conditionalFormatting>
  <conditionalFormatting sqref="E37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"Apertado"</formula>
    </cfRule>
    <cfRule type="cellIs" priority="8" operator="equal" aboveAverage="0" equalAverage="0" bottom="0" percent="0" rank="0" text="" dxfId="2">
      <formula>"Insuficiente"</formula>
    </cfRule>
  </conditionalFormatting>
  <conditionalFormatting sqref="E44">
    <cfRule type="cellIs" priority="9" operator="equal" aboveAverage="0" equalAverage="0" bottom="0" percent="0" rank="0" text="" dxfId="0">
      <formula>"OK"</formula>
    </cfRule>
    <cfRule type="cellIs" priority="10" operator="equal" aboveAverage="0" equalAverage="0" bottom="0" percent="0" rank="0" text="" dxfId="1">
      <formula>"Apertado"</formula>
    </cfRule>
    <cfRule type="cellIs" priority="11" operator="equal" aboveAverage="0" equalAverage="0" bottom="0" percent="0" rank="0" text="" dxfId="2">
      <formula>"Insuficiente"</formula>
    </cfRule>
  </conditionalFormatting>
  <conditionalFormatting sqref="E41">
    <cfRule type="cellIs" priority="12" operator="equal" aboveAverage="0" equalAverage="0" bottom="0" percent="0" rank="0" text="" dxfId="0">
      <formula>"OK"</formula>
    </cfRule>
    <cfRule type="expression" priority="13" aboveAverage="0" equalAverage="0" bottom="0" percent="0" rank="0" text="" dxfId="1">
      <formula>AND(LEN($E$41)&gt;0,$E$41&lt;&gt;"OK")</formula>
    </cfRule>
  </conditionalFormatting>
  <conditionalFormatting sqref="E45:I45">
    <cfRule type="cellIs" priority="14" operator="equal" aboveAverage="0" equalAverage="0" bottom="0" percent="0" rank="0" text="" dxfId="0">
      <formula>"Manter"</formula>
    </cfRule>
    <cfRule type="expression" priority="15" aboveAverage="0" equalAverage="0" bottom="0" percent="0" rank="0" text="" dxfId="1">
      <formula>AND($E$37&lt;&gt;"",$E$45&lt;&gt;"Manter")</formula>
    </cfRule>
  </conditionalFormatting>
  <conditionalFormatting sqref="F49:F53">
    <cfRule type="cellIs" priority="16" operator="equal" aboveAverage="0" equalAverage="0" bottom="0" percent="0" rank="0" text="" dxfId="0">
      <formula>"Cabe"</formula>
    </cfRule>
    <cfRule type="cellIs" priority="17" operator="equal" aboveAverage="0" equalAverage="0" bottom="0" percent="0" rank="0" text="" dxfId="2">
      <formula>"Não cabe"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Cabo, Wi-Fi ou 4G ou 5G." promptTitle="Opções" showDropDown="false" showErrorMessage="true" showInputMessage="true" sqref="D14:D18" type="list">
      <formula1>"Cabo,Wi-Fi,4G ou 5G"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F18" type="decimal">
      <formula1>-1000000000</formula1>
      <formula2>1000000000</formula2>
    </dataValidation>
    <dataValidation allowBlank="true" error="Escolha uma das opções da lista." errorStyle="stop" errorTitle="Valor inválido" operator="between" prompt="480p, 720p ou 1080p." promptTitle="Opções" showDropDown="false" showErrorMessage="true" showInputMessage="true" sqref="E24" type="list">
      <formula1>"480p,720p,1080p"</formula1>
      <formula2>0</formula2>
    </dataValidation>
    <dataValidation allowBlank="true" error="Escolha uma das opções da lista." errorStyle="stop" errorTitle="Valor inválido" operator="between" prompt="30 ou 60." promptTitle="Opções" showDropDown="false" showErrorMessage="true" showInputMessage="true" sqref="E25" type="list">
      <formula1>"30,60"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6:E30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49:E5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2026-10-01T12:59:35Z</dcterms:created>
  <dc:creator>Estudos: Técnico em áudio e vídeo</dc:creator>
  <dc:description/>
  <dc:language>pt-BR</dc:language>
  <cp:lastModifiedBy/>
  <dcterms:modified xsi:type="dcterms:W3CDTF">2026-10-01T12:59:35Z</dcterms:modified>
  <cp:revision>0</cp:revision>
  <dc:subject/>
  <dc:title>Transmissão ao vivo — modelo de planejamento e registro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