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Matriz de retornos" sheetId="2" state="visible" r:id="rId4"/>
    <sheet name="Pedidos por músico" sheetId="3" state="visible" r:id="rId5"/>
    <sheet name="Plano de palco" sheetId="4" state="visible" r:id="rId6"/>
    <sheet name="Referência" sheetId="5" state="visible" r:id="rId7"/>
    <sheet name="Checklist" sheetId="6" state="visible" r:id="rId8"/>
    <sheet name="Exemplo - Matriz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6" name="_xlnm.Print_Area" vbProcedure="false">'Exemplo - Matriz'!$B$1:$O$65</definedName>
    <definedName function="false" hidden="false" localSheetId="0" name="_xlnm.Print_Area" vbProcedure="false">Instruções!$B$1:$C$39</definedName>
    <definedName function="false" hidden="false" localSheetId="1" name="_xlnm.Print_Area" vbProcedure="false">'Matriz de retornos'!$B$1:$O$57</definedName>
    <definedName function="false" hidden="false" localSheetId="2" name="_xlnm.Print_Area" vbProcedure="false">'Pedidos por músico'!$B$1:$L$44</definedName>
    <definedName function="false" hidden="false" localSheetId="3" name="_xlnm.Print_Area" vbProcedure="false">'Plano de palco'!$B$1:$O$28</definedName>
    <definedName function="false" hidden="false" localSheetId="4" name="_xlnm.Print_Area" vbProcedure="false">Referência!$B$1:$E$44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0" authorId="0">
      <text>
        <r>
          <rPr>
            <sz val="10"/>
            <rFont val="Arial"/>
            <family val="2"/>
          </rPr>
          <t xml:space="preserve">Voz, Instrumento (com microfone), Bateria, Linha ou DI, Mídia ou Ambiente.
O tipo Ambiente é o que a planilha procura nos mixes de fone.</t>
        </r>
      </text>
    </comment>
    <comment ref="E10" authorId="0">
      <text>
        <r>
          <rPr>
            <sz val="10"/>
            <rFont val="Arial"/>
            <family val="2"/>
          </rPr>
          <t xml:space="preserve">O canal é um microfone aberto no palco?
Microfone em caixa de chão é o que realimenta. Linha, DI e mídia não contam.</t>
        </r>
      </text>
    </comment>
    <comment ref="F10" authorId="0">
      <text>
        <r>
          <rPr>
            <sz val="10"/>
            <rFont val="Arial"/>
            <family val="2"/>
          </rPr>
          <t xml:space="preserve">Em cada cruzamento, o nível pedido: de 1 (só um pouco) a 5 (a fonte principal do mix).
Deixe vazio o que não entra no mix.</t>
        </r>
      </text>
    </comment>
    <comment ref="N10" authorId="0">
      <text>
        <r>
          <rPr>
            <sz val="10"/>
            <rFont val="Arial"/>
            <family val="2"/>
          </rPr>
          <t xml:space="preserve">Em quantos mixes este canal entra.
Zero quer dizer que o canal não vai para nenhum retorno.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Mais ou Menos: de uma fonte que já está no mix.
Incluir ou Tirar: uma fonte que entra ou sai.
Timbre: o som da caixa ou do fone (abafado, áspero).</t>
        </r>
      </text>
    </comment>
    <comment ref="H9" authorId="0">
      <text>
        <r>
          <rPr>
            <sz val="10"/>
            <rFont val="Arial"/>
            <family val="2"/>
          </rPr>
          <t xml:space="preserve">Quantos pedidos de Mais este mix já recebeu, contando até esta linha.
A partir do terceiro, a célula fica vermelha.</t>
        </r>
      </text>
    </comment>
    <comment ref="K9" authorId="0">
      <text>
        <r>
          <rPr>
            <sz val="10"/>
            <rFont val="Arial"/>
            <family val="2"/>
          </rPr>
          <t xml:space="preserve">Quanto o envio mudou, em dB: +3, -2. Pode ficar em branco.
Zero quer dizer que o pedido foi resolvido sem subir nada.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O padrão do microfone de voz do músico, como está no manual ou no corpo do microfone.
Se o músico não usa microfone, escolha Sem microfone.</t>
        </r>
      </text>
    </comment>
    <comment ref="G9" authorId="0">
      <text>
        <r>
          <rPr>
            <sz val="10"/>
            <rFont val="Arial"/>
            <family val="2"/>
          </rPr>
          <t xml:space="preserve">Ângulo entre a frente do microfone e a caixa, visto de cima.
180 = a caixa está bem atrás do microfone.</t>
        </r>
      </text>
    </comment>
    <comment ref="J9" authorId="0">
      <text>
        <r>
          <rPr>
            <sz val="10"/>
            <rFont val="Arial"/>
            <family val="2"/>
          </rPr>
          <t xml:space="preserve">Frequência do filtro passa-altas na saída deste retorno. Em retorno de voz, de 100 a 150 Hz, como ponto de partida.
É só registro: não entra na situação.</t>
        </r>
      </text>
    </comment>
    <comment ref="M9" authorId="0">
      <text>
        <r>
          <rPr>
            <sz val="10"/>
            <rFont val="Arial"/>
            <family val="2"/>
          </rPr>
          <t xml:space="preserve">Posição: a caixa está fora do ponto surdo do microfone.
Omni: microfone omnidirecional com caixa de chão.
Ring-out: falta fazer nesta saída.
Limitador: fone sem limitador ligado.</t>
        </r>
      </text>
    </comment>
  </commentList>
</comments>
</file>

<file path=xl/sharedStrings.xml><?xml version="1.0" encoding="utf-8"?>
<sst xmlns="http://schemas.openxmlformats.org/spreadsheetml/2006/main" count="515" uniqueCount="362">
  <si>
    <t xml:space="preserve">Monitores e retornos — como usar esta planilha</t>
  </si>
  <si>
    <t xml:space="preserve">Matriz de retornos, registro de pedidos dos músicos e plano de palco, para usar na passagem de som e no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</si>
  <si>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</si>
  <si>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</si>
  <si>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</si>
  <si>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</si>
  <si>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</si>
  <si>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</si>
  <si>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</si>
  <si>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</si>
  <si>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fonte, tipo de retorno, padrão polar, pedido e as colunas Sim / Não aceitam só as opções da lista.</t>
  </si>
  <si>
    <t xml:space="preserve">Nível pedido</t>
  </si>
  <si>
    <t xml:space="preserve">Na matriz, digite um número de 1 a 5. A célula fica verde-clara, e mais forte nos níveis 4 e 5.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</si>
  <si>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</si>
  <si>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</si>
  <si>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</si>
  <si>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</si>
  <si>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Matriz de retornos: preencha o cabeçalho e, nas colunas, para quem é cada mix, o tipo de retorno e a saída da mesa.</t>
  </si>
  <si>
    <t xml:space="preserve">2</t>
  </si>
  <si>
    <t xml:space="preserve">Aba Matriz de retornos: liste os canais, o tipo de fonte e se cada um é um microfone aberto no palco.</t>
  </si>
  <si>
    <t xml:space="preserve">3</t>
  </si>
  <si>
    <t xml:space="preserve">Aba Matriz de retornos: em cada cruzamento, o nível pedido de 1 a 5. Veja a situação de cada mix e o que fazer.</t>
  </si>
  <si>
    <t xml:space="preserve">4</t>
  </si>
  <si>
    <t xml:space="preserve">Aba Plano de palco: para cada mix, o padrão polar do microfone e o ângulo da caixa. Corrija a posição antes do ring-out.</t>
  </si>
  <si>
    <t xml:space="preserve">5</t>
  </si>
  <si>
    <t xml:space="preserve">Na mesa: confira cada saída, faça o passa-altas e o ring-out, e monte um mix por vez, começando pelo próprio músico.</t>
  </si>
  <si>
    <t xml:space="preserve">6</t>
  </si>
  <si>
    <t xml:space="preserve">Aba Pedidos por músico: anote cada pedido da passagem e do evento, e marque quando for atendido.</t>
  </si>
  <si>
    <t xml:space="preserve">7</t>
  </si>
  <si>
    <t xml:space="preserve">Aba Checklist: confira os doze itens antes de abrir as portas.</t>
  </si>
  <si>
    <t xml:space="preserve">Abas da planilha</t>
  </si>
  <si>
    <t xml:space="preserve">Matriz de retornos</t>
  </si>
  <si>
    <t xml:space="preserve">Até 16 canais e 8 mixes, com a leitura de cada mix: OK, Cheio, Incompleto, Sem ambiente ou Sem principal.</t>
  </si>
  <si>
    <t xml:space="preserve">Pedidos por músico</t>
  </si>
  <si>
    <t xml:space="preserve">Registro de até 24 pedidos, com a contagem de pedidos de mais por mix e o que tentar primeiro.</t>
  </si>
  <si>
    <t xml:space="preserve">Plano de palco</t>
  </si>
  <si>
    <t xml:space="preserve">Uma linha por mix, com a conferência do ângulo da caixa pelo padrão polar, do ring-out e do limitador.</t>
  </si>
  <si>
    <t xml:space="preserve">Referência</t>
  </si>
  <si>
    <t xml:space="preserve">Tipos de retorno, o que cada músico costuma pedir, posição da caixa, EQ de partida e gestos.</t>
  </si>
  <si>
    <t xml:space="preserve">Checklist</t>
  </si>
  <si>
    <t xml:space="preserve">Os doze itens do treinamento, com percentual atendido.</t>
  </si>
  <si>
    <t xml:space="preserve">Exemplo - Matriz</t>
  </si>
  <si>
    <t xml:space="preserve">Os quatro mixes de um culto, antes do ajuste, e o que foi mudado (exemplo 1 do treinamento).</t>
  </si>
  <si>
    <t xml:space="preserve">Regras e premissas do modelo</t>
  </si>
  <si>
    <t xml:space="preserve">Escala de 1 a 5</t>
  </si>
  <si>
    <t xml:space="preserve">É uma escala de planejamento deste material: 5 é a fonte principal do mix, 3 é médio, 1 é só um pouco. Não é uma medida em dB.</t>
  </si>
  <si>
    <t xml:space="preserve">Cheio</t>
  </si>
  <si>
    <t xml:space="preserve">Mix de caixa (caixa de chão, side fill, drum fill) com mais fontes do que o máximo informado no alto da aba. O valor inicial é 6.</t>
  </si>
  <si>
    <t xml:space="preserve">Incompleto</t>
  </si>
  <si>
    <t xml:space="preserve">Mix de fone (in-ear ou monitoração pessoal) com menos fontes do que o mínimo informado. O valor inicial é 4.</t>
  </si>
  <si>
    <t xml:space="preserve">Sem ambiente</t>
  </si>
  <si>
    <t xml:space="preserve">Mix de fone sem nenhum canal do tipo Ambiente. O fone isola o músico da sala.</t>
  </si>
  <si>
    <t xml:space="preserve">Sem principal</t>
  </si>
  <si>
    <t xml:space="preserve">Mix sem nenhuma fonte no nível 4 ou 5. Todo mix precisa de uma fonte à frente das outras.</t>
  </si>
  <si>
    <t xml:space="preserve">O ângulo é conferido só em caixa de chão, com faixas em torno do ponto surdo teórico de cada padrão polar. São regra prática, e não norma.</t>
  </si>
  <si>
    <t xml:space="preserve">Valores de referência</t>
  </si>
  <si>
    <t xml:space="preserve">Os limites e as faixas são ponto de partida. Confira o manual do seu equipamento e troque os valores do alto da aba se precisar.</t>
  </si>
  <si>
    <t xml:space="preserve">Exemplos</t>
  </si>
  <si>
    <t xml:space="preserve">Os dados da aba de exemplo são ilustrativos, criados para este material.</t>
  </si>
  <si>
    <t xml:space="preserve">Matriz de retornos — quem ouve o quê</t>
  </si>
  <si>
    <t xml:space="preserve">Preencha as células em amarelo-claro: os mixes nas colunas, os canais nas linhas e o nível pedido de 1 a 5.</t>
  </si>
  <si>
    <t xml:space="preserve">Evento</t>
  </si>
  <si>
    <t xml:space="preserve">Máximo de fontes em mix de caixa</t>
  </si>
  <si>
    <t xml:space="preserve">Acima disso, o mix fica Cheio. Regra prática.</t>
  </si>
  <si>
    <t xml:space="preserve">Local</t>
  </si>
  <si>
    <t xml:space="preserve">Mínimo de fontes em mix de fone</t>
  </si>
  <si>
    <t xml:space="preserve">Abaixo disso, o mix fica Incompleto. Regra prática.</t>
  </si>
  <si>
    <t xml:space="preserve">Data</t>
  </si>
  <si>
    <t xml:space="preserve">Nível pedido: 5 = a fonte principal do mix; 3 = médio; 1 = só um pouco; vazio = não entra no mix.</t>
  </si>
  <si>
    <t xml:space="preserve">Operador</t>
  </si>
  <si>
    <t xml:space="preserve">A escala serve para planejar. Na mesa, o envio é ajustado de ouvido, com o músico.</t>
  </si>
  <si>
    <t xml:space="preserve">Mixes (colunas) e canais (linhas)</t>
  </si>
  <si>
    <t xml:space="preserve">Canal</t>
  </si>
  <si>
    <t xml:space="preserve">Fonte</t>
  </si>
  <si>
    <t xml:space="preserve">Tipo de fonte</t>
  </si>
  <si>
    <t xml:space="preserve">Microfone aberto</t>
  </si>
  <si>
    <t xml:space="preserve">Mix 1</t>
  </si>
  <si>
    <t xml:space="preserve">Mix 2</t>
  </si>
  <si>
    <t xml:space="preserve">Mix 3</t>
  </si>
  <si>
    <t xml:space="preserve">Mix 4</t>
  </si>
  <si>
    <t xml:space="preserve">Mix 5</t>
  </si>
  <si>
    <t xml:space="preserve">Mix 6</t>
  </si>
  <si>
    <t xml:space="preserve">Mix 7</t>
  </si>
  <si>
    <t xml:space="preserve">Mix 8</t>
  </si>
  <si>
    <t xml:space="preserve">Em quantos mixes</t>
  </si>
  <si>
    <t xml:space="preserve">Observação</t>
  </si>
  <si>
    <t xml:space="preserve">Para quem (músico ou grupo)</t>
  </si>
  <si>
    <t xml:space="preserve">Tipo de retorno</t>
  </si>
  <si>
    <t xml:space="preserve">Saída da mesa</t>
  </si>
  <si>
    <t xml:space="preserve">nº</t>
  </si>
  <si>
    <t xml:space="preserve">o que está ligado no canal</t>
  </si>
  <si>
    <t xml:space="preserve">lista</t>
  </si>
  <si>
    <t xml:space="preserve">Sim / Não</t>
  </si>
  <si>
    <t xml:space="preserve">1 a 5</t>
  </si>
  <si>
    <t xml:space="preserve">conta</t>
  </si>
  <si>
    <t xml:space="preserve">Ex.</t>
  </si>
  <si>
    <t xml:space="preserve">Voz que conduz (cantora)</t>
  </si>
  <si>
    <t xml:space="preserve">Voz</t>
  </si>
  <si>
    <t xml:space="preserve">Sim</t>
  </si>
  <si>
    <t xml:space="preserve">Leitura de cada mix</t>
  </si>
  <si>
    <t xml:space="preserve">Fontes no mix</t>
  </si>
  <si>
    <t xml:space="preserve">Microfones abertos no mix</t>
  </si>
  <si>
    <t xml:space="preserve">Fontes no nível 4 ou 5</t>
  </si>
  <si>
    <t xml:space="preserve">Ambiente no mix</t>
  </si>
  <si>
    <t xml:space="preserve">Situação</t>
  </si>
  <si>
    <t xml:space="preserve">O que fazer em cada mix</t>
  </si>
  <si>
    <t xml:space="preserve">Mix</t>
  </si>
  <si>
    <t xml:space="preserve">Para quem</t>
  </si>
  <si>
    <t xml:space="preserve">O que fazer</t>
  </si>
  <si>
    <t xml:space="preserve">Resumo automático</t>
  </si>
  <si>
    <t xml:space="preserve">Canais registrados</t>
  </si>
  <si>
    <t xml:space="preserve">Canais fora de todos os mixes</t>
  </si>
  <si>
    <t xml:space="preserve">Mixes em uso</t>
  </si>
  <si>
    <t xml:space="preserve">Mixes com situação OK</t>
  </si>
  <si>
    <t xml:space="preserve">Mixes a ajustar</t>
  </si>
  <si>
    <t xml:space="preserve">Aviso</t>
  </si>
  <si>
    <t xml:space="preserve">Pedidos por músico — passagem e evento</t>
  </si>
  <si>
    <t xml:space="preserve">Anote cada pedido na hora. A planilha conta os pedidos de mais em cada mix e lembra o que tentar primeiro.</t>
  </si>
  <si>
    <t xml:space="preserve">Gestos combinados: apontar para a fonte, depois polegar para cima (mais) ou para baixo (menos).</t>
  </si>
  <si>
    <t xml:space="preserve">Um pedido por vez, um músico por vez. Ajuste de 2 a 3 dB e espere a confirmação.</t>
  </si>
  <si>
    <t xml:space="preserve">Três pedidos de mais no mesmo mix são sinal de guerra de volume: baixe o que cobre. Regra prática.</t>
  </si>
  <si>
    <t xml:space="preserve">Registro de pedidos</t>
  </si>
  <si>
    <t xml:space="preserve">#</t>
  </si>
  <si>
    <t xml:space="preserve">Momento</t>
  </si>
  <si>
    <t xml:space="preserve">Músico</t>
  </si>
  <si>
    <t xml:space="preserve">Pedido</t>
  </si>
  <si>
    <t xml:space="preserve">De quê (fonte)</t>
  </si>
  <si>
    <t xml:space="preserve">Pedidos de mais no mix</t>
  </si>
  <si>
    <t xml:space="preserve">O que tentar primeiro</t>
  </si>
  <si>
    <t xml:space="preserve">Atendido</t>
  </si>
  <si>
    <t xml:space="preserve">Mudança no envio (dB)</t>
  </si>
  <si>
    <t xml:space="preserve">quem pediu</t>
  </si>
  <si>
    <t xml:space="preserve">voz, teclado, bumbo…</t>
  </si>
  <si>
    <t xml:space="preserve">conta até esta linha</t>
  </si>
  <si>
    <t xml:space="preserve">Sim / Parcial / Não</t>
  </si>
  <si>
    <t xml:space="preserve">opcional</t>
  </si>
  <si>
    <t xml:space="preserve">Passagem</t>
  </si>
  <si>
    <t xml:space="preserve">Cantora</t>
  </si>
  <si>
    <t xml:space="preserve">Mais</t>
  </si>
  <si>
    <t xml:space="preserve">A própria voz</t>
  </si>
  <si>
    <t xml:space="preserve">Antes de subir: o que dá para baixar neste mix? A caixa aponta para os ouvidos?</t>
  </si>
  <si>
    <t xml:space="preserve">Baixou o teclado 3 dB; a voz não subiu</t>
  </si>
  <si>
    <t xml:space="preserve">Pedidos registrados</t>
  </si>
  <si>
    <t xml:space="preserve">Pedidos de mais</t>
  </si>
  <si>
    <t xml:space="preserve">Pedidos de menos ou de tirar</t>
  </si>
  <si>
    <t xml:space="preserve">Pedidos atendidos</t>
  </si>
  <si>
    <t xml:space="preserve">Pedidos pendentes</t>
  </si>
  <si>
    <t xml:space="preserve">Maior número de pedidos de mais em um mix</t>
  </si>
  <si>
    <t xml:space="preserve">Plano de palco dos retornos</t>
  </si>
  <si>
    <t xml:space="preserve">Uma linha por mix: onde fica cada caixa ou fone, e se a posição combina com o microfone do músico.</t>
  </si>
  <si>
    <t xml:space="preserve">Ângulo da caixa: contado a partir da frente do microfone. 0 = para onde ele aponta; 180 = bem atrás dele, na direção do cabo.</t>
  </si>
  <si>
    <t xml:space="preserve">Faixas aceitas: cardioide, de 150 a 180; supercardioide, de 105 a 145; hipercardioide, de 95 a 125. Regra prática em torno do ponto surdo teórico.</t>
  </si>
  <si>
    <t xml:space="preserve">O ângulo só é conferido em caixa de chão. O limitador só é conferido em fone.</t>
  </si>
  <si>
    <t xml:space="preserve">Retornos no palco</t>
  </si>
  <si>
    <t xml:space="preserve">Padrão polar do microfone</t>
  </si>
  <si>
    <t xml:space="preserve">Ângulo da caixa</t>
  </si>
  <si>
    <t xml:space="preserve">Ângulo de referência</t>
  </si>
  <si>
    <t xml:space="preserve">Distância ao ouvido</t>
  </si>
  <si>
    <t xml:space="preserve">Passa-altas da saída</t>
  </si>
  <si>
    <t xml:space="preserve">Ring-out feito</t>
  </si>
  <si>
    <t xml:space="preserve">Limitador ligado</t>
  </si>
  <si>
    <t xml:space="preserve">músico ou grupo</t>
  </si>
  <si>
    <t xml:space="preserve">Aux 1, Aux 2…</t>
  </si>
  <si>
    <t xml:space="preserve">graus</t>
  </si>
  <si>
    <t xml:space="preserve">metros</t>
  </si>
  <si>
    <t xml:space="preserve">Hz</t>
  </si>
  <si>
    <t xml:space="preserve">Aux 1</t>
  </si>
  <si>
    <t xml:space="preserve">Caixa de chão</t>
  </si>
  <si>
    <t xml:space="preserve">Supercardioide</t>
  </si>
  <si>
    <t xml:space="preserve">105 a 145</t>
  </si>
  <si>
    <t xml:space="preserve">Posição</t>
  </si>
  <si>
    <t xml:space="preserve">Leve a caixa para a diagonal traseira do microfone, perto de 125 graus</t>
  </si>
  <si>
    <t xml:space="preserve">Retornos registrados</t>
  </si>
  <si>
    <t xml:space="preserve">Caixas no palco (chão, side fill e drum fill)</t>
  </si>
  <si>
    <t xml:space="preserve">Retornos por fone</t>
  </si>
  <si>
    <t xml:space="preserve">Situação OK</t>
  </si>
  <si>
    <t xml:space="preserve">A resolver</t>
  </si>
  <si>
    <t xml:space="preserve">Os ângulos de 180, 125 e 110 graus são os pontos surdos teóricos de cada padrão. O microfone real varia com a frequência: confirme no ring-out.</t>
  </si>
  <si>
    <t xml:space="preserve">Referência — retornos</t>
  </si>
  <si>
    <t xml:space="preserve">Valores de referência, para servir de ponto de partida. Confira o manual do seu equipamento.</t>
  </si>
  <si>
    <t xml:space="preserve">Tipos de retorno</t>
  </si>
  <si>
    <t xml:space="preserve">Tipo</t>
  </si>
  <si>
    <t xml:space="preserve">Como é</t>
  </si>
  <si>
    <t xml:space="preserve">Ponto forte</t>
  </si>
  <si>
    <t xml:space="preserve">Cuidado</t>
  </si>
  <si>
    <t xml:space="preserve">Caixa de chão (wedge)</t>
  </si>
  <si>
    <t xml:space="preserve">No chão, inclinada para o rosto do músico.</t>
  </si>
  <si>
    <t xml:space="preserve">Simples e natural.</t>
  </si>
  <si>
    <t xml:space="preserve">Soma volume no palco e é a origem mais comum de microfonia.</t>
  </si>
  <si>
    <t xml:space="preserve">Side fill</t>
  </si>
  <si>
    <t xml:space="preserve">Caixas nas laterais do palco, apontadas para dentro.</t>
  </si>
  <si>
    <t xml:space="preserve">Cobre uma área grande: coral, dança.</t>
  </si>
  <si>
    <t xml:space="preserve">Muito volume de palco. Evite em sala pequena.</t>
  </si>
  <si>
    <t xml:space="preserve">Drum fill</t>
  </si>
  <si>
    <t xml:space="preserve">Caixa ao lado do baterista, com mais graves.</t>
  </si>
  <si>
    <t xml:space="preserve">Vence o som da bateria acústica.</t>
  </si>
  <si>
    <t xml:space="preserve">É o retorno mais alto do palco. Fone costuma ser melhor.</t>
  </si>
  <si>
    <t xml:space="preserve">In-ear</t>
  </si>
  <si>
    <t xml:space="preserve">Fones com vedação, com fio ou sem fio.</t>
  </si>
  <si>
    <t xml:space="preserve">Palco silencioso e mais margem antes da microfonia.</t>
  </si>
  <si>
    <t xml:space="preserve">Pede mix mais completo, ambiente, limitador e os dois fones.</t>
  </si>
  <si>
    <t xml:space="preserve">Monitoração pessoal</t>
  </si>
  <si>
    <t xml:space="preserve">O músico faz a própria mistura em um misturador pequeno.</t>
  </si>
  <si>
    <t xml:space="preserve">Libera o operador para o som da frente.</t>
  </si>
  <si>
    <t xml:space="preserve">O músico precisa aprender a usar.</t>
  </si>
  <si>
    <t xml:space="preserve">O que cada músico costuma pedir</t>
  </si>
  <si>
    <t xml:space="preserve">Quem</t>
  </si>
  <si>
    <t xml:space="preserve">O principal do mix</t>
  </si>
  <si>
    <t xml:space="preserve">O que costuma completar</t>
  </si>
  <si>
    <t xml:space="preserve">Cantor que conduz</t>
  </si>
  <si>
    <t xml:space="preserve">A própria voz, bem à frente.</t>
  </si>
  <si>
    <t xml:space="preserve">Teclado ou violão. Um pouco das vozes de apoio.</t>
  </si>
  <si>
    <t xml:space="preserve">Em caixa de chão, sem reverb ou quase sem.</t>
  </si>
  <si>
    <t xml:space="preserve">Vozes de apoio</t>
  </si>
  <si>
    <t xml:space="preserve">As vozes do grupo.</t>
  </si>
  <si>
    <t xml:space="preserve">A voz que conduz e a harmonia.</t>
  </si>
  <si>
    <t xml:space="preserve">Caixa dividida: o mix é um acordo.</t>
  </si>
  <si>
    <t xml:space="preserve">Violonista ou guitarrista</t>
  </si>
  <si>
    <t xml:space="preserve">O próprio instrumento.</t>
  </si>
  <si>
    <t xml:space="preserve">A voz que conduz.</t>
  </si>
  <si>
    <t xml:space="preserve">Violão em caixa de chão alta realimenta nos graves.</t>
  </si>
  <si>
    <t xml:space="preserve">Tecladista</t>
  </si>
  <si>
    <t xml:space="preserve">O teclado.</t>
  </si>
  <si>
    <t xml:space="preserve">A voz que conduz. Um pouco de baixo.</t>
  </si>
  <si>
    <t xml:space="preserve">Sem retorno, ele não ouve o que toca.</t>
  </si>
  <si>
    <t xml:space="preserve">Baixista</t>
  </si>
  <si>
    <t xml:space="preserve">O baixo, se não houver amplificador.</t>
  </si>
  <si>
    <t xml:space="preserve">Bumbo e a voz que conduz.</t>
  </si>
  <si>
    <t xml:space="preserve">Caixa pequena não reproduz bem o grave.</t>
  </si>
  <si>
    <t xml:space="preserve">Baterista</t>
  </si>
  <si>
    <t xml:space="preserve">Baixo e harmonia.</t>
  </si>
  <si>
    <t xml:space="preserve">A voz que conduz. O clique.</t>
  </si>
  <si>
    <t xml:space="preserve">Ele já ouve a bateria. Prefira fone.</t>
  </si>
  <si>
    <t xml:space="preserve">Pregador ou palestrante</t>
  </si>
  <si>
    <t xml:space="preserve">Nada da própria voz, ou muito pouco.</t>
  </si>
  <si>
    <t xml:space="preserve">O áudio dos vídeos e as perguntas.</t>
  </si>
  <si>
    <t xml:space="preserve">Lapela em caixa de chão apita cedo.</t>
  </si>
  <si>
    <t xml:space="preserve">Coral</t>
  </si>
  <si>
    <t xml:space="preserve">O teclado ou a base gravada.</t>
  </si>
  <si>
    <t xml:space="preserve">O solista.</t>
  </si>
  <si>
    <t xml:space="preserve">Não mande os microfones do coral para o retorno do coral.</t>
  </si>
  <si>
    <t xml:space="preserve">Posição da caixa de chão pelo padrão polar</t>
  </si>
  <si>
    <t xml:space="preserve">Padrão do microfone</t>
  </si>
  <si>
    <t xml:space="preserve">Onde capta menos</t>
  </si>
  <si>
    <t xml:space="preserve">Onde pôr a caixa</t>
  </si>
  <si>
    <t xml:space="preserve">Cardioide</t>
  </si>
  <si>
    <t xml:space="preserve">Bem atrás, a 180 graus.</t>
  </si>
  <si>
    <t xml:space="preserve">Uma caixa, atrás do microfone.</t>
  </si>
  <si>
    <t xml:space="preserve">O mais comum em microfone de mão.</t>
  </si>
  <si>
    <t xml:space="preserve">Na diagonal traseira, a cerca de 125 graus.</t>
  </si>
  <si>
    <t xml:space="preserve">Duas caixas, ou uma deslocada para a diagonal.</t>
  </si>
  <si>
    <t xml:space="preserve">Bem atrás, a caixa cai no lóbulo traseiro.</t>
  </si>
  <si>
    <t xml:space="preserve">Hipercardioide</t>
  </si>
  <si>
    <t xml:space="preserve">Na diagonal, a cerca de 110 graus.</t>
  </si>
  <si>
    <t xml:space="preserve">Caixas mais para os lados.</t>
  </si>
  <si>
    <t xml:space="preserve">O lóbulo traseiro é maior.</t>
  </si>
  <si>
    <t xml:space="preserve">Omnidirecional</t>
  </si>
  <si>
    <t xml:space="preserve">Em nenhuma direção.</t>
  </si>
  <si>
    <t xml:space="preserve">Evite caixa de chão. Prefira fone.</t>
  </si>
  <si>
    <t xml:space="preserve">Comum em lapela e em alguns microfones de cabeça.</t>
  </si>
  <si>
    <t xml:space="preserve">EQ da saída do retorno: ponto de partida</t>
  </si>
  <si>
    <t xml:space="preserve">Ajuste</t>
  </si>
  <si>
    <t xml:space="preserve">Faixa</t>
  </si>
  <si>
    <t xml:space="preserve">Quando</t>
  </si>
  <si>
    <t xml:space="preserve">Passa-altas</t>
  </si>
  <si>
    <t xml:space="preserve">100 a 150 Hz em retorno de voz.</t>
  </si>
  <si>
    <t xml:space="preserve">Sempre, em caixa de chão de voz.</t>
  </si>
  <si>
    <t xml:space="preserve">Mais baixo ou desligado em drum fill e em retorno de baixo ou teclado.</t>
  </si>
  <si>
    <t xml:space="preserve">Corte no embolado</t>
  </si>
  <si>
    <t xml:space="preserve">200 a 400 Hz, corte leve e largo.</t>
  </si>
  <si>
    <t xml:space="preserve">Quando a caixa soa embolada.</t>
  </si>
  <si>
    <t xml:space="preserve">Corte antes de realçar.</t>
  </si>
  <si>
    <t xml:space="preserve">Corte no áspero</t>
  </si>
  <si>
    <t xml:space="preserve">2 a 4 kHz, corte leve.</t>
  </si>
  <si>
    <t xml:space="preserve">Quando a caixa soa áspera ou cansa.</t>
  </si>
  <si>
    <t xml:space="preserve">Realçar agudos aproxima o apito.</t>
  </si>
  <si>
    <t xml:space="preserve">Cortes do ring-out</t>
  </si>
  <si>
    <t xml:space="preserve">As frequências que soaram primeiro.</t>
  </si>
  <si>
    <t xml:space="preserve">Na passagem, com os microfones abertos.</t>
  </si>
  <si>
    <t xml:space="preserve">Filtros estreitos, três ou quatro no máximo. Veja o estudo Microfonia.</t>
  </si>
  <si>
    <t xml:space="preserve">Gestos combinados</t>
  </si>
  <si>
    <t xml:space="preserve">Gesto</t>
  </si>
  <si>
    <t xml:space="preserve">Significa</t>
  </si>
  <si>
    <t xml:space="preserve">O operador</t>
  </si>
  <si>
    <t xml:space="preserve">Levantar a mão, olhando a mesa</t>
  </si>
  <si>
    <t xml:space="preserve">Tenho um pedido.</t>
  </si>
  <si>
    <t xml:space="preserve">Acena, para mostrar que viu.</t>
  </si>
  <si>
    <t xml:space="preserve">Combine os gestos antes da passagem.</t>
  </si>
  <si>
    <t xml:space="preserve">Apontar para a fonte</t>
  </si>
  <si>
    <t xml:space="preserve">É sobre esta fonte.</t>
  </si>
  <si>
    <t xml:space="preserve">Localiza o canal.</t>
  </si>
  <si>
    <t xml:space="preserve">Para si mesmo, para o colega ou para o instrumento.</t>
  </si>
  <si>
    <t xml:space="preserve">Polegar para cima ou para baixo</t>
  </si>
  <si>
    <t xml:space="preserve">Mais ou menos, no meu retorno.</t>
  </si>
  <si>
    <t xml:space="preserve">Ajusta de 2 a 3 dB e espera.</t>
  </si>
  <si>
    <t xml:space="preserve">Repetir o gesto: muito mais ou muito menos.</t>
  </si>
  <si>
    <t xml:space="preserve">Mão aberta, parada</t>
  </si>
  <si>
    <t xml:space="preserve">Está bom.</t>
  </si>
  <si>
    <t xml:space="preserve">Para e anota.</t>
  </si>
  <si>
    <t xml:space="preserve">Apontar para o ouvido e negar</t>
  </si>
  <si>
    <t xml:space="preserve">Não ouço nada, ou algo está errado.</t>
  </si>
  <si>
    <t xml:space="preserve">Confere mute, cabo e pilha.</t>
  </si>
  <si>
    <t xml:space="preserve">Faixas típicas e combinados comuns, que variam com o equipamento, a sala e a equipe. Não são norma.</t>
  </si>
  <si>
    <t xml:space="preserve">Checklist dos retornos</t>
  </si>
  <si>
    <t xml:space="preserve">Confira na passagem de som, antes de abrir as portas. Escolha a situação de cada item na lista suspensa.</t>
  </si>
  <si>
    <t xml:space="preserve">Grupo</t>
  </si>
  <si>
    <t xml:space="preserve">Item</t>
  </si>
  <si>
    <t xml:space="preserve">Planejamento</t>
  </si>
  <si>
    <t xml:space="preserve">A matriz de retornos está preenchida: quem ouve o quê, em qual mix e em qual saída.</t>
  </si>
  <si>
    <t xml:space="preserve">Os auxiliares de retorno estão em pré-fader.</t>
  </si>
  <si>
    <t xml:space="preserve">Palco</t>
  </si>
  <si>
    <t xml:space="preserve">Cada saída foi testada: o mix sai na caixa ou no fone certo.</t>
  </si>
  <si>
    <t xml:space="preserve">Cada caixa de chão está no ponto surdo do microfone e apontada para os ouvidos do músico.</t>
  </si>
  <si>
    <t xml:space="preserve">O passa-altas e o ring-out foram feitos na saída de cada caixa de chão.</t>
  </si>
  <si>
    <t xml:space="preserve">Mixagem</t>
  </si>
  <si>
    <t xml:space="preserve">Os ganhos dos canais foram ajustados antes de montar os retornos.</t>
  </si>
  <si>
    <t xml:space="preserve">Cada mix começou pelo próprio músico e tem só o que ele pediu.</t>
  </si>
  <si>
    <t xml:space="preserve">Com o PA fechado, o som do palco na plateia fica bem abaixo do som completo.</t>
  </si>
  <si>
    <t xml:space="preserve">In-ear: limitador ligado, pilhas conferidas e os dois fones no ouvido.</t>
  </si>
  <si>
    <t xml:space="preserve">In-ear: o mix tem microfone de ambiente, e o volume do receptor começou baixo.</t>
  </si>
  <si>
    <t xml:space="preserve">Operação</t>
  </si>
  <si>
    <t xml:space="preserve">Os gestos de comunicação foram combinados, e o talkback foi testado.</t>
  </si>
  <si>
    <t xml:space="preserve">Os envios estão anotados ou a cena está salva, e não há pedido pendente.</t>
  </si>
  <si>
    <t xml:space="preserve">Itens respondidos</t>
  </si>
  <si>
    <t xml:space="preserve">Percentual atendido (Parcial vale metade)</t>
  </si>
  <si>
    <t xml:space="preserve">Exemplo preenchido, para consulta. Use a aba Matriz de retornos para o seu evento.</t>
  </si>
  <si>
    <t xml:space="preserve">Culto de domingo, 19 h</t>
  </si>
  <si>
    <t xml:space="preserve">Igreja de 200 lugares</t>
  </si>
  <si>
    <t xml:space="preserve">Operador de som da escala</t>
  </si>
  <si>
    <t xml:space="preserve">Tecladista e violonista</t>
  </si>
  <si>
    <t xml:space="preserve">In-ear com fio</t>
  </si>
  <si>
    <t xml:space="preserve">Aux 2</t>
  </si>
  <si>
    <t xml:space="preserve">Aux 3</t>
  </si>
  <si>
    <t xml:space="preserve">Aux 4</t>
  </si>
  <si>
    <t xml:space="preserve">A matriz como estava antes do ajuste. As linhas de leitura, abaixo, são calculadas.</t>
  </si>
  <si>
    <t xml:space="preserve">Voz de apoio 1</t>
  </si>
  <si>
    <t xml:space="preserve">Voz de apoio 2</t>
  </si>
  <si>
    <t xml:space="preserve">Violão</t>
  </si>
  <si>
    <t xml:space="preserve">Linha ou DI</t>
  </si>
  <si>
    <t xml:space="preserve">Não</t>
  </si>
  <si>
    <t xml:space="preserve">Teclado</t>
  </si>
  <si>
    <t xml:space="preserve">Baixo</t>
  </si>
  <si>
    <t xml:space="preserve">Bumbo</t>
  </si>
  <si>
    <t xml:space="preserve">Bateria</t>
  </si>
  <si>
    <t xml:space="preserve">Caixa da bateria</t>
  </si>
  <si>
    <t xml:space="preserve">Pratos (microfone aéreo)</t>
  </si>
  <si>
    <t xml:space="preserve">Púlpito (pastor)</t>
  </si>
  <si>
    <t xml:space="preserve">Computador (som dos vídeos)</t>
  </si>
  <si>
    <t xml:space="preserve">Mídia</t>
  </si>
  <si>
    <t xml:space="preserve">O que foi ajustado</t>
  </si>
  <si>
    <t xml:space="preserve">O que foi feito</t>
  </si>
  <si>
    <t xml:space="preserve">Resultado</t>
  </si>
  <si>
    <t xml:space="preserve">Saíram bumbo, caixa, pratos, baixo e computador. Voz da cantora em 5, teclado em 3, violão e vozes de apoio em 2.</t>
  </si>
  <si>
    <t xml:space="preserve">Cinco fontes. Master do Aux 1 baixou 4 dB.</t>
  </si>
  <si>
    <t xml:space="preserve">Mantido.</t>
  </si>
  <si>
    <t xml:space="preserve">Quatro fontes.</t>
  </si>
  <si>
    <t xml:space="preserve">Cinco fontes.</t>
  </si>
  <si>
    <t xml:space="preserve">Entraram o bumbo, em 3, e um par de microfones de ambiente, em 2, em um canal novo com o fader fechado para o PA.</t>
  </si>
  <si>
    <t xml:space="preserve">Seis fontes. Os dois fones no ouvido.</t>
  </si>
  <si>
    <t xml:space="preserve">Púlpito</t>
  </si>
  <si>
    <t xml:space="preserve">Continua fora dos mixes: o pastor se ouve pela sala.</t>
  </si>
  <si>
    <t xml:space="preserve">Um microfone a menos captando caixa de chão.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</si>
</sst>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\+0;\-0;0"/>
    <numFmt numFmtId="168" formatCode="0.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10"/>
      <name val="Arial"/>
      <family val="2"/>
    </font>
    <font>
      <sz val="9"/>
      <color rgb="FF1624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2B5C8A"/>
        <bgColor rgb="FF1E7B73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9FD3CC"/>
        </patternFill>
      </fill>
    </dxf>
    <dxf>
      <fill>
        <patternFill>
          <bgColor rgb="FFD9EEEB"/>
        </patternFill>
      </fill>
    </dxf>
    <dxf>
      <fill>
        <patternFill>
          <bgColor rgb="FFD8EFDD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9FD3CC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35</v>
      </c>
      <c r="C35" s="7" t="s">
        <v>54</v>
      </c>
    </row>
    <row r="36" customFormat="false" ht="31.5" hidden="false" customHeight="true" outlineLevel="0" collapsed="false">
      <c r="B36" s="4" t="s">
        <v>55</v>
      </c>
      <c r="C36" s="7" t="s">
        <v>56</v>
      </c>
    </row>
    <row r="37" customFormat="false" ht="19.5" hidden="false" customHeight="true" outlineLevel="0" collapsed="false">
      <c r="B37" s="4" t="s">
        <v>57</v>
      </c>
      <c r="C37" s="7" t="s">
        <v>58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13" min="6" style="0" width="13"/>
    <col collapsed="false" customWidth="true" hidden="false" outlineLevel="0" max="14" min="14" style="0" width="11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I4" s="4" t="s">
        <v>62</v>
      </c>
      <c r="J4" s="4"/>
      <c r="K4" s="4"/>
      <c r="L4" s="9" t="n">
        <v>6</v>
      </c>
      <c r="M4" s="10" t="s">
        <v>63</v>
      </c>
      <c r="N4" s="10"/>
      <c r="O4" s="10"/>
    </row>
    <row r="5" customFormat="false" ht="21.75" hidden="false" customHeight="true" outlineLevel="0" collapsed="false">
      <c r="B5" s="4" t="s">
        <v>64</v>
      </c>
      <c r="C5" s="4"/>
      <c r="D5" s="5"/>
      <c r="E5" s="5"/>
      <c r="F5" s="5"/>
      <c r="G5" s="5"/>
      <c r="I5" s="4" t="s">
        <v>65</v>
      </c>
      <c r="J5" s="4"/>
      <c r="K5" s="4"/>
      <c r="L5" s="9" t="n">
        <v>4</v>
      </c>
      <c r="M5" s="10" t="s">
        <v>66</v>
      </c>
      <c r="N5" s="10"/>
      <c r="O5" s="10"/>
    </row>
    <row r="6" customFormat="false" ht="21.75" hidden="false" customHeight="true" outlineLevel="0" collapsed="false">
      <c r="B6" s="4" t="s">
        <v>67</v>
      </c>
      <c r="C6" s="4"/>
      <c r="D6" s="11"/>
      <c r="E6" s="11"/>
      <c r="F6" s="11"/>
      <c r="G6" s="11"/>
      <c r="I6" s="10" t="s">
        <v>68</v>
      </c>
      <c r="J6" s="10"/>
      <c r="K6" s="10"/>
      <c r="L6" s="10"/>
      <c r="M6" s="10"/>
      <c r="N6" s="10"/>
      <c r="O6" s="10"/>
    </row>
    <row r="7" customFormat="false" ht="21.75" hidden="false" customHeight="true" outlineLevel="0" collapsed="false">
      <c r="B7" s="4" t="s">
        <v>69</v>
      </c>
      <c r="C7" s="4"/>
      <c r="D7" s="5"/>
      <c r="E7" s="5"/>
      <c r="F7" s="5"/>
      <c r="G7" s="5"/>
      <c r="I7" s="10" t="s">
        <v>70</v>
      </c>
      <c r="J7" s="10"/>
      <c r="K7" s="10"/>
      <c r="L7" s="10"/>
      <c r="M7" s="10"/>
      <c r="N7" s="10"/>
      <c r="O7" s="10"/>
    </row>
    <row r="9" customFormat="false" ht="21.75" hidden="false" customHeight="true" outlineLevel="0" collapsed="false">
      <c r="B9" s="12" t="s">
        <v>71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30" hidden="false" customHeight="true" outlineLevel="0" collapsed="false">
      <c r="B10" s="13" t="s">
        <v>72</v>
      </c>
      <c r="C10" s="13" t="s">
        <v>73</v>
      </c>
      <c r="D10" s="13" t="s">
        <v>74</v>
      </c>
      <c r="E10" s="13" t="s">
        <v>75</v>
      </c>
      <c r="F10" s="14" t="s">
        <v>76</v>
      </c>
      <c r="G10" s="14" t="s">
        <v>77</v>
      </c>
      <c r="H10" s="14" t="s">
        <v>78</v>
      </c>
      <c r="I10" s="14" t="s">
        <v>79</v>
      </c>
      <c r="J10" s="14" t="s">
        <v>80</v>
      </c>
      <c r="K10" s="14" t="s">
        <v>81</v>
      </c>
      <c r="L10" s="14" t="s">
        <v>82</v>
      </c>
      <c r="M10" s="14" t="s">
        <v>83</v>
      </c>
      <c r="N10" s="15" t="s">
        <v>84</v>
      </c>
      <c r="O10" s="13" t="s">
        <v>85</v>
      </c>
    </row>
    <row r="11" customFormat="false" ht="33" hidden="false" customHeight="true" outlineLevel="0" collapsed="false">
      <c r="B11" s="16" t="s">
        <v>86</v>
      </c>
      <c r="C11" s="16"/>
      <c r="D11" s="16"/>
      <c r="E11" s="16"/>
      <c r="F11" s="9"/>
      <c r="G11" s="9"/>
      <c r="H11" s="9"/>
      <c r="I11" s="9"/>
      <c r="J11" s="9"/>
      <c r="K11" s="9"/>
      <c r="L11" s="9"/>
      <c r="M11" s="9"/>
      <c r="N11" s="6"/>
      <c r="O11" s="6"/>
    </row>
    <row r="12" customFormat="false" ht="33" hidden="false" customHeight="true" outlineLevel="0" collapsed="false">
      <c r="B12" s="16" t="s">
        <v>87</v>
      </c>
      <c r="C12" s="16"/>
      <c r="D12" s="16"/>
      <c r="E12" s="16"/>
      <c r="F12" s="9"/>
      <c r="G12" s="9"/>
      <c r="H12" s="9"/>
      <c r="I12" s="9"/>
      <c r="J12" s="9"/>
      <c r="K12" s="9"/>
      <c r="L12" s="9"/>
      <c r="M12" s="9"/>
      <c r="N12" s="6"/>
      <c r="O12" s="6"/>
    </row>
    <row r="13" customFormat="false" ht="33" hidden="false" customHeight="true" outlineLevel="0" collapsed="false">
      <c r="B13" s="16" t="s">
        <v>88</v>
      </c>
      <c r="C13" s="16"/>
      <c r="D13" s="16"/>
      <c r="E13" s="16"/>
      <c r="F13" s="9"/>
      <c r="G13" s="9"/>
      <c r="H13" s="9"/>
      <c r="I13" s="9"/>
      <c r="J13" s="9"/>
      <c r="K13" s="9"/>
      <c r="L13" s="9"/>
      <c r="M13" s="9"/>
      <c r="N13" s="6"/>
      <c r="O13" s="6"/>
    </row>
    <row r="14" customFormat="false" ht="19.5" hidden="false" customHeight="true" outlineLevel="0" collapsed="false">
      <c r="B14" s="17" t="s">
        <v>89</v>
      </c>
      <c r="C14" s="17" t="s">
        <v>90</v>
      </c>
      <c r="D14" s="17" t="s">
        <v>91</v>
      </c>
      <c r="E14" s="17" t="s">
        <v>92</v>
      </c>
      <c r="F14" s="17" t="s">
        <v>93</v>
      </c>
      <c r="G14" s="17" t="s">
        <v>93</v>
      </c>
      <c r="H14" s="17" t="s">
        <v>93</v>
      </c>
      <c r="I14" s="17" t="s">
        <v>93</v>
      </c>
      <c r="J14" s="17" t="s">
        <v>93</v>
      </c>
      <c r="K14" s="17" t="s">
        <v>93</v>
      </c>
      <c r="L14" s="17" t="s">
        <v>93</v>
      </c>
      <c r="M14" s="17" t="s">
        <v>93</v>
      </c>
      <c r="N14" s="17" t="s">
        <v>94</v>
      </c>
      <c r="O14" s="17"/>
    </row>
    <row r="15" customFormat="false" ht="21.75" hidden="false" customHeight="true" outlineLevel="0" collapsed="false">
      <c r="B15" s="17" t="s">
        <v>95</v>
      </c>
      <c r="C15" s="10" t="s">
        <v>96</v>
      </c>
      <c r="D15" s="17" t="s">
        <v>97</v>
      </c>
      <c r="E15" s="17" t="s">
        <v>98</v>
      </c>
      <c r="F15" s="17" t="n">
        <v>5</v>
      </c>
      <c r="G15" s="17" t="n">
        <v>3</v>
      </c>
      <c r="H15" s="17" t="n">
        <v>3</v>
      </c>
      <c r="I15" s="17" t="n">
        <v>4</v>
      </c>
      <c r="J15" s="17"/>
      <c r="K15" s="17"/>
      <c r="L15" s="17"/>
      <c r="M15" s="17"/>
      <c r="N15" s="17" t="n">
        <v>4</v>
      </c>
      <c r="O15" s="10"/>
    </row>
    <row r="16" customFormat="false" ht="21.75" hidden="false" customHeight="true" outlineLevel="0" collapsed="false">
      <c r="B16" s="18" t="n">
        <v>1</v>
      </c>
      <c r="C16" s="5"/>
      <c r="D16" s="9"/>
      <c r="E16" s="9"/>
      <c r="F16" s="9"/>
      <c r="G16" s="9"/>
      <c r="H16" s="9"/>
      <c r="I16" s="9"/>
      <c r="J16" s="9"/>
      <c r="K16" s="9"/>
      <c r="L16" s="9"/>
      <c r="M16" s="9"/>
      <c r="N16" s="8" t="str">
        <f aca="false">IF(C16="","",COUNT(F16:M16))</f>
        <v/>
      </c>
      <c r="O16" s="5"/>
    </row>
    <row r="17" customFormat="false" ht="21.75" hidden="false" customHeight="true" outlineLevel="0" collapsed="false">
      <c r="B17" s="18" t="n">
        <v>2</v>
      </c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8" t="str">
        <f aca="false">IF(C17="","",COUNT(F17:M17))</f>
        <v/>
      </c>
      <c r="O17" s="5"/>
    </row>
    <row r="18" customFormat="false" ht="21.75" hidden="false" customHeight="true" outlineLevel="0" collapsed="false">
      <c r="B18" s="18" t="n">
        <v>3</v>
      </c>
      <c r="C18" s="5"/>
      <c r="D18" s="9"/>
      <c r="E18" s="9"/>
      <c r="F18" s="9"/>
      <c r="G18" s="9"/>
      <c r="H18" s="9"/>
      <c r="I18" s="9"/>
      <c r="J18" s="9"/>
      <c r="K18" s="9"/>
      <c r="L18" s="9"/>
      <c r="M18" s="9"/>
      <c r="N18" s="8" t="str">
        <f aca="false">IF(C18="","",COUNT(F18:M18))</f>
        <v/>
      </c>
      <c r="O18" s="5"/>
    </row>
    <row r="19" customFormat="false" ht="21.75" hidden="false" customHeight="true" outlineLevel="0" collapsed="false">
      <c r="B19" s="18" t="n">
        <v>4</v>
      </c>
      <c r="C19" s="5"/>
      <c r="D19" s="9"/>
      <c r="E19" s="9"/>
      <c r="F19" s="9"/>
      <c r="G19" s="9"/>
      <c r="H19" s="9"/>
      <c r="I19" s="9"/>
      <c r="J19" s="9"/>
      <c r="K19" s="9"/>
      <c r="L19" s="9"/>
      <c r="M19" s="9"/>
      <c r="N19" s="8" t="str">
        <f aca="false">IF(C19="","",COUNT(F19:M19))</f>
        <v/>
      </c>
      <c r="O19" s="5"/>
    </row>
    <row r="20" customFormat="false" ht="21.75" hidden="false" customHeight="true" outlineLevel="0" collapsed="false">
      <c r="B20" s="18" t="n">
        <v>5</v>
      </c>
      <c r="C20" s="5"/>
      <c r="D20" s="9"/>
      <c r="E20" s="9"/>
      <c r="F20" s="9"/>
      <c r="G20" s="9"/>
      <c r="H20" s="9"/>
      <c r="I20" s="9"/>
      <c r="J20" s="9"/>
      <c r="K20" s="9"/>
      <c r="L20" s="9"/>
      <c r="M20" s="9"/>
      <c r="N20" s="8" t="str">
        <f aca="false">IF(C20="","",COUNT(F20:M20))</f>
        <v/>
      </c>
      <c r="O20" s="5"/>
    </row>
    <row r="21" customFormat="false" ht="21.75" hidden="false" customHeight="true" outlineLevel="0" collapsed="false">
      <c r="B21" s="18" t="n">
        <v>6</v>
      </c>
      <c r="C21" s="5"/>
      <c r="D21" s="9"/>
      <c r="E21" s="9"/>
      <c r="F21" s="9"/>
      <c r="G21" s="9"/>
      <c r="H21" s="9"/>
      <c r="I21" s="9"/>
      <c r="J21" s="9"/>
      <c r="K21" s="9"/>
      <c r="L21" s="9"/>
      <c r="M21" s="9"/>
      <c r="N21" s="8" t="str">
        <f aca="false">IF(C21="","",COUNT(F21:M21))</f>
        <v/>
      </c>
      <c r="O21" s="5"/>
    </row>
    <row r="22" customFormat="false" ht="21.75" hidden="false" customHeight="true" outlineLevel="0" collapsed="false">
      <c r="B22" s="18" t="n">
        <v>7</v>
      </c>
      <c r="C22" s="5"/>
      <c r="D22" s="9"/>
      <c r="E22" s="9"/>
      <c r="F22" s="9"/>
      <c r="G22" s="9"/>
      <c r="H22" s="9"/>
      <c r="I22" s="9"/>
      <c r="J22" s="9"/>
      <c r="K22" s="9"/>
      <c r="L22" s="9"/>
      <c r="M22" s="9"/>
      <c r="N22" s="8" t="str">
        <f aca="false">IF(C22="","",COUNT(F22:M22))</f>
        <v/>
      </c>
      <c r="O22" s="5"/>
    </row>
    <row r="23" customFormat="false" ht="21.75" hidden="false" customHeight="true" outlineLevel="0" collapsed="false">
      <c r="B23" s="18" t="n">
        <v>8</v>
      </c>
      <c r="C23" s="5"/>
      <c r="D23" s="9"/>
      <c r="E23" s="9"/>
      <c r="F23" s="9"/>
      <c r="G23" s="9"/>
      <c r="H23" s="9"/>
      <c r="I23" s="9"/>
      <c r="J23" s="9"/>
      <c r="K23" s="9"/>
      <c r="L23" s="9"/>
      <c r="M23" s="9"/>
      <c r="N23" s="8" t="str">
        <f aca="false">IF(C23="","",COUNT(F23:M23))</f>
        <v/>
      </c>
      <c r="O23" s="5"/>
    </row>
    <row r="24" customFormat="false" ht="21.75" hidden="false" customHeight="true" outlineLevel="0" collapsed="false">
      <c r="B24" s="18" t="n">
        <v>9</v>
      </c>
      <c r="C24" s="5"/>
      <c r="D24" s="9"/>
      <c r="E24" s="9"/>
      <c r="F24" s="9"/>
      <c r="G24" s="9"/>
      <c r="H24" s="9"/>
      <c r="I24" s="9"/>
      <c r="J24" s="9"/>
      <c r="K24" s="9"/>
      <c r="L24" s="9"/>
      <c r="M24" s="9"/>
      <c r="N24" s="8" t="str">
        <f aca="false">IF(C24="","",COUNT(F24:M24))</f>
        <v/>
      </c>
      <c r="O24" s="5"/>
    </row>
    <row r="25" customFormat="false" ht="21.75" hidden="false" customHeight="true" outlineLevel="0" collapsed="false">
      <c r="B25" s="18" t="n">
        <v>10</v>
      </c>
      <c r="C25" s="5"/>
      <c r="D25" s="9"/>
      <c r="E25" s="9"/>
      <c r="F25" s="9"/>
      <c r="G25" s="9"/>
      <c r="H25" s="9"/>
      <c r="I25" s="9"/>
      <c r="J25" s="9"/>
      <c r="K25" s="9"/>
      <c r="L25" s="9"/>
      <c r="M25" s="9"/>
      <c r="N25" s="8" t="str">
        <f aca="false">IF(C25="","",COUNT(F25:M25))</f>
        <v/>
      </c>
      <c r="O25" s="5"/>
    </row>
    <row r="26" customFormat="false" ht="21.75" hidden="false" customHeight="true" outlineLevel="0" collapsed="false">
      <c r="B26" s="18" t="n">
        <v>11</v>
      </c>
      <c r="C26" s="5"/>
      <c r="D26" s="9"/>
      <c r="E26" s="9"/>
      <c r="F26" s="9"/>
      <c r="G26" s="9"/>
      <c r="H26" s="9"/>
      <c r="I26" s="9"/>
      <c r="J26" s="9"/>
      <c r="K26" s="9"/>
      <c r="L26" s="9"/>
      <c r="M26" s="9"/>
      <c r="N26" s="8" t="str">
        <f aca="false">IF(C26="","",COUNT(F26:M26))</f>
        <v/>
      </c>
      <c r="O26" s="5"/>
    </row>
    <row r="27" customFormat="false" ht="21.75" hidden="false" customHeight="true" outlineLevel="0" collapsed="false">
      <c r="B27" s="18" t="n">
        <v>12</v>
      </c>
      <c r="C27" s="5"/>
      <c r="D27" s="9"/>
      <c r="E27" s="9"/>
      <c r="F27" s="9"/>
      <c r="G27" s="9"/>
      <c r="H27" s="9"/>
      <c r="I27" s="9"/>
      <c r="J27" s="9"/>
      <c r="K27" s="9"/>
      <c r="L27" s="9"/>
      <c r="M27" s="9"/>
      <c r="N27" s="8" t="str">
        <f aca="false">IF(C27="","",COUNT(F27:M27))</f>
        <v/>
      </c>
      <c r="O27" s="5"/>
    </row>
    <row r="28" customFormat="false" ht="21.75" hidden="false" customHeight="true" outlineLevel="0" collapsed="false">
      <c r="B28" s="18" t="n">
        <v>13</v>
      </c>
      <c r="C28" s="5"/>
      <c r="D28" s="9"/>
      <c r="E28" s="9"/>
      <c r="F28" s="9"/>
      <c r="G28" s="9"/>
      <c r="H28" s="9"/>
      <c r="I28" s="9"/>
      <c r="J28" s="9"/>
      <c r="K28" s="9"/>
      <c r="L28" s="9"/>
      <c r="M28" s="9"/>
      <c r="N28" s="8" t="str">
        <f aca="false">IF(C28="","",COUNT(F28:M28))</f>
        <v/>
      </c>
      <c r="O28" s="5"/>
    </row>
    <row r="29" customFormat="false" ht="21.75" hidden="false" customHeight="true" outlineLevel="0" collapsed="false">
      <c r="B29" s="18" t="n">
        <v>14</v>
      </c>
      <c r="C29" s="5"/>
      <c r="D29" s="9"/>
      <c r="E29" s="9"/>
      <c r="F29" s="9"/>
      <c r="G29" s="9"/>
      <c r="H29" s="9"/>
      <c r="I29" s="9"/>
      <c r="J29" s="9"/>
      <c r="K29" s="9"/>
      <c r="L29" s="9"/>
      <c r="M29" s="9"/>
      <c r="N29" s="8" t="str">
        <f aca="false">IF(C29="","",COUNT(F29:M29))</f>
        <v/>
      </c>
      <c r="O29" s="5"/>
    </row>
    <row r="30" customFormat="false" ht="21.75" hidden="false" customHeight="true" outlineLevel="0" collapsed="false">
      <c r="B30" s="18" t="n">
        <v>15</v>
      </c>
      <c r="C30" s="5"/>
      <c r="D30" s="9"/>
      <c r="E30" s="9"/>
      <c r="F30" s="9"/>
      <c r="G30" s="9"/>
      <c r="H30" s="9"/>
      <c r="I30" s="9"/>
      <c r="J30" s="9"/>
      <c r="K30" s="9"/>
      <c r="L30" s="9"/>
      <c r="M30" s="9"/>
      <c r="N30" s="8" t="str">
        <f aca="false">IF(C30="","",COUNT(F30:M30))</f>
        <v/>
      </c>
      <c r="O30" s="5"/>
    </row>
    <row r="31" customFormat="false" ht="21.75" hidden="false" customHeight="true" outlineLevel="0" collapsed="false">
      <c r="B31" s="18" t="n">
        <v>16</v>
      </c>
      <c r="C31" s="5"/>
      <c r="D31" s="9"/>
      <c r="E31" s="9"/>
      <c r="F31" s="9"/>
      <c r="G31" s="9"/>
      <c r="H31" s="9"/>
      <c r="I31" s="9"/>
      <c r="J31" s="9"/>
      <c r="K31" s="9"/>
      <c r="L31" s="9"/>
      <c r="M31" s="9"/>
      <c r="N31" s="8" t="str">
        <f aca="false">IF(C31="","",COUNT(F31:M31))</f>
        <v/>
      </c>
      <c r="O31" s="5"/>
    </row>
    <row r="33" customFormat="false" ht="21.75" hidden="false" customHeight="true" outlineLevel="0" collapsed="false">
      <c r="B33" s="12" t="s">
        <v>99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customFormat="false" ht="21.75" hidden="false" customHeight="true" outlineLevel="0" collapsed="false">
      <c r="B34" s="16" t="s">
        <v>100</v>
      </c>
      <c r="C34" s="16"/>
      <c r="D34" s="16"/>
      <c r="E34" s="16"/>
      <c r="F34" s="8" t="str">
        <f aca="false">IF(COUNT(F16:F31)=0,"",COUNT(F16:F31))</f>
        <v/>
      </c>
      <c r="G34" s="8" t="str">
        <f aca="false">IF(COUNT(G16:G31)=0,"",COUNT(G16:G31))</f>
        <v/>
      </c>
      <c r="H34" s="8" t="str">
        <f aca="false">IF(COUNT(H16:H31)=0,"",COUNT(H16:H31))</f>
        <v/>
      </c>
      <c r="I34" s="8" t="str">
        <f aca="false">IF(COUNT(I16:I31)=0,"",COUNT(I16:I31))</f>
        <v/>
      </c>
      <c r="J34" s="8" t="str">
        <f aca="false">IF(COUNT(J16:J31)=0,"",COUNT(J16:J31))</f>
        <v/>
      </c>
      <c r="K34" s="8" t="str">
        <f aca="false">IF(COUNT(K16:K31)=0,"",COUNT(K16:K31))</f>
        <v/>
      </c>
      <c r="L34" s="8" t="str">
        <f aca="false">IF(COUNT(L16:L31)=0,"",COUNT(L16:L31))</f>
        <v/>
      </c>
      <c r="M34" s="8" t="str">
        <f aca="false">IF(COUNT(M16:M31)=0,"",COUNT(M16:M31))</f>
        <v/>
      </c>
      <c r="N34" s="6"/>
      <c r="O34" s="6"/>
    </row>
    <row r="35" customFormat="false" ht="21.75" hidden="false" customHeight="true" outlineLevel="0" collapsed="false">
      <c r="B35" s="16" t="s">
        <v>101</v>
      </c>
      <c r="C35" s="16"/>
      <c r="D35" s="16"/>
      <c r="E35" s="16"/>
      <c r="F35" s="19" t="str">
        <f aca="false">IF(F34="","",COUNTIFS($E$16:$E$31,"Sim",F16:F31,"&gt;0"))</f>
        <v/>
      </c>
      <c r="G35" s="19" t="str">
        <f aca="false">IF(G34="","",COUNTIFS($E$16:$E$31,"Sim",G16:G31,"&gt;0"))</f>
        <v/>
      </c>
      <c r="H35" s="19" t="str">
        <f aca="false">IF(H34="","",COUNTIFS($E$16:$E$31,"Sim",H16:H31,"&gt;0"))</f>
        <v/>
      </c>
      <c r="I35" s="19" t="str">
        <f aca="false">IF(I34="","",COUNTIFS($E$16:$E$31,"Sim",I16:I31,"&gt;0"))</f>
        <v/>
      </c>
      <c r="J35" s="19" t="str">
        <f aca="false">IF(J34="","",COUNTIFS($E$16:$E$31,"Sim",J16:J31,"&gt;0"))</f>
        <v/>
      </c>
      <c r="K35" s="19" t="str">
        <f aca="false">IF(K34="","",COUNTIFS($E$16:$E$31,"Sim",K16:K31,"&gt;0"))</f>
        <v/>
      </c>
      <c r="L35" s="19" t="str">
        <f aca="false">IF(L34="","",COUNTIFS($E$16:$E$31,"Sim",L16:L31,"&gt;0"))</f>
        <v/>
      </c>
      <c r="M35" s="19" t="str">
        <f aca="false">IF(M34="","",COUNTIFS($E$16:$E$31,"Sim",M16:M31,"&gt;0"))</f>
        <v/>
      </c>
      <c r="N35" s="6"/>
      <c r="O35" s="6"/>
    </row>
    <row r="36" customFormat="false" ht="21.75" hidden="false" customHeight="true" outlineLevel="0" collapsed="false">
      <c r="B36" s="16" t="s">
        <v>102</v>
      </c>
      <c r="C36" s="16"/>
      <c r="D36" s="16"/>
      <c r="E36" s="16"/>
      <c r="F36" s="19" t="str">
        <f aca="false">IF(F34="","",COUNTIF(F16:F31,"&gt;=4"))</f>
        <v/>
      </c>
      <c r="G36" s="19" t="str">
        <f aca="false">IF(G34="","",COUNTIF(G16:G31,"&gt;=4"))</f>
        <v/>
      </c>
      <c r="H36" s="19" t="str">
        <f aca="false">IF(H34="","",COUNTIF(H16:H31,"&gt;=4"))</f>
        <v/>
      </c>
      <c r="I36" s="19" t="str">
        <f aca="false">IF(I34="","",COUNTIF(I16:I31,"&gt;=4"))</f>
        <v/>
      </c>
      <c r="J36" s="19" t="str">
        <f aca="false">IF(J34="","",COUNTIF(J16:J31,"&gt;=4"))</f>
        <v/>
      </c>
      <c r="K36" s="19" t="str">
        <f aca="false">IF(K34="","",COUNTIF(K16:K31,"&gt;=4"))</f>
        <v/>
      </c>
      <c r="L36" s="19" t="str">
        <f aca="false">IF(L34="","",COUNTIF(L16:L31,"&gt;=4"))</f>
        <v/>
      </c>
      <c r="M36" s="19" t="str">
        <f aca="false">IF(M34="","",COUNTIF(M16:M31,"&gt;=4"))</f>
        <v/>
      </c>
      <c r="N36" s="6"/>
      <c r="O36" s="6"/>
    </row>
    <row r="37" customFormat="false" ht="21.75" hidden="false" customHeight="true" outlineLevel="0" collapsed="false">
      <c r="B37" s="16" t="s">
        <v>103</v>
      </c>
      <c r="C37" s="16"/>
      <c r="D37" s="16"/>
      <c r="E37" s="16"/>
      <c r="F37" s="19" t="str">
        <f aca="false">IF(F34="","",IF(COUNTIFS($D$16:$D$31,"Ambiente",F16:F31,"&gt;0")&gt;0,"Sim","Não"))</f>
        <v/>
      </c>
      <c r="G37" s="19" t="str">
        <f aca="false">IF(G34="","",IF(COUNTIFS($D$16:$D$31,"Ambiente",G16:G31,"&gt;0")&gt;0,"Sim","Não"))</f>
        <v/>
      </c>
      <c r="H37" s="19" t="str">
        <f aca="false">IF(H34="","",IF(COUNTIFS($D$16:$D$31,"Ambiente",H16:H31,"&gt;0")&gt;0,"Sim","Não"))</f>
        <v/>
      </c>
      <c r="I37" s="19" t="str">
        <f aca="false">IF(I34="","",IF(COUNTIFS($D$16:$D$31,"Ambiente",I16:I31,"&gt;0")&gt;0,"Sim","Não"))</f>
        <v/>
      </c>
      <c r="J37" s="19" t="str">
        <f aca="false">IF(J34="","",IF(COUNTIFS($D$16:$D$31,"Ambiente",J16:J31,"&gt;0")&gt;0,"Sim","Não"))</f>
        <v/>
      </c>
      <c r="K37" s="19" t="str">
        <f aca="false">IF(K34="","",IF(COUNTIFS($D$16:$D$31,"Ambiente",K16:K31,"&gt;0")&gt;0,"Sim","Não"))</f>
        <v/>
      </c>
      <c r="L37" s="19" t="str">
        <f aca="false">IF(L34="","",IF(COUNTIFS($D$16:$D$31,"Ambiente",L16:L31,"&gt;0")&gt;0,"Sim","Não"))</f>
        <v/>
      </c>
      <c r="M37" s="19" t="str">
        <f aca="false">IF(M34="","",IF(COUNTIFS($D$16:$D$31,"Ambiente",M16:M31,"&gt;0")&gt;0,"Sim","Não"))</f>
        <v/>
      </c>
      <c r="N37" s="6"/>
      <c r="O37" s="6"/>
    </row>
    <row r="38" customFormat="false" ht="30" hidden="false" customHeight="true" outlineLevel="0" collapsed="false">
      <c r="B38" s="16" t="s">
        <v>104</v>
      </c>
      <c r="C38" s="16"/>
      <c r="D38" s="16"/>
      <c r="E38" s="16"/>
      <c r="F38" s="20" t="str">
        <f aca="false">IF(F34="","",IF(F12="","Informe o tipo",IF(OR(F12="In-ear com fio",F12="In-ear sem fio",F12="Pessoal"),IF(F34&lt;$L$5,"Incompleto",IF(F37="Não","Sem ambiente",IF(F36=0,"Sem principal","OK"))),IF(F34&gt;$L$4,"Cheio",IF(F36=0,"Sem principal","OK")))))</f>
        <v/>
      </c>
      <c r="G38" s="20" t="str">
        <f aca="false">IF(G34="","",IF(G12="","Informe o tipo",IF(OR(G12="In-ear com fio",G12="In-ear sem fio",G12="Pessoal"),IF(G34&lt;$L$5,"Incompleto",IF(G37="Não","Sem ambiente",IF(G36=0,"Sem principal","OK"))),IF(G34&gt;$L$4,"Cheio",IF(G36=0,"Sem principal","OK")))))</f>
        <v/>
      </c>
      <c r="H38" s="20" t="str">
        <f aca="false">IF(H34="","",IF(H12="","Informe o tipo",IF(OR(H12="In-ear com fio",H12="In-ear sem fio",H12="Pessoal"),IF(H34&lt;$L$5,"Incompleto",IF(H37="Não","Sem ambiente",IF(H36=0,"Sem principal","OK"))),IF(H34&gt;$L$4,"Cheio",IF(H36=0,"Sem principal","OK")))))</f>
        <v/>
      </c>
      <c r="I38" s="20" t="str">
        <f aca="false">IF(I34="","",IF(I12="","Informe o tipo",IF(OR(I12="In-ear com fio",I12="In-ear sem fio",I12="Pessoal"),IF(I34&lt;$L$5,"Incompleto",IF(I37="Não","Sem ambiente",IF(I36=0,"Sem principal","OK"))),IF(I34&gt;$L$4,"Cheio",IF(I36=0,"Sem principal","OK")))))</f>
        <v/>
      </c>
      <c r="J38" s="20" t="str">
        <f aca="false">IF(J34="","",IF(J12="","Informe o tipo",IF(OR(J12="In-ear com fio",J12="In-ear sem fio",J12="Pessoal"),IF(J34&lt;$L$5,"Incompleto",IF(J37="Não","Sem ambiente",IF(J36=0,"Sem principal","OK"))),IF(J34&gt;$L$4,"Cheio",IF(J36=0,"Sem principal","OK")))))</f>
        <v/>
      </c>
      <c r="K38" s="20" t="str">
        <f aca="false">IF(K34="","",IF(K12="","Informe o tipo",IF(OR(K12="In-ear com fio",K12="In-ear sem fio",K12="Pessoal"),IF(K34&lt;$L$5,"Incompleto",IF(K37="Não","Sem ambiente",IF(K36=0,"Sem principal","OK"))),IF(K34&gt;$L$4,"Cheio",IF(K36=0,"Sem principal","OK")))))</f>
        <v/>
      </c>
      <c r="L38" s="20" t="str">
        <f aca="false">IF(L34="","",IF(L12="","Informe o tipo",IF(OR(L12="In-ear com fio",L12="In-ear sem fio",L12="Pessoal"),IF(L34&lt;$L$5,"Incompleto",IF(L37="Não","Sem ambiente",IF(L36=0,"Sem principal","OK"))),IF(L34&gt;$L$4,"Cheio",IF(L36=0,"Sem principal","OK")))))</f>
        <v/>
      </c>
      <c r="M38" s="20" t="str">
        <f aca="false">IF(M34="","",IF(M12="","Informe o tipo",IF(OR(M12="In-ear com fio",M12="In-ear sem fio",M12="Pessoal"),IF(M34&lt;$L$5,"Incompleto",IF(M37="Não","Sem ambiente",IF(M36=0,"Sem principal","OK"))),IF(M34&gt;$L$4,"Cheio",IF(M36=0,"Sem principal","OK")))))</f>
        <v/>
      </c>
      <c r="N38" s="6"/>
      <c r="O38" s="6"/>
    </row>
    <row r="40" customFormat="false" ht="21.75" hidden="false" customHeight="true" outlineLevel="0" collapsed="false">
      <c r="B40" s="12" t="s">
        <v>105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customFormat="false" ht="21.75" hidden="false" customHeight="true" outlineLevel="0" collapsed="false">
      <c r="B41" s="8" t="s">
        <v>106</v>
      </c>
      <c r="C41" s="8" t="s">
        <v>107</v>
      </c>
      <c r="D41" s="8" t="s">
        <v>104</v>
      </c>
      <c r="E41" s="8"/>
      <c r="F41" s="8" t="s">
        <v>108</v>
      </c>
      <c r="G41" s="8"/>
      <c r="H41" s="8"/>
      <c r="I41" s="8"/>
      <c r="J41" s="8"/>
      <c r="K41" s="8"/>
      <c r="L41" s="8"/>
      <c r="M41" s="8"/>
      <c r="N41" s="8"/>
      <c r="O41" s="8"/>
    </row>
    <row r="42" customFormat="false" ht="21.75" hidden="false" customHeight="true" outlineLevel="0" collapsed="false">
      <c r="B42" s="18" t="n">
        <v>1</v>
      </c>
      <c r="C42" s="6" t="str">
        <f aca="false">IF(F11="","",F11)</f>
        <v/>
      </c>
      <c r="D42" s="20" t="str">
        <f aca="false">IF(F38="","",F38)</f>
        <v/>
      </c>
      <c r="E42" s="20"/>
      <c r="F42" s="21" t="str">
        <f aca="false">IF(D42="","",IF(D42="Cheio","Fontes demais para uma caixa: tire o que o músico não pediu e o que ele já ouve no palco",IF(D42="Incompleto","O fone isola o músico: complete com harmonia, baixo, tempo e a voz que conduz",IF(D42="Sem ambiente","Inclua um canal do tipo Ambiente neste mix, em nível baixo",IF(D42="Sem principal","Nenhuma fonte no nível 4 ou 5: defina o que o músico mais precisa ouvir, em geral ele mesmo",IF(D42="Informe o tipo","Escolha o tipo de retorno na linha 12","Manter"))))))</f>
        <v/>
      </c>
      <c r="G42" s="21"/>
      <c r="H42" s="21"/>
      <c r="I42" s="21"/>
      <c r="J42" s="21"/>
      <c r="K42" s="21"/>
      <c r="L42" s="21"/>
      <c r="M42" s="21"/>
      <c r="N42" s="21"/>
      <c r="O42" s="21"/>
    </row>
    <row r="43" customFormat="false" ht="21.75" hidden="false" customHeight="true" outlineLevel="0" collapsed="false">
      <c r="B43" s="18" t="n">
        <v>2</v>
      </c>
      <c r="C43" s="6" t="str">
        <f aca="false">IF(G11="","",G11)</f>
        <v/>
      </c>
      <c r="D43" s="20" t="str">
        <f aca="false">IF(G38="","",G38)</f>
        <v/>
      </c>
      <c r="E43" s="20"/>
      <c r="F43" s="21" t="str">
        <f aca="false">IF(D43="","",IF(D43="Cheio","Fontes demais para uma caixa: tire o que o músico não pediu e o que ele já ouve no palco",IF(D43="Incompleto","O fone isola o músico: complete com harmonia, baixo, tempo e a voz que conduz",IF(D43="Sem ambiente","Inclua um canal do tipo Ambiente neste mix, em nível baixo",IF(D43="Sem principal","Nenhuma fonte no nível 4 ou 5: defina o que o músico mais precisa ouvir, em geral ele mesmo",IF(D43="Informe o tipo","Escolha o tipo de retorno na linha 12","Manter"))))))</f>
        <v/>
      </c>
      <c r="G43" s="21"/>
      <c r="H43" s="21"/>
      <c r="I43" s="21"/>
      <c r="J43" s="21"/>
      <c r="K43" s="21"/>
      <c r="L43" s="21"/>
      <c r="M43" s="21"/>
      <c r="N43" s="21"/>
      <c r="O43" s="21"/>
    </row>
    <row r="44" customFormat="false" ht="21.75" hidden="false" customHeight="true" outlineLevel="0" collapsed="false">
      <c r="B44" s="18" t="n">
        <v>3</v>
      </c>
      <c r="C44" s="6" t="str">
        <f aca="false">IF(H11="","",H11)</f>
        <v/>
      </c>
      <c r="D44" s="20" t="str">
        <f aca="false">IF(H38="","",H38)</f>
        <v/>
      </c>
      <c r="E44" s="20"/>
      <c r="F44" s="21" t="str">
        <f aca="false">IF(D44="","",IF(D44="Cheio","Fontes demais para uma caixa: tire o que o músico não pediu e o que ele já ouve no palco",IF(D44="Incompleto","O fone isola o músico: complete com harmonia, baixo, tempo e a voz que conduz",IF(D44="Sem ambiente","Inclua um canal do tipo Ambiente neste mix, em nível baixo",IF(D44="Sem principal","Nenhuma fonte no nível 4 ou 5: defina o que o músico mais precisa ouvir, em geral ele mesmo",IF(D44="Informe o tipo","Escolha o tipo de retorno na linha 12","Manter"))))))</f>
        <v/>
      </c>
      <c r="G44" s="21"/>
      <c r="H44" s="21"/>
      <c r="I44" s="21"/>
      <c r="J44" s="21"/>
      <c r="K44" s="21"/>
      <c r="L44" s="21"/>
      <c r="M44" s="21"/>
      <c r="N44" s="21"/>
      <c r="O44" s="21"/>
    </row>
    <row r="45" customFormat="false" ht="21.75" hidden="false" customHeight="true" outlineLevel="0" collapsed="false">
      <c r="B45" s="18" t="n">
        <v>4</v>
      </c>
      <c r="C45" s="6" t="str">
        <f aca="false">IF(I11="","",I11)</f>
        <v/>
      </c>
      <c r="D45" s="20" t="str">
        <f aca="false">IF(I38="","",I38)</f>
        <v/>
      </c>
      <c r="E45" s="20"/>
      <c r="F45" s="21" t="str">
        <f aca="false">IF(D45="","",IF(D45="Cheio","Fontes demais para uma caixa: tire o que o músico não pediu e o que ele já ouve no palco",IF(D45="Incompleto","O fone isola o músico: complete com harmonia, baixo, tempo e a voz que conduz",IF(D45="Sem ambiente","Inclua um canal do tipo Ambiente neste mix, em nível baixo",IF(D45="Sem principal","Nenhuma fonte no nível 4 ou 5: defina o que o músico mais precisa ouvir, em geral ele mesmo",IF(D45="Informe o tipo","Escolha o tipo de retorno na linha 12","Manter"))))))</f>
        <v/>
      </c>
      <c r="G45" s="21"/>
      <c r="H45" s="21"/>
      <c r="I45" s="21"/>
      <c r="J45" s="21"/>
      <c r="K45" s="21"/>
      <c r="L45" s="21"/>
      <c r="M45" s="21"/>
      <c r="N45" s="21"/>
      <c r="O45" s="21"/>
    </row>
    <row r="46" customFormat="false" ht="21.75" hidden="false" customHeight="true" outlineLevel="0" collapsed="false">
      <c r="B46" s="18" t="n">
        <v>5</v>
      </c>
      <c r="C46" s="6" t="str">
        <f aca="false">IF(J11="","",J11)</f>
        <v/>
      </c>
      <c r="D46" s="20" t="str">
        <f aca="false">IF(J38="","",J38)</f>
        <v/>
      </c>
      <c r="E46" s="20"/>
      <c r="F46" s="21" t="str">
        <f aca="false">IF(D46="","",IF(D46="Cheio","Fontes demais para uma caixa: tire o que o músico não pediu e o que ele já ouve no palco",IF(D46="Incompleto","O fone isola o músico: complete com harmonia, baixo, tempo e a voz que conduz",IF(D46="Sem ambiente","Inclua um canal do tipo Ambiente neste mix, em nível baixo",IF(D46="Sem principal","Nenhuma fonte no nível 4 ou 5: defina o que o músico mais precisa ouvir, em geral ele mesmo",IF(D46="Informe o tipo","Escolha o tipo de retorno na linha 12","Manter"))))))</f>
        <v/>
      </c>
      <c r="G46" s="21"/>
      <c r="H46" s="21"/>
      <c r="I46" s="21"/>
      <c r="J46" s="21"/>
      <c r="K46" s="21"/>
      <c r="L46" s="21"/>
      <c r="M46" s="21"/>
      <c r="N46" s="21"/>
      <c r="O46" s="21"/>
    </row>
    <row r="47" customFormat="false" ht="21.75" hidden="false" customHeight="true" outlineLevel="0" collapsed="false">
      <c r="B47" s="18" t="n">
        <v>6</v>
      </c>
      <c r="C47" s="6" t="str">
        <f aca="false">IF(K11="","",K11)</f>
        <v/>
      </c>
      <c r="D47" s="20" t="str">
        <f aca="false">IF(K38="","",K38)</f>
        <v/>
      </c>
      <c r="E47" s="20"/>
      <c r="F47" s="21" t="str">
        <f aca="false">IF(D47="","",IF(D47="Cheio","Fontes demais para uma caixa: tire o que o músico não pediu e o que ele já ouve no palco",IF(D47="Incompleto","O fone isola o músico: complete com harmonia, baixo, tempo e a voz que conduz",IF(D47="Sem ambiente","Inclua um canal do tipo Ambiente neste mix, em nível baixo",IF(D47="Sem principal","Nenhuma fonte no nível 4 ou 5: defina o que o músico mais precisa ouvir, em geral ele mesmo",IF(D47="Informe o tipo","Escolha o tipo de retorno na linha 12","Manter"))))))</f>
        <v/>
      </c>
      <c r="G47" s="21"/>
      <c r="H47" s="21"/>
      <c r="I47" s="21"/>
      <c r="J47" s="21"/>
      <c r="K47" s="21"/>
      <c r="L47" s="21"/>
      <c r="M47" s="21"/>
      <c r="N47" s="21"/>
      <c r="O47" s="21"/>
    </row>
    <row r="48" customFormat="false" ht="21.75" hidden="false" customHeight="true" outlineLevel="0" collapsed="false">
      <c r="B48" s="18" t="n">
        <v>7</v>
      </c>
      <c r="C48" s="6" t="str">
        <f aca="false">IF(L11="","",L11)</f>
        <v/>
      </c>
      <c r="D48" s="20" t="str">
        <f aca="false">IF(L38="","",L38)</f>
        <v/>
      </c>
      <c r="E48" s="20"/>
      <c r="F48" s="21" t="str">
        <f aca="false">IF(D48="","",IF(D48="Cheio","Fontes demais para uma caixa: tire o que o músico não pediu e o que ele já ouve no palco",IF(D48="Incompleto","O fone isola o músico: complete com harmonia, baixo, tempo e a voz que conduz",IF(D48="Sem ambiente","Inclua um canal do tipo Ambiente neste mix, em nível baixo",IF(D48="Sem principal","Nenhuma fonte no nível 4 ou 5: defina o que o músico mais precisa ouvir, em geral ele mesmo",IF(D48="Informe o tipo","Escolha o tipo de retorno na linha 12","Manter"))))))</f>
        <v/>
      </c>
      <c r="G48" s="21"/>
      <c r="H48" s="21"/>
      <c r="I48" s="21"/>
      <c r="J48" s="21"/>
      <c r="K48" s="21"/>
      <c r="L48" s="21"/>
      <c r="M48" s="21"/>
      <c r="N48" s="21"/>
      <c r="O48" s="21"/>
    </row>
    <row r="49" customFormat="false" ht="21.75" hidden="false" customHeight="true" outlineLevel="0" collapsed="false">
      <c r="B49" s="18" t="n">
        <v>8</v>
      </c>
      <c r="C49" s="6" t="str">
        <f aca="false">IF(M11="","",M11)</f>
        <v/>
      </c>
      <c r="D49" s="20" t="str">
        <f aca="false">IF(M38="","",M38)</f>
        <v/>
      </c>
      <c r="E49" s="20"/>
      <c r="F49" s="21" t="str">
        <f aca="false">IF(D49="","",IF(D49="Cheio","Fontes demais para uma caixa: tire o que o músico não pediu e o que ele já ouve no palco",IF(D49="Incompleto","O fone isola o músico: complete com harmonia, baixo, tempo e a voz que conduz",IF(D49="Sem ambiente","Inclua um canal do tipo Ambiente neste mix, em nível baixo",IF(D49="Sem principal","Nenhuma fonte no nível 4 ou 5: defina o que o músico mais precisa ouvir, em geral ele mesmo",IF(D49="Informe o tipo","Escolha o tipo de retorno na linha 12","Manter"))))))</f>
        <v/>
      </c>
      <c r="G49" s="21"/>
      <c r="H49" s="21"/>
      <c r="I49" s="21"/>
      <c r="J49" s="21"/>
      <c r="K49" s="21"/>
      <c r="L49" s="21"/>
      <c r="M49" s="21"/>
      <c r="N49" s="21"/>
      <c r="O49" s="21"/>
    </row>
    <row r="51" customFormat="false" ht="21.75" hidden="false" customHeight="true" outlineLevel="0" collapsed="false">
      <c r="B51" s="12" t="s">
        <v>109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customFormat="false" ht="19.5" hidden="false" customHeight="true" outlineLevel="0" collapsed="false">
      <c r="B52" s="16" t="s">
        <v>110</v>
      </c>
      <c r="C52" s="16"/>
      <c r="D52" s="16"/>
      <c r="E52" s="16"/>
      <c r="F52" s="8" t="n">
        <f aca="false">COUNTA(C16:C31)</f>
        <v>0</v>
      </c>
    </row>
    <row r="53" customFormat="false" ht="19.5" hidden="false" customHeight="true" outlineLevel="0" collapsed="false">
      <c r="B53" s="16" t="s">
        <v>111</v>
      </c>
      <c r="C53" s="16"/>
      <c r="D53" s="16"/>
      <c r="E53" s="16"/>
      <c r="F53" s="8" t="n">
        <f aca="false">COUNTIF(N16:N31,0)</f>
        <v>0</v>
      </c>
    </row>
    <row r="54" customFormat="false" ht="19.5" hidden="false" customHeight="true" outlineLevel="0" collapsed="false">
      <c r="B54" s="16" t="s">
        <v>112</v>
      </c>
      <c r="C54" s="16"/>
      <c r="D54" s="16"/>
      <c r="E54" s="16"/>
      <c r="F54" s="8" t="n">
        <f aca="false">COUNT(F34:M34)</f>
        <v>0</v>
      </c>
    </row>
    <row r="55" customFormat="false" ht="19.5" hidden="false" customHeight="true" outlineLevel="0" collapsed="false">
      <c r="B55" s="16" t="s">
        <v>113</v>
      </c>
      <c r="C55" s="16"/>
      <c r="D55" s="16"/>
      <c r="E55" s="16"/>
      <c r="F55" s="8" t="n">
        <f aca="false">COUNTIF(F38:M38,"OK")</f>
        <v>0</v>
      </c>
    </row>
    <row r="56" customFormat="false" ht="19.5" hidden="false" customHeight="true" outlineLevel="0" collapsed="false">
      <c r="B56" s="16" t="s">
        <v>114</v>
      </c>
      <c r="C56" s="16"/>
      <c r="D56" s="16"/>
      <c r="E56" s="16"/>
      <c r="F56" s="8" t="n">
        <f aca="false">F54-F55</f>
        <v>0</v>
      </c>
    </row>
    <row r="57" customFormat="false" ht="21.75" hidden="false" customHeight="true" outlineLevel="0" collapsed="false">
      <c r="B57" s="16" t="s">
        <v>115</v>
      </c>
      <c r="C57" s="16"/>
      <c r="D57" s="16"/>
      <c r="E57" s="16"/>
      <c r="F57" s="21" t="str">
        <f aca="false">IF(F52=0,"Liste os canais",IF(F54=0,"Preencha os níveis de pelo menos um mix",IF(F56&gt;0,"Há mix a ajustar: veja o que fazer em cada um","OK")))</f>
        <v>Liste os canais</v>
      </c>
      <c r="G57" s="21"/>
      <c r="H57" s="21"/>
      <c r="I57" s="21"/>
      <c r="J57" s="21"/>
      <c r="K57" s="21"/>
      <c r="L57" s="21"/>
      <c r="M57" s="21"/>
      <c r="N57" s="21"/>
      <c r="O57" s="21"/>
    </row>
  </sheetData>
  <mergeCells count="53">
    <mergeCell ref="B1:O1"/>
    <mergeCell ref="B2:O2"/>
    <mergeCell ref="B4:C4"/>
    <mergeCell ref="D4:G4"/>
    <mergeCell ref="I4:K4"/>
    <mergeCell ref="M4:O4"/>
    <mergeCell ref="B5:C5"/>
    <mergeCell ref="D5:G5"/>
    <mergeCell ref="I5:K5"/>
    <mergeCell ref="M5:O5"/>
    <mergeCell ref="B6:C6"/>
    <mergeCell ref="D6:G6"/>
    <mergeCell ref="I6:O6"/>
    <mergeCell ref="B7:C7"/>
    <mergeCell ref="D7:G7"/>
    <mergeCell ref="I7:O7"/>
    <mergeCell ref="B9:O9"/>
    <mergeCell ref="B11:E11"/>
    <mergeCell ref="B12:E12"/>
    <mergeCell ref="B13:E13"/>
    <mergeCell ref="B33:O33"/>
    <mergeCell ref="B34:E34"/>
    <mergeCell ref="B35:E35"/>
    <mergeCell ref="B36:E36"/>
    <mergeCell ref="B37:E37"/>
    <mergeCell ref="B38:E38"/>
    <mergeCell ref="B40:O40"/>
    <mergeCell ref="D41:E41"/>
    <mergeCell ref="F41:O41"/>
    <mergeCell ref="D42:E42"/>
    <mergeCell ref="F42:O42"/>
    <mergeCell ref="D43:E43"/>
    <mergeCell ref="F43:O43"/>
    <mergeCell ref="D44:E44"/>
    <mergeCell ref="F44:O44"/>
    <mergeCell ref="D45:E45"/>
    <mergeCell ref="F45:O45"/>
    <mergeCell ref="D46:E46"/>
    <mergeCell ref="F46:O46"/>
    <mergeCell ref="D47:E47"/>
    <mergeCell ref="F47:O47"/>
    <mergeCell ref="D48:E48"/>
    <mergeCell ref="F48:O48"/>
    <mergeCell ref="D49:E49"/>
    <mergeCell ref="F49:O49"/>
    <mergeCell ref="B51:O51"/>
    <mergeCell ref="B52:E52"/>
    <mergeCell ref="B53:E53"/>
    <mergeCell ref="B54:E54"/>
    <mergeCell ref="B55:E55"/>
    <mergeCell ref="B56:E56"/>
    <mergeCell ref="B57:E57"/>
    <mergeCell ref="F57:O57"/>
  </mergeCells>
  <conditionalFormatting sqref="F16:M31">
    <cfRule type="cellIs" priority="2" operator="greaterThanOrEqual" aboveAverage="0" equalAverage="0" bottom="0" percent="0" rank="0" text="" dxfId="0">
      <formula>4</formula>
    </cfRule>
    <cfRule type="cellIs" priority="3" operator="between" aboveAverage="0" equalAverage="0" bottom="0" percent="0" rank="0" text="" dxfId="1">
      <formula>1</formula>
      <formula>3</formula>
    </cfRule>
  </conditionalFormatting>
  <conditionalFormatting sqref="F38:M38">
    <cfRule type="cellIs" priority="4" operator="equal" aboveAverage="0" equalAverage="0" bottom="0" percent="0" rank="0" text="" dxfId="2">
      <formula>"OK"</formula>
    </cfRule>
    <cfRule type="cellIs" priority="5" operator="equal" aboveAverage="0" equalAverage="0" bottom="0" percent="0" rank="0" text="" dxfId="3">
      <formula>"Cheio"</formula>
    </cfRule>
    <cfRule type="cellIs" priority="6" operator="equal" aboveAverage="0" equalAverage="0" bottom="0" percent="0" rank="0" text="" dxfId="4">
      <formula>"Incompleto"</formula>
    </cfRule>
    <cfRule type="cellIs" priority="7" operator="equal" aboveAverage="0" equalAverage="0" bottom="0" percent="0" rank="0" text="" dxfId="4">
      <formula>"Sem ambiente"</formula>
    </cfRule>
    <cfRule type="cellIs" priority="8" operator="equal" aboveAverage="0" equalAverage="0" bottom="0" percent="0" rank="0" text="" dxfId="4">
      <formula>"Sem principal"</formula>
    </cfRule>
    <cfRule type="cellIs" priority="9" operator="equal" aboveAverage="0" equalAverage="0" bottom="0" percent="0" rank="0" text="" dxfId="4">
      <formula>"Informe o tipo"</formula>
    </cfRule>
  </conditionalFormatting>
  <conditionalFormatting sqref="D42:E49">
    <cfRule type="cellIs" priority="10" operator="equal" aboveAverage="0" equalAverage="0" bottom="0" percent="0" rank="0" text="" dxfId="2">
      <formula>"OK"</formula>
    </cfRule>
    <cfRule type="cellIs" priority="11" operator="equal" aboveAverage="0" equalAverage="0" bottom="0" percent="0" rank="0" text="" dxfId="3">
      <formula>"Cheio"</formula>
    </cfRule>
    <cfRule type="cellIs" priority="12" operator="equal" aboveAverage="0" equalAverage="0" bottom="0" percent="0" rank="0" text="" dxfId="4">
      <formula>"Incompleto"</formula>
    </cfRule>
    <cfRule type="cellIs" priority="13" operator="equal" aboveAverage="0" equalAverage="0" bottom="0" percent="0" rank="0" text="" dxfId="4">
      <formula>"Sem ambiente"</formula>
    </cfRule>
    <cfRule type="cellIs" priority="14" operator="equal" aboveAverage="0" equalAverage="0" bottom="0" percent="0" rank="0" text="" dxfId="4">
      <formula>"Sem principal"</formula>
    </cfRule>
    <cfRule type="cellIs" priority="15" operator="equal" aboveAverage="0" equalAverage="0" bottom="0" percent="0" rank="0" text="" dxfId="4">
      <formula>"Informe o tipo"</formula>
    </cfRule>
  </conditionalFormatting>
  <conditionalFormatting sqref="F57:O57">
    <cfRule type="cellIs" priority="16" operator="equal" aboveAverage="0" equalAverage="0" bottom="0" percent="0" rank="0" text="" dxfId="2">
      <formula>"OK"</formula>
    </cfRule>
    <cfRule type="cellIs" priority="17" operator="notEqual" aboveAverage="0" equalAverage="0" bottom="0" percent="0" rank="0" text="" dxfId="4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um número inteiro de 1 a 32." errorStyle="stop" errorTitle="Valor inválido" operator="between" showDropDown="false" showErrorMessage="true" showInputMessage="false" sqref="L4:L5" type="whole">
      <formula1>1</formula1>
      <formula2>32</formula2>
    </dataValidation>
    <dataValidation allowBlank="true" error="Escolha uma das opções da lista." errorStyle="stop" errorTitle="Valor inválido" operator="between" prompt="Caixa de chão, Side fill, Drum fill, In-ear com fio, In-ear sem fio ou Pessoal." promptTitle="Opções" showDropDown="false" showErrorMessage="true" showInputMessage="true" sqref="F12:M12" type="list">
      <formula1>"Caixa de chão,Side fill,Drum fill,In-ear com fio,In-ear sem fio,Pessoal"</formula1>
      <formula2>0</formula2>
    </dataValidation>
    <dataValidation allowBlank="true" error="Escolha uma das opções da lista." errorStyle="stop" errorTitle="Valor inválido" operator="between" prompt="Voz, Instrumento, Bateria, Linha ou DI, Mídia ou Ambiente." promptTitle="Opções" showDropDown="false" showErrorMessage="true" showInputMessage="true" sqref="D16:D31" type="list">
      <formula1>"Voz,Instrumento,Bateria,Linha ou DI,Mídia,Ambiente"</formula1>
      <formula2>0</formula2>
    </dataValidation>
    <dataValidation allowBlank="true" error="Escolha uma das opções da lista." errorStyle="stop" errorTitle="Valor inválido" operator="between" prompt="O canal é um microfone aberto no palco?" promptTitle="Opções" showDropDown="false" showErrorMessage="true" showInputMessage="true" sqref="E16:E31" type="list">
      <formula1>"Sim,Não"</formula1>
      <formula2>0</formula2>
    </dataValidation>
    <dataValidation allowBlank="true" error="Digite um nível de 1 a 5, ou deixe vazio." errorStyle="stop" errorTitle="Valor inválido" operator="between" showDropDown="false" showErrorMessage="true" showInputMessage="false" sqref="F16:M31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62"/>
    <col collapsed="false" customWidth="true" hidden="false" outlineLevel="0" max="11" min="10" style="0" width="12"/>
    <col collapsed="false" customWidth="true" hidden="false" outlineLevel="0" max="12" min="12" style="0" width="3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116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117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H4" s="10" t="s">
        <v>118</v>
      </c>
      <c r="I4" s="10"/>
      <c r="J4" s="10"/>
      <c r="K4" s="10"/>
      <c r="L4" s="10"/>
    </row>
    <row r="5" customFormat="false" ht="21.75" hidden="false" customHeight="true" outlineLevel="0" collapsed="false">
      <c r="B5" s="4" t="s">
        <v>67</v>
      </c>
      <c r="C5" s="4"/>
      <c r="D5" s="11"/>
      <c r="E5" s="11"/>
      <c r="F5" s="11"/>
      <c r="G5" s="11"/>
      <c r="H5" s="10" t="s">
        <v>119</v>
      </c>
      <c r="I5" s="10"/>
      <c r="J5" s="10"/>
      <c r="K5" s="10"/>
      <c r="L5" s="10"/>
    </row>
    <row r="6" customFormat="false" ht="21.75" hidden="false" customHeight="true" outlineLevel="0" collapsed="false">
      <c r="B6" s="4" t="s">
        <v>69</v>
      </c>
      <c r="C6" s="4"/>
      <c r="D6" s="5"/>
      <c r="E6" s="5"/>
      <c r="F6" s="5"/>
      <c r="G6" s="5"/>
      <c r="H6" s="10" t="s">
        <v>120</v>
      </c>
      <c r="I6" s="10"/>
      <c r="J6" s="10"/>
      <c r="K6" s="10"/>
      <c r="L6" s="10"/>
    </row>
    <row r="8" customFormat="false" ht="21.75" hidden="false" customHeight="true" outlineLevel="0" collapsed="false">
      <c r="B8" s="12" t="s">
        <v>121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30" hidden="false" customHeight="true" outlineLevel="0" collapsed="false">
      <c r="B9" s="13" t="s">
        <v>122</v>
      </c>
      <c r="C9" s="13" t="s">
        <v>123</v>
      </c>
      <c r="D9" s="13" t="s">
        <v>124</v>
      </c>
      <c r="E9" s="14" t="s">
        <v>106</v>
      </c>
      <c r="F9" s="14" t="s">
        <v>125</v>
      </c>
      <c r="G9" s="14" t="s">
        <v>126</v>
      </c>
      <c r="H9" s="15" t="s">
        <v>127</v>
      </c>
      <c r="I9" s="15" t="s">
        <v>128</v>
      </c>
      <c r="J9" s="14" t="s">
        <v>129</v>
      </c>
      <c r="K9" s="14" t="s">
        <v>130</v>
      </c>
      <c r="L9" s="13" t="s">
        <v>85</v>
      </c>
    </row>
    <row r="10" customFormat="false" ht="27" hidden="false" customHeight="true" outlineLevel="0" collapsed="false">
      <c r="B10" s="17" t="s">
        <v>89</v>
      </c>
      <c r="C10" s="17" t="s">
        <v>91</v>
      </c>
      <c r="D10" s="17" t="s">
        <v>131</v>
      </c>
      <c r="E10" s="17" t="s">
        <v>91</v>
      </c>
      <c r="F10" s="17" t="s">
        <v>91</v>
      </c>
      <c r="G10" s="17" t="s">
        <v>132</v>
      </c>
      <c r="H10" s="17" t="s">
        <v>133</v>
      </c>
      <c r="I10" s="17"/>
      <c r="J10" s="17" t="s">
        <v>134</v>
      </c>
      <c r="K10" s="17" t="s">
        <v>135</v>
      </c>
      <c r="L10" s="17"/>
    </row>
    <row r="11" customFormat="false" ht="27" hidden="false" customHeight="true" outlineLevel="0" collapsed="false">
      <c r="B11" s="17" t="s">
        <v>95</v>
      </c>
      <c r="C11" s="17" t="s">
        <v>136</v>
      </c>
      <c r="D11" s="10" t="s">
        <v>137</v>
      </c>
      <c r="E11" s="17" t="s">
        <v>76</v>
      </c>
      <c r="F11" s="17" t="s">
        <v>138</v>
      </c>
      <c r="G11" s="10" t="s">
        <v>139</v>
      </c>
      <c r="H11" s="17" t="n">
        <v>1</v>
      </c>
      <c r="I11" s="10" t="s">
        <v>140</v>
      </c>
      <c r="J11" s="17" t="s">
        <v>98</v>
      </c>
      <c r="K11" s="22" t="n">
        <v>0</v>
      </c>
      <c r="L11" s="10" t="s">
        <v>141</v>
      </c>
    </row>
    <row r="12" customFormat="false" ht="24" hidden="false" customHeight="true" outlineLevel="0" collapsed="false">
      <c r="B12" s="18" t="n">
        <v>1</v>
      </c>
      <c r="C12" s="9"/>
      <c r="D12" s="5"/>
      <c r="E12" s="9"/>
      <c r="F12" s="9"/>
      <c r="G12" s="5"/>
      <c r="H12" s="20" t="str">
        <f aca="false">IF(OR(E12="",F12&lt;&gt;"Mais"),"",COUNTIFS(E$12:E12,E12,F$12:F12,"Mais"))</f>
        <v/>
      </c>
      <c r="I12" s="23" t="str">
        <f aca="false">IF(F12="","",IF(F12="Mais",IF(H12="","Informe o mix",IF(H12&gt;=3,"Terceiro pedido de mais neste mix, ou além: baixe as outras fontes e confira o volume de palco","Antes de subir: o que dá para baixar neste mix? A caixa aponta para os ouvidos?")),IF(F12="Menos","Baixe o envio desta fonte só neste mix",IF(F12="Incluir","Abra o envio devagar, a partir do zero, até o músico confirmar",IF(F12="Tirar","Feche o envio desta fonte neste mix",IF(F12="Timbre","Ajuste o EQ da saída deste retorno; o EQ do canal muda também a sala","Descreva o pedido na observação"))))))</f>
        <v/>
      </c>
      <c r="J12" s="9"/>
      <c r="K12" s="24"/>
      <c r="L12" s="5"/>
    </row>
    <row r="13" customFormat="false" ht="24" hidden="false" customHeight="true" outlineLevel="0" collapsed="false">
      <c r="B13" s="18" t="n">
        <v>2</v>
      </c>
      <c r="C13" s="9"/>
      <c r="D13" s="5"/>
      <c r="E13" s="9"/>
      <c r="F13" s="9"/>
      <c r="G13" s="5"/>
      <c r="H13" s="20" t="str">
        <f aca="false">IF(OR(E13="",F13&lt;&gt;"Mais"),"",COUNTIFS(E$12:E13,E13,F$12:F13,"Mais"))</f>
        <v/>
      </c>
      <c r="I13" s="23" t="str">
        <f aca="false">IF(F13="","",IF(F13="Mais",IF(H13="","Informe o mix",IF(H13&gt;=3,"Terceiro pedido de mais neste mix, ou além: baixe as outras fontes e confira o volume de palco","Antes de subir: o que dá para baixar neste mix? A caixa aponta para os ouvidos?")),IF(F13="Menos","Baixe o envio desta fonte só neste mix",IF(F13="Incluir","Abra o envio devagar, a partir do zero, até o músico confirmar",IF(F13="Tirar","Feche o envio desta fonte neste mix",IF(F13="Timbre","Ajuste o EQ da saída deste retorno; o EQ do canal muda também a sala","Descreva o pedido na observação"))))))</f>
        <v/>
      </c>
      <c r="J13" s="9"/>
      <c r="K13" s="24"/>
      <c r="L13" s="5"/>
    </row>
    <row r="14" customFormat="false" ht="24" hidden="false" customHeight="true" outlineLevel="0" collapsed="false">
      <c r="B14" s="18" t="n">
        <v>3</v>
      </c>
      <c r="C14" s="9"/>
      <c r="D14" s="5"/>
      <c r="E14" s="9"/>
      <c r="F14" s="9"/>
      <c r="G14" s="5"/>
      <c r="H14" s="20" t="str">
        <f aca="false">IF(OR(E14="",F14&lt;&gt;"Mais"),"",COUNTIFS(E$12:E14,E14,F$12:F14,"Mais"))</f>
        <v/>
      </c>
      <c r="I14" s="23" t="str">
        <f aca="false">IF(F14="","",IF(F14="Mais",IF(H14="","Informe o mix",IF(H14&gt;=3,"Terceiro pedido de mais neste mix, ou além: baixe as outras fontes e confira o volume de palco","Antes de subir: o que dá para baixar neste mix? A caixa aponta para os ouvidos?")),IF(F14="Menos","Baixe o envio desta fonte só neste mix",IF(F14="Incluir","Abra o envio devagar, a partir do zero, até o músico confirmar",IF(F14="Tirar","Feche o envio desta fonte neste mix",IF(F14="Timbre","Ajuste o EQ da saída deste retorno; o EQ do canal muda também a sala","Descreva o pedido na observação"))))))</f>
        <v/>
      </c>
      <c r="J14" s="9"/>
      <c r="K14" s="24"/>
      <c r="L14" s="5"/>
    </row>
    <row r="15" customFormat="false" ht="24" hidden="false" customHeight="true" outlineLevel="0" collapsed="false">
      <c r="B15" s="18" t="n">
        <v>4</v>
      </c>
      <c r="C15" s="9"/>
      <c r="D15" s="5"/>
      <c r="E15" s="9"/>
      <c r="F15" s="9"/>
      <c r="G15" s="5"/>
      <c r="H15" s="20" t="str">
        <f aca="false">IF(OR(E15="",F15&lt;&gt;"Mais"),"",COUNTIFS(E$12:E15,E15,F$12:F15,"Mais"))</f>
        <v/>
      </c>
      <c r="I15" s="23" t="str">
        <f aca="false">IF(F15="","",IF(F15="Mais",IF(H15="","Informe o mix",IF(H15&gt;=3,"Terceiro pedido de mais neste mix, ou além: baixe as outras fontes e confira o volume de palco","Antes de subir: o que dá para baixar neste mix? A caixa aponta para os ouvidos?")),IF(F15="Menos","Baixe o envio desta fonte só neste mix",IF(F15="Incluir","Abra o envio devagar, a partir do zero, até o músico confirmar",IF(F15="Tirar","Feche o envio desta fonte neste mix",IF(F15="Timbre","Ajuste o EQ da saída deste retorno; o EQ do canal muda também a sala","Descreva o pedido na observação"))))))</f>
        <v/>
      </c>
      <c r="J15" s="9"/>
      <c r="K15" s="24"/>
      <c r="L15" s="5"/>
    </row>
    <row r="16" customFormat="false" ht="24" hidden="false" customHeight="true" outlineLevel="0" collapsed="false">
      <c r="B16" s="18" t="n">
        <v>5</v>
      </c>
      <c r="C16" s="9"/>
      <c r="D16" s="5"/>
      <c r="E16" s="9"/>
      <c r="F16" s="9"/>
      <c r="G16" s="5"/>
      <c r="H16" s="20" t="str">
        <f aca="false">IF(OR(E16="",F16&lt;&gt;"Mais"),"",COUNTIFS(E$12:E16,E16,F$12:F16,"Mais"))</f>
        <v/>
      </c>
      <c r="I16" s="23" t="str">
        <f aca="false">IF(F16="","",IF(F16="Mais",IF(H16="","Informe o mix",IF(H16&gt;=3,"Terceiro pedido de mais neste mix, ou além: baixe as outras fontes e confira o volume de palco","Antes de subir: o que dá para baixar neste mix? A caixa aponta para os ouvidos?")),IF(F16="Menos","Baixe o envio desta fonte só neste mix",IF(F16="Incluir","Abra o envio devagar, a partir do zero, até o músico confirmar",IF(F16="Tirar","Feche o envio desta fonte neste mix",IF(F16="Timbre","Ajuste o EQ da saída deste retorno; o EQ do canal muda também a sala","Descreva o pedido na observação"))))))</f>
        <v/>
      </c>
      <c r="J16" s="9"/>
      <c r="K16" s="24"/>
      <c r="L16" s="5"/>
    </row>
    <row r="17" customFormat="false" ht="24" hidden="false" customHeight="true" outlineLevel="0" collapsed="false">
      <c r="B17" s="18" t="n">
        <v>6</v>
      </c>
      <c r="C17" s="9"/>
      <c r="D17" s="5"/>
      <c r="E17" s="9"/>
      <c r="F17" s="9"/>
      <c r="G17" s="5"/>
      <c r="H17" s="20" t="str">
        <f aca="false">IF(OR(E17="",F17&lt;&gt;"Mais"),"",COUNTIFS(E$12:E17,E17,F$12:F17,"Mais"))</f>
        <v/>
      </c>
      <c r="I17" s="23" t="str">
        <f aca="false">IF(F17="","",IF(F17="Mais",IF(H17="","Informe o mix",IF(H17&gt;=3,"Terceiro pedido de mais neste mix, ou além: baixe as outras fontes e confira o volume de palco","Antes de subir: o que dá para baixar neste mix? A caixa aponta para os ouvidos?")),IF(F17="Menos","Baixe o envio desta fonte só neste mix",IF(F17="Incluir","Abra o envio devagar, a partir do zero, até o músico confirmar",IF(F17="Tirar","Feche o envio desta fonte neste mix",IF(F17="Timbre","Ajuste o EQ da saída deste retorno; o EQ do canal muda também a sala","Descreva o pedido na observação"))))))</f>
        <v/>
      </c>
      <c r="J17" s="9"/>
      <c r="K17" s="24"/>
      <c r="L17" s="5"/>
    </row>
    <row r="18" customFormat="false" ht="24" hidden="false" customHeight="true" outlineLevel="0" collapsed="false">
      <c r="B18" s="18" t="n">
        <v>7</v>
      </c>
      <c r="C18" s="9"/>
      <c r="D18" s="5"/>
      <c r="E18" s="9"/>
      <c r="F18" s="9"/>
      <c r="G18" s="5"/>
      <c r="H18" s="20" t="str">
        <f aca="false">IF(OR(E18="",F18&lt;&gt;"Mais"),"",COUNTIFS(E$12:E18,E18,F$12:F18,"Mais"))</f>
        <v/>
      </c>
      <c r="I18" s="23" t="str">
        <f aca="false">IF(F18="","",IF(F18="Mais",IF(H18="","Informe o mix",IF(H18&gt;=3,"Terceiro pedido de mais neste mix, ou além: baixe as outras fontes e confira o volume de palco","Antes de subir: o que dá para baixar neste mix? A caixa aponta para os ouvidos?")),IF(F18="Menos","Baixe o envio desta fonte só neste mix",IF(F18="Incluir","Abra o envio devagar, a partir do zero, até o músico confirmar",IF(F18="Tirar","Feche o envio desta fonte neste mix",IF(F18="Timbre","Ajuste o EQ da saída deste retorno; o EQ do canal muda também a sala","Descreva o pedido na observação"))))))</f>
        <v/>
      </c>
      <c r="J18" s="9"/>
      <c r="K18" s="24"/>
      <c r="L18" s="5"/>
    </row>
    <row r="19" customFormat="false" ht="24" hidden="false" customHeight="true" outlineLevel="0" collapsed="false">
      <c r="B19" s="18" t="n">
        <v>8</v>
      </c>
      <c r="C19" s="9"/>
      <c r="D19" s="5"/>
      <c r="E19" s="9"/>
      <c r="F19" s="9"/>
      <c r="G19" s="5"/>
      <c r="H19" s="20" t="str">
        <f aca="false">IF(OR(E19="",F19&lt;&gt;"Mais"),"",COUNTIFS(E$12:E19,E19,F$12:F19,"Mais"))</f>
        <v/>
      </c>
      <c r="I19" s="23" t="str">
        <f aca="false">IF(F19="","",IF(F19="Mais",IF(H19="","Informe o mix",IF(H19&gt;=3,"Terceiro pedido de mais neste mix, ou além: baixe as outras fontes e confira o volume de palco","Antes de subir: o que dá para baixar neste mix? A caixa aponta para os ouvidos?")),IF(F19="Menos","Baixe o envio desta fonte só neste mix",IF(F19="Incluir","Abra o envio devagar, a partir do zero, até o músico confirmar",IF(F19="Tirar","Feche o envio desta fonte neste mix",IF(F19="Timbre","Ajuste o EQ da saída deste retorno; o EQ do canal muda também a sala","Descreva o pedido na observação"))))))</f>
        <v/>
      </c>
      <c r="J19" s="9"/>
      <c r="K19" s="24"/>
      <c r="L19" s="5"/>
    </row>
    <row r="20" customFormat="false" ht="24" hidden="false" customHeight="true" outlineLevel="0" collapsed="false">
      <c r="B20" s="18" t="n">
        <v>9</v>
      </c>
      <c r="C20" s="9"/>
      <c r="D20" s="5"/>
      <c r="E20" s="9"/>
      <c r="F20" s="9"/>
      <c r="G20" s="5"/>
      <c r="H20" s="20" t="str">
        <f aca="false">IF(OR(E20="",F20&lt;&gt;"Mais"),"",COUNTIFS(E$12:E20,E20,F$12:F20,"Mais"))</f>
        <v/>
      </c>
      <c r="I20" s="23" t="str">
        <f aca="false">IF(F20="","",IF(F20="Mais",IF(H20="","Informe o mix",IF(H20&gt;=3,"Terceiro pedido de mais neste mix, ou além: baixe as outras fontes e confira o volume de palco","Antes de subir: o que dá para baixar neste mix? A caixa aponta para os ouvidos?")),IF(F20="Menos","Baixe o envio desta fonte só neste mix",IF(F20="Incluir","Abra o envio devagar, a partir do zero, até o músico confirmar",IF(F20="Tirar","Feche o envio desta fonte neste mix",IF(F20="Timbre","Ajuste o EQ da saída deste retorno; o EQ do canal muda também a sala","Descreva o pedido na observação"))))))</f>
        <v/>
      </c>
      <c r="J20" s="9"/>
      <c r="K20" s="24"/>
      <c r="L20" s="5"/>
    </row>
    <row r="21" customFormat="false" ht="24" hidden="false" customHeight="true" outlineLevel="0" collapsed="false">
      <c r="B21" s="18" t="n">
        <v>10</v>
      </c>
      <c r="C21" s="9"/>
      <c r="D21" s="5"/>
      <c r="E21" s="9"/>
      <c r="F21" s="9"/>
      <c r="G21" s="5"/>
      <c r="H21" s="20" t="str">
        <f aca="false">IF(OR(E21="",F21&lt;&gt;"Mais"),"",COUNTIFS(E$12:E21,E21,F$12:F21,"Mais"))</f>
        <v/>
      </c>
      <c r="I21" s="23" t="str">
        <f aca="false">IF(F21="","",IF(F21="Mais",IF(H21="","Informe o mix",IF(H21&gt;=3,"Terceiro pedido de mais neste mix, ou além: baixe as outras fontes e confira o volume de palco","Antes de subir: o que dá para baixar neste mix? A caixa aponta para os ouvidos?")),IF(F21="Menos","Baixe o envio desta fonte só neste mix",IF(F21="Incluir","Abra o envio devagar, a partir do zero, até o músico confirmar",IF(F21="Tirar","Feche o envio desta fonte neste mix",IF(F21="Timbre","Ajuste o EQ da saída deste retorno; o EQ do canal muda também a sala","Descreva o pedido na observação"))))))</f>
        <v/>
      </c>
      <c r="J21" s="9"/>
      <c r="K21" s="24"/>
      <c r="L21" s="5"/>
    </row>
    <row r="22" customFormat="false" ht="24" hidden="false" customHeight="true" outlineLevel="0" collapsed="false">
      <c r="B22" s="18" t="n">
        <v>11</v>
      </c>
      <c r="C22" s="9"/>
      <c r="D22" s="5"/>
      <c r="E22" s="9"/>
      <c r="F22" s="9"/>
      <c r="G22" s="5"/>
      <c r="H22" s="20" t="str">
        <f aca="false">IF(OR(E22="",F22&lt;&gt;"Mais"),"",COUNTIFS(E$12:E22,E22,F$12:F22,"Mais"))</f>
        <v/>
      </c>
      <c r="I22" s="23" t="str">
        <f aca="false">IF(F22="","",IF(F22="Mais",IF(H22="","Informe o mix",IF(H22&gt;=3,"Terceiro pedido de mais neste mix, ou além: baixe as outras fontes e confira o volume de palco","Antes de subir: o que dá para baixar neste mix? A caixa aponta para os ouvidos?")),IF(F22="Menos","Baixe o envio desta fonte só neste mix",IF(F22="Incluir","Abra o envio devagar, a partir do zero, até o músico confirmar",IF(F22="Tirar","Feche o envio desta fonte neste mix",IF(F22="Timbre","Ajuste o EQ da saída deste retorno; o EQ do canal muda também a sala","Descreva o pedido na observação"))))))</f>
        <v/>
      </c>
      <c r="J22" s="9"/>
      <c r="K22" s="24"/>
      <c r="L22" s="5"/>
    </row>
    <row r="23" customFormat="false" ht="24" hidden="false" customHeight="true" outlineLevel="0" collapsed="false">
      <c r="B23" s="18" t="n">
        <v>12</v>
      </c>
      <c r="C23" s="9"/>
      <c r="D23" s="5"/>
      <c r="E23" s="9"/>
      <c r="F23" s="9"/>
      <c r="G23" s="5"/>
      <c r="H23" s="20" t="str">
        <f aca="false">IF(OR(E23="",F23&lt;&gt;"Mais"),"",COUNTIFS(E$12:E23,E23,F$12:F23,"Mais"))</f>
        <v/>
      </c>
      <c r="I23" s="23" t="str">
        <f aca="false">IF(F23="","",IF(F23="Mais",IF(H23="","Informe o mix",IF(H23&gt;=3,"Terceiro pedido de mais neste mix, ou além: baixe as outras fontes e confira o volume de palco","Antes de subir: o que dá para baixar neste mix? A caixa aponta para os ouvidos?")),IF(F23="Menos","Baixe o envio desta fonte só neste mix",IF(F23="Incluir","Abra o envio devagar, a partir do zero, até o músico confirmar",IF(F23="Tirar","Feche o envio desta fonte neste mix",IF(F23="Timbre","Ajuste o EQ da saída deste retorno; o EQ do canal muda também a sala","Descreva o pedido na observação"))))))</f>
        <v/>
      </c>
      <c r="J23" s="9"/>
      <c r="K23" s="24"/>
      <c r="L23" s="5"/>
    </row>
    <row r="24" customFormat="false" ht="24" hidden="false" customHeight="true" outlineLevel="0" collapsed="false">
      <c r="B24" s="18" t="n">
        <v>13</v>
      </c>
      <c r="C24" s="9"/>
      <c r="D24" s="5"/>
      <c r="E24" s="9"/>
      <c r="F24" s="9"/>
      <c r="G24" s="5"/>
      <c r="H24" s="20" t="str">
        <f aca="false">IF(OR(E24="",F24&lt;&gt;"Mais"),"",COUNTIFS(E$12:E24,E24,F$12:F24,"Mais"))</f>
        <v/>
      </c>
      <c r="I24" s="23" t="str">
        <f aca="false">IF(F24="","",IF(F24="Mais",IF(H24="","Informe o mix",IF(H24&gt;=3,"Terceiro pedido de mais neste mix, ou além: baixe as outras fontes e confira o volume de palco","Antes de subir: o que dá para baixar neste mix? A caixa aponta para os ouvidos?")),IF(F24="Menos","Baixe o envio desta fonte só neste mix",IF(F24="Incluir","Abra o envio devagar, a partir do zero, até o músico confirmar",IF(F24="Tirar","Feche o envio desta fonte neste mix",IF(F24="Timbre","Ajuste o EQ da saída deste retorno; o EQ do canal muda também a sala","Descreva o pedido na observação"))))))</f>
        <v/>
      </c>
      <c r="J24" s="9"/>
      <c r="K24" s="24"/>
      <c r="L24" s="5"/>
    </row>
    <row r="25" customFormat="false" ht="24" hidden="false" customHeight="true" outlineLevel="0" collapsed="false">
      <c r="B25" s="18" t="n">
        <v>14</v>
      </c>
      <c r="C25" s="9"/>
      <c r="D25" s="5"/>
      <c r="E25" s="9"/>
      <c r="F25" s="9"/>
      <c r="G25" s="5"/>
      <c r="H25" s="20" t="str">
        <f aca="false">IF(OR(E25="",F25&lt;&gt;"Mais"),"",COUNTIFS(E$12:E25,E25,F$12:F25,"Mais"))</f>
        <v/>
      </c>
      <c r="I25" s="23" t="str">
        <f aca="false">IF(F25="","",IF(F25="Mais",IF(H25="","Informe o mix",IF(H25&gt;=3,"Terceiro pedido de mais neste mix, ou além: baixe as outras fontes e confira o volume de palco","Antes de subir: o que dá para baixar neste mix? A caixa aponta para os ouvidos?")),IF(F25="Menos","Baixe o envio desta fonte só neste mix",IF(F25="Incluir","Abra o envio devagar, a partir do zero, até o músico confirmar",IF(F25="Tirar","Feche o envio desta fonte neste mix",IF(F25="Timbre","Ajuste o EQ da saída deste retorno; o EQ do canal muda também a sala","Descreva o pedido na observação"))))))</f>
        <v/>
      </c>
      <c r="J25" s="9"/>
      <c r="K25" s="24"/>
      <c r="L25" s="5"/>
    </row>
    <row r="26" customFormat="false" ht="24" hidden="false" customHeight="true" outlineLevel="0" collapsed="false">
      <c r="B26" s="18" t="n">
        <v>15</v>
      </c>
      <c r="C26" s="9"/>
      <c r="D26" s="5"/>
      <c r="E26" s="9"/>
      <c r="F26" s="9"/>
      <c r="G26" s="5"/>
      <c r="H26" s="20" t="str">
        <f aca="false">IF(OR(E26="",F26&lt;&gt;"Mais"),"",COUNTIFS(E$12:E26,E26,F$12:F26,"Mais"))</f>
        <v/>
      </c>
      <c r="I26" s="23" t="str">
        <f aca="false">IF(F26="","",IF(F26="Mais",IF(H26="","Informe o mix",IF(H26&gt;=3,"Terceiro pedido de mais neste mix, ou além: baixe as outras fontes e confira o volume de palco","Antes de subir: o que dá para baixar neste mix? A caixa aponta para os ouvidos?")),IF(F26="Menos","Baixe o envio desta fonte só neste mix",IF(F26="Incluir","Abra o envio devagar, a partir do zero, até o músico confirmar",IF(F26="Tirar","Feche o envio desta fonte neste mix",IF(F26="Timbre","Ajuste o EQ da saída deste retorno; o EQ do canal muda também a sala","Descreva o pedido na observação"))))))</f>
        <v/>
      </c>
      <c r="J26" s="9"/>
      <c r="K26" s="24"/>
      <c r="L26" s="5"/>
    </row>
    <row r="27" customFormat="false" ht="24" hidden="false" customHeight="true" outlineLevel="0" collapsed="false">
      <c r="B27" s="18" t="n">
        <v>16</v>
      </c>
      <c r="C27" s="9"/>
      <c r="D27" s="5"/>
      <c r="E27" s="9"/>
      <c r="F27" s="9"/>
      <c r="G27" s="5"/>
      <c r="H27" s="20" t="str">
        <f aca="false">IF(OR(E27="",F27&lt;&gt;"Mais"),"",COUNTIFS(E$12:E27,E27,F$12:F27,"Mais"))</f>
        <v/>
      </c>
      <c r="I27" s="23" t="str">
        <f aca="false">IF(F27="","",IF(F27="Mais",IF(H27="","Informe o mix",IF(H27&gt;=3,"Terceiro pedido de mais neste mix, ou além: baixe as outras fontes e confira o volume de palco","Antes de subir: o que dá para baixar neste mix? A caixa aponta para os ouvidos?")),IF(F27="Menos","Baixe o envio desta fonte só neste mix",IF(F27="Incluir","Abra o envio devagar, a partir do zero, até o músico confirmar",IF(F27="Tirar","Feche o envio desta fonte neste mix",IF(F27="Timbre","Ajuste o EQ da saída deste retorno; o EQ do canal muda também a sala","Descreva o pedido na observação"))))))</f>
        <v/>
      </c>
      <c r="J27" s="9"/>
      <c r="K27" s="24"/>
      <c r="L27" s="5"/>
    </row>
    <row r="28" customFormat="false" ht="24" hidden="false" customHeight="true" outlineLevel="0" collapsed="false">
      <c r="B28" s="18" t="n">
        <v>17</v>
      </c>
      <c r="C28" s="9"/>
      <c r="D28" s="5"/>
      <c r="E28" s="9"/>
      <c r="F28" s="9"/>
      <c r="G28" s="5"/>
      <c r="H28" s="20" t="str">
        <f aca="false">IF(OR(E28="",F28&lt;&gt;"Mais"),"",COUNTIFS(E$12:E28,E28,F$12:F28,"Mais"))</f>
        <v/>
      </c>
      <c r="I28" s="23" t="str">
        <f aca="false">IF(F28="","",IF(F28="Mais",IF(H28="","Informe o mix",IF(H28&gt;=3,"Terceiro pedido de mais neste mix, ou além: baixe as outras fontes e confira o volume de palco","Antes de subir: o que dá para baixar neste mix? A caixa aponta para os ouvidos?")),IF(F28="Menos","Baixe o envio desta fonte só neste mix",IF(F28="Incluir","Abra o envio devagar, a partir do zero, até o músico confirmar",IF(F28="Tirar","Feche o envio desta fonte neste mix",IF(F28="Timbre","Ajuste o EQ da saída deste retorno; o EQ do canal muda também a sala","Descreva o pedido na observação"))))))</f>
        <v/>
      </c>
      <c r="J28" s="9"/>
      <c r="K28" s="24"/>
      <c r="L28" s="5"/>
    </row>
    <row r="29" customFormat="false" ht="24" hidden="false" customHeight="true" outlineLevel="0" collapsed="false">
      <c r="B29" s="18" t="n">
        <v>18</v>
      </c>
      <c r="C29" s="9"/>
      <c r="D29" s="5"/>
      <c r="E29" s="9"/>
      <c r="F29" s="9"/>
      <c r="G29" s="5"/>
      <c r="H29" s="20" t="str">
        <f aca="false">IF(OR(E29="",F29&lt;&gt;"Mais"),"",COUNTIFS(E$12:E29,E29,F$12:F29,"Mais"))</f>
        <v/>
      </c>
      <c r="I29" s="23" t="str">
        <f aca="false">IF(F29="","",IF(F29="Mais",IF(H29="","Informe o mix",IF(H29&gt;=3,"Terceiro pedido de mais neste mix, ou além: baixe as outras fontes e confira o volume de palco","Antes de subir: o que dá para baixar neste mix? A caixa aponta para os ouvidos?")),IF(F29="Menos","Baixe o envio desta fonte só neste mix",IF(F29="Incluir","Abra o envio devagar, a partir do zero, até o músico confirmar",IF(F29="Tirar","Feche o envio desta fonte neste mix",IF(F29="Timbre","Ajuste o EQ da saída deste retorno; o EQ do canal muda também a sala","Descreva o pedido na observação"))))))</f>
        <v/>
      </c>
      <c r="J29" s="9"/>
      <c r="K29" s="24"/>
      <c r="L29" s="5"/>
    </row>
    <row r="30" customFormat="false" ht="24" hidden="false" customHeight="true" outlineLevel="0" collapsed="false">
      <c r="B30" s="18" t="n">
        <v>19</v>
      </c>
      <c r="C30" s="9"/>
      <c r="D30" s="5"/>
      <c r="E30" s="9"/>
      <c r="F30" s="9"/>
      <c r="G30" s="5"/>
      <c r="H30" s="20" t="str">
        <f aca="false">IF(OR(E30="",F30&lt;&gt;"Mais"),"",COUNTIFS(E$12:E30,E30,F$12:F30,"Mais"))</f>
        <v/>
      </c>
      <c r="I30" s="23" t="str">
        <f aca="false">IF(F30="","",IF(F30="Mais",IF(H30="","Informe o mix",IF(H30&gt;=3,"Terceiro pedido de mais neste mix, ou além: baixe as outras fontes e confira o volume de palco","Antes de subir: o que dá para baixar neste mix? A caixa aponta para os ouvidos?")),IF(F30="Menos","Baixe o envio desta fonte só neste mix",IF(F30="Incluir","Abra o envio devagar, a partir do zero, até o músico confirmar",IF(F30="Tirar","Feche o envio desta fonte neste mix",IF(F30="Timbre","Ajuste o EQ da saída deste retorno; o EQ do canal muda também a sala","Descreva o pedido na observação"))))))</f>
        <v/>
      </c>
      <c r="J30" s="9"/>
      <c r="K30" s="24"/>
      <c r="L30" s="5"/>
    </row>
    <row r="31" customFormat="false" ht="24" hidden="false" customHeight="true" outlineLevel="0" collapsed="false">
      <c r="B31" s="18" t="n">
        <v>20</v>
      </c>
      <c r="C31" s="9"/>
      <c r="D31" s="5"/>
      <c r="E31" s="9"/>
      <c r="F31" s="9"/>
      <c r="G31" s="5"/>
      <c r="H31" s="20" t="str">
        <f aca="false">IF(OR(E31="",F31&lt;&gt;"Mais"),"",COUNTIFS(E$12:E31,E31,F$12:F31,"Mais"))</f>
        <v/>
      </c>
      <c r="I31" s="23" t="str">
        <f aca="false">IF(F31="","",IF(F31="Mais",IF(H31="","Informe o mix",IF(H31&gt;=3,"Terceiro pedido de mais neste mix, ou além: baixe as outras fontes e confira o volume de palco","Antes de subir: o que dá para baixar neste mix? A caixa aponta para os ouvidos?")),IF(F31="Menos","Baixe o envio desta fonte só neste mix",IF(F31="Incluir","Abra o envio devagar, a partir do zero, até o músico confirmar",IF(F31="Tirar","Feche o envio desta fonte neste mix",IF(F31="Timbre","Ajuste o EQ da saída deste retorno; o EQ do canal muda também a sala","Descreva o pedido na observação"))))))</f>
        <v/>
      </c>
      <c r="J31" s="9"/>
      <c r="K31" s="24"/>
      <c r="L31" s="5"/>
    </row>
    <row r="32" customFormat="false" ht="24" hidden="false" customHeight="true" outlineLevel="0" collapsed="false">
      <c r="B32" s="18" t="n">
        <v>21</v>
      </c>
      <c r="C32" s="9"/>
      <c r="D32" s="5"/>
      <c r="E32" s="9"/>
      <c r="F32" s="9"/>
      <c r="G32" s="5"/>
      <c r="H32" s="20" t="str">
        <f aca="false">IF(OR(E32="",F32&lt;&gt;"Mais"),"",COUNTIFS(E$12:E32,E32,F$12:F32,"Mais"))</f>
        <v/>
      </c>
      <c r="I32" s="23" t="str">
        <f aca="false">IF(F32="","",IF(F32="Mais",IF(H32="","Informe o mix",IF(H32&gt;=3,"Terceiro pedido de mais neste mix, ou além: baixe as outras fontes e confira o volume de palco","Antes de subir: o que dá para baixar neste mix? A caixa aponta para os ouvidos?")),IF(F32="Menos","Baixe o envio desta fonte só neste mix",IF(F32="Incluir","Abra o envio devagar, a partir do zero, até o músico confirmar",IF(F32="Tirar","Feche o envio desta fonte neste mix",IF(F32="Timbre","Ajuste o EQ da saída deste retorno; o EQ do canal muda também a sala","Descreva o pedido na observação"))))))</f>
        <v/>
      </c>
      <c r="J32" s="9"/>
      <c r="K32" s="24"/>
      <c r="L32" s="5"/>
    </row>
    <row r="33" customFormat="false" ht="24" hidden="false" customHeight="true" outlineLevel="0" collapsed="false">
      <c r="B33" s="18" t="n">
        <v>22</v>
      </c>
      <c r="C33" s="9"/>
      <c r="D33" s="5"/>
      <c r="E33" s="9"/>
      <c r="F33" s="9"/>
      <c r="G33" s="5"/>
      <c r="H33" s="20" t="str">
        <f aca="false">IF(OR(E33="",F33&lt;&gt;"Mais"),"",COUNTIFS(E$12:E33,E33,F$12:F33,"Mais"))</f>
        <v/>
      </c>
      <c r="I33" s="23" t="str">
        <f aca="false">IF(F33="","",IF(F33="Mais",IF(H33="","Informe o mix",IF(H33&gt;=3,"Terceiro pedido de mais neste mix, ou além: baixe as outras fontes e confira o volume de palco","Antes de subir: o que dá para baixar neste mix? A caixa aponta para os ouvidos?")),IF(F33="Menos","Baixe o envio desta fonte só neste mix",IF(F33="Incluir","Abra o envio devagar, a partir do zero, até o músico confirmar",IF(F33="Tirar","Feche o envio desta fonte neste mix",IF(F33="Timbre","Ajuste o EQ da saída deste retorno; o EQ do canal muda também a sala","Descreva o pedido na observação"))))))</f>
        <v/>
      </c>
      <c r="J33" s="9"/>
      <c r="K33" s="24"/>
      <c r="L33" s="5"/>
    </row>
    <row r="34" customFormat="false" ht="24" hidden="false" customHeight="true" outlineLevel="0" collapsed="false">
      <c r="B34" s="18" t="n">
        <v>23</v>
      </c>
      <c r="C34" s="9"/>
      <c r="D34" s="5"/>
      <c r="E34" s="9"/>
      <c r="F34" s="9"/>
      <c r="G34" s="5"/>
      <c r="H34" s="20" t="str">
        <f aca="false">IF(OR(E34="",F34&lt;&gt;"Mais"),"",COUNTIFS(E$12:E34,E34,F$12:F34,"Mais"))</f>
        <v/>
      </c>
      <c r="I34" s="23" t="str">
        <f aca="false">IF(F34="","",IF(F34="Mais",IF(H34="","Informe o mix",IF(H34&gt;=3,"Terceiro pedido de mais neste mix, ou além: baixe as outras fontes e confira o volume de palco","Antes de subir: o que dá para baixar neste mix? A caixa aponta para os ouvidos?")),IF(F34="Menos","Baixe o envio desta fonte só neste mix",IF(F34="Incluir","Abra o envio devagar, a partir do zero, até o músico confirmar",IF(F34="Tirar","Feche o envio desta fonte neste mix",IF(F34="Timbre","Ajuste o EQ da saída deste retorno; o EQ do canal muda também a sala","Descreva o pedido na observação"))))))</f>
        <v/>
      </c>
      <c r="J34" s="9"/>
      <c r="K34" s="24"/>
      <c r="L34" s="5"/>
    </row>
    <row r="35" customFormat="false" ht="24" hidden="false" customHeight="true" outlineLevel="0" collapsed="false">
      <c r="B35" s="18" t="n">
        <v>24</v>
      </c>
      <c r="C35" s="9"/>
      <c r="D35" s="5"/>
      <c r="E35" s="9"/>
      <c r="F35" s="9"/>
      <c r="G35" s="5"/>
      <c r="H35" s="20" t="str">
        <f aca="false">IF(OR(E35="",F35&lt;&gt;"Mais"),"",COUNTIFS(E$12:E35,E35,F$12:F35,"Mais"))</f>
        <v/>
      </c>
      <c r="I35" s="23" t="str">
        <f aca="false">IF(F35="","",IF(F35="Mais",IF(H35="","Informe o mix",IF(H35&gt;=3,"Terceiro pedido de mais neste mix, ou além: baixe as outras fontes e confira o volume de palco","Antes de subir: o que dá para baixar neste mix? A caixa aponta para os ouvidos?")),IF(F35="Menos","Baixe o envio desta fonte só neste mix",IF(F35="Incluir","Abra o envio devagar, a partir do zero, até o músico confirmar",IF(F35="Tirar","Feche o envio desta fonte neste mix",IF(F35="Timbre","Ajuste o EQ da saída deste retorno; o EQ do canal muda também a sala","Descreva o pedido na observação"))))))</f>
        <v/>
      </c>
      <c r="J35" s="9"/>
      <c r="K35" s="24"/>
      <c r="L35" s="5"/>
    </row>
    <row r="37" customFormat="false" ht="21.75" hidden="false" customHeight="true" outlineLevel="0" collapsed="false">
      <c r="B37" s="12" t="s">
        <v>109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customFormat="false" ht="19.5" hidden="false" customHeight="true" outlineLevel="0" collapsed="false">
      <c r="B38" s="16" t="s">
        <v>142</v>
      </c>
      <c r="C38" s="16"/>
      <c r="D38" s="16"/>
      <c r="E38" s="16"/>
      <c r="F38" s="8" t="n">
        <f aca="false">COUNTA(F12:F35)</f>
        <v>0</v>
      </c>
    </row>
    <row r="39" customFormat="false" ht="19.5" hidden="false" customHeight="true" outlineLevel="0" collapsed="false">
      <c r="B39" s="16" t="s">
        <v>143</v>
      </c>
      <c r="C39" s="16"/>
      <c r="D39" s="16"/>
      <c r="E39" s="16"/>
      <c r="F39" s="8" t="n">
        <f aca="false">COUNTIF(F12:F35,"Mais")</f>
        <v>0</v>
      </c>
    </row>
    <row r="40" customFormat="false" ht="19.5" hidden="false" customHeight="true" outlineLevel="0" collapsed="false">
      <c r="B40" s="16" t="s">
        <v>144</v>
      </c>
      <c r="C40" s="16"/>
      <c r="D40" s="16"/>
      <c r="E40" s="16"/>
      <c r="F40" s="8" t="n">
        <f aca="false">COUNTIF(F12:F35,"Menos")+COUNTIF(F12:F35,"Tirar")</f>
        <v>0</v>
      </c>
    </row>
    <row r="41" customFormat="false" ht="19.5" hidden="false" customHeight="true" outlineLevel="0" collapsed="false">
      <c r="B41" s="16" t="s">
        <v>145</v>
      </c>
      <c r="C41" s="16"/>
      <c r="D41" s="16"/>
      <c r="E41" s="16"/>
      <c r="F41" s="8" t="n">
        <f aca="false">COUNTIF(J12:J35,"Sim")</f>
        <v>0</v>
      </c>
    </row>
    <row r="42" customFormat="false" ht="19.5" hidden="false" customHeight="true" outlineLevel="0" collapsed="false">
      <c r="B42" s="16" t="s">
        <v>146</v>
      </c>
      <c r="C42" s="16"/>
      <c r="D42" s="16"/>
      <c r="E42" s="16"/>
      <c r="F42" s="8" t="n">
        <f aca="false">F38-F41</f>
        <v>0</v>
      </c>
    </row>
    <row r="43" customFormat="false" ht="19.5" hidden="false" customHeight="true" outlineLevel="0" collapsed="false">
      <c r="B43" s="16" t="s">
        <v>147</v>
      </c>
      <c r="C43" s="16"/>
      <c r="D43" s="16"/>
      <c r="E43" s="16"/>
      <c r="F43" s="8" t="n">
        <f aca="false">MAX(H12:H35)</f>
        <v>0</v>
      </c>
    </row>
    <row r="44" customFormat="false" ht="21.75" hidden="false" customHeight="true" outlineLevel="0" collapsed="false">
      <c r="B44" s="16" t="s">
        <v>115</v>
      </c>
      <c r="C44" s="16"/>
      <c r="D44" s="16"/>
      <c r="E44" s="16"/>
      <c r="F44" s="21" t="str">
        <f aca="false">IF(F38=0,"Registre os pedidos",IF(F42&gt;0,"Há pedido pendente: resolva antes do evento",IF(F43&gt;=3,"Há mix com três ou mais pedidos de mais: reveja as fontes do mix e o volume de palco","OK")))</f>
        <v>Registre os pedidos</v>
      </c>
      <c r="G44" s="21"/>
      <c r="H44" s="21"/>
      <c r="I44" s="21"/>
      <c r="J44" s="21"/>
      <c r="K44" s="21"/>
      <c r="L44" s="21"/>
    </row>
  </sheetData>
  <mergeCells count="21">
    <mergeCell ref="B1:L1"/>
    <mergeCell ref="B2:L2"/>
    <mergeCell ref="B4:C4"/>
    <mergeCell ref="D4:G4"/>
    <mergeCell ref="H4:L4"/>
    <mergeCell ref="B5:C5"/>
    <mergeCell ref="D5:G5"/>
    <mergeCell ref="H5:L5"/>
    <mergeCell ref="B6:C6"/>
    <mergeCell ref="D6:G6"/>
    <mergeCell ref="H6:L6"/>
    <mergeCell ref="B8:L8"/>
    <mergeCell ref="B37:L37"/>
    <mergeCell ref="B38:E38"/>
    <mergeCell ref="B39:E39"/>
    <mergeCell ref="B40:E40"/>
    <mergeCell ref="B41:E41"/>
    <mergeCell ref="B42:E42"/>
    <mergeCell ref="B43:E43"/>
    <mergeCell ref="B44:E44"/>
    <mergeCell ref="F44:L44"/>
  </mergeCells>
  <conditionalFormatting sqref="J12:J35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3">
      <formula>"Não"</formula>
    </cfRule>
  </conditionalFormatting>
  <conditionalFormatting sqref="H12:H35">
    <cfRule type="cellIs" priority="5" operator="greaterThanOrEqual" aboveAverage="0" equalAverage="0" bottom="0" percent="0" rank="0" text="" dxfId="3">
      <formula>3</formula>
    </cfRule>
  </conditionalFormatting>
  <conditionalFormatting sqref="F44:L44">
    <cfRule type="cellIs" priority="6" operator="equal" aboveAverage="0" equalAverage="0" bottom="0" percent="0" rank="0" text="" dxfId="2">
      <formula>"OK"</formula>
    </cfRule>
    <cfRule type="cellIs" priority="7" operator="notEqual" aboveAverage="0" equalAverage="0" bottom="0" percent="0" rank="0" text="" dxfId="4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Passagem ou Evento." promptTitle="Opções" showDropDown="false" showErrorMessage="true" showInputMessage="true" sqref="C12:C35" type="list">
      <formula1>"Passagem,Evento"</formula1>
      <formula2>0</formula2>
    </dataValidation>
    <dataValidation allowBlank="true" error="Escolha uma das opções da lista." errorStyle="stop" errorTitle="Valor inválido" operator="between" prompt="O mix do músico, como na aba Matriz de retornos." promptTitle="Opções" showDropDown="false" showErrorMessage="true" showInputMessage="true" sqref="E12:E35" type="list">
      <formula1>"Mix 1,Mix 2,Mix 3,Mix 4,Mix 5,Mix 6,Mix 7,Mix 8"</formula1>
      <formula2>0</formula2>
    </dataValidation>
    <dataValidation allowBlank="true" error="Escolha uma das opções da lista." errorStyle="stop" errorTitle="Valor inválido" operator="between" prompt="Mais, Menos, Incluir, Tirar, Timbre ou Outro." promptTitle="Opções" showDropDown="false" showErrorMessage="true" showInputMessage="true" sqref="F12:F35" type="list">
      <formula1>"Mais,Menos,Incluir,Tirar,Timbre,Outro"</formula1>
      <formula2>0</formula2>
    </dataValidation>
    <dataValidation allowBlank="true" error="Escolha uma das opções da lista." errorStyle="stop" errorTitle="Valor inválido" operator="between" prompt="Sim, Parcial ou Não." promptTitle="Opções" showDropDown="false" showErrorMessage="true" showInputMessage="true" sqref="J12:J35" type="list">
      <formula1>"Sim,Parcial,Não"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12:K35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5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10" t="s">
        <v>150</v>
      </c>
      <c r="H4" s="10"/>
      <c r="I4" s="10"/>
      <c r="J4" s="10"/>
      <c r="K4" s="10"/>
      <c r="L4" s="10"/>
      <c r="M4" s="10"/>
      <c r="N4" s="10"/>
      <c r="O4" s="10"/>
    </row>
    <row r="5" customFormat="false" ht="21.75" hidden="false" customHeight="true" outlineLevel="0" collapsed="false">
      <c r="B5" s="4" t="s">
        <v>67</v>
      </c>
      <c r="C5" s="4"/>
      <c r="D5" s="11"/>
      <c r="E5" s="11"/>
      <c r="F5" s="11"/>
      <c r="G5" s="10" t="s">
        <v>151</v>
      </c>
      <c r="H5" s="10"/>
      <c r="I5" s="10"/>
      <c r="J5" s="10"/>
      <c r="K5" s="10"/>
      <c r="L5" s="10"/>
      <c r="M5" s="10"/>
      <c r="N5" s="10"/>
      <c r="O5" s="10"/>
    </row>
    <row r="6" customFormat="false" ht="21.75" hidden="false" customHeight="true" outlineLevel="0" collapsed="false">
      <c r="B6" s="4" t="s">
        <v>69</v>
      </c>
      <c r="C6" s="4"/>
      <c r="D6" s="5"/>
      <c r="E6" s="5"/>
      <c r="F6" s="5"/>
      <c r="G6" s="10" t="s">
        <v>152</v>
      </c>
      <c r="H6" s="10"/>
      <c r="I6" s="10"/>
      <c r="J6" s="10"/>
      <c r="K6" s="10"/>
      <c r="L6" s="10"/>
      <c r="M6" s="10"/>
      <c r="N6" s="10"/>
      <c r="O6" s="10"/>
    </row>
    <row r="8" customFormat="false" ht="21.75" hidden="false" customHeight="true" outlineLevel="0" collapsed="false">
      <c r="B8" s="12" t="s">
        <v>153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30" hidden="false" customHeight="true" outlineLevel="0" collapsed="false">
      <c r="B9" s="13" t="s">
        <v>106</v>
      </c>
      <c r="C9" s="13" t="s">
        <v>107</v>
      </c>
      <c r="D9" s="13" t="s">
        <v>88</v>
      </c>
      <c r="E9" s="14" t="s">
        <v>87</v>
      </c>
      <c r="F9" s="14" t="s">
        <v>154</v>
      </c>
      <c r="G9" s="14" t="s">
        <v>155</v>
      </c>
      <c r="H9" s="15" t="s">
        <v>156</v>
      </c>
      <c r="I9" s="14" t="s">
        <v>157</v>
      </c>
      <c r="J9" s="14" t="s">
        <v>158</v>
      </c>
      <c r="K9" s="14" t="s">
        <v>159</v>
      </c>
      <c r="L9" s="14" t="s">
        <v>160</v>
      </c>
      <c r="M9" s="15" t="s">
        <v>104</v>
      </c>
      <c r="N9" s="15" t="s">
        <v>108</v>
      </c>
      <c r="O9" s="13" t="s">
        <v>85</v>
      </c>
    </row>
    <row r="10" customFormat="false" ht="21.75" hidden="false" customHeight="true" outlineLevel="0" collapsed="false">
      <c r="B10" s="17" t="s">
        <v>89</v>
      </c>
      <c r="C10" s="17" t="s">
        <v>161</v>
      </c>
      <c r="D10" s="17" t="s">
        <v>162</v>
      </c>
      <c r="E10" s="17" t="s">
        <v>91</v>
      </c>
      <c r="F10" s="17" t="s">
        <v>91</v>
      </c>
      <c r="G10" s="17" t="s">
        <v>163</v>
      </c>
      <c r="H10" s="17" t="s">
        <v>163</v>
      </c>
      <c r="I10" s="17" t="s">
        <v>164</v>
      </c>
      <c r="J10" s="17" t="s">
        <v>165</v>
      </c>
      <c r="K10" s="17" t="s">
        <v>92</v>
      </c>
      <c r="L10" s="17" t="s">
        <v>92</v>
      </c>
      <c r="M10" s="17"/>
      <c r="N10" s="17"/>
      <c r="O10" s="17"/>
    </row>
    <row r="11" customFormat="false" ht="27" hidden="false" customHeight="true" outlineLevel="0" collapsed="false">
      <c r="B11" s="17" t="s">
        <v>95</v>
      </c>
      <c r="C11" s="10" t="s">
        <v>137</v>
      </c>
      <c r="D11" s="17" t="s">
        <v>166</v>
      </c>
      <c r="E11" s="17" t="s">
        <v>167</v>
      </c>
      <c r="F11" s="17" t="s">
        <v>168</v>
      </c>
      <c r="G11" s="17" t="n">
        <v>180</v>
      </c>
      <c r="H11" s="17" t="s">
        <v>169</v>
      </c>
      <c r="I11" s="17" t="n">
        <v>1.5</v>
      </c>
      <c r="J11" s="17" t="n">
        <v>120</v>
      </c>
      <c r="K11" s="17" t="s">
        <v>98</v>
      </c>
      <c r="L11" s="17"/>
      <c r="M11" s="17" t="s">
        <v>170</v>
      </c>
      <c r="N11" s="10" t="s">
        <v>171</v>
      </c>
      <c r="O11" s="10"/>
    </row>
    <row r="12" customFormat="false" ht="27" hidden="false" customHeight="true" outlineLevel="0" collapsed="false">
      <c r="B12" s="18" t="n">
        <v>1</v>
      </c>
      <c r="C12" s="5"/>
      <c r="D12" s="9"/>
      <c r="E12" s="9"/>
      <c r="F12" s="9"/>
      <c r="G12" s="9"/>
      <c r="H12" s="19" t="str">
        <f aca="false">IF(OR(E12&lt;&gt;"Caixa de chão",F12=""),"",IF(F12="Cardioide","150 a 180",IF(F12="Supercardioide","105 a 145",IF(F12="Hipercardioide","95 a 125",IF(F12="Omni","não há","")))))</f>
        <v/>
      </c>
      <c r="I12" s="25"/>
      <c r="J12" s="9"/>
      <c r="K12" s="9"/>
      <c r="L12" s="9"/>
      <c r="M12" s="20" t="str">
        <f aca="false">IF(E12="","",IF(OR(E12="In-ear com fio",E12="In-ear sem fio",E12="Pessoal"),IF(L12="Sim","OK",IF(L12="","Falta dado","Limitador")),IF(AND(E12="Caixa de chão",F12="Omni"),"Omni",IF(AND(E12="Caixa de chão",F12=""),"Falta dado",IF(AND(E12="Caixa de chão",OR(F12="Cardioide",F12="Supercardioide",F12="Hipercardioide"),G12=""),"Falta dado",IF(AND(E12="Caixa de chão",OR(F12="Cardioide",F12="Supercardioide",F12="Hipercardioide"),OR(AND(F12="Cardioide",G12&lt;150),AND(F12="Supercardioide",OR(G12&lt;105,G12&gt;145)),AND(F12="Hipercardioide",OR(G12&lt;95,G12&gt;125)))),"Posição",IF(K12="Sim","OK",IF(K12="","Falta dado","Ring-out"))))))))</f>
        <v/>
      </c>
      <c r="N12" s="23" t="str">
        <f aca="false">IF(M12="","",IF(M12="OK","Manter",IF(M12="Limitador","Ligue o limitador do receptor ou do amplificador de fones antes de o músico pôr os fones",IF(M12="Omni","Microfone omnidirecional capta a caixa de todos os lados: troque o microfone ou use fone",IF(M12="Posição",IF(F12="Cardioide","Leve a caixa para trás do microfone, perto de 180 graus",IF(F12="Supercardioide","Leve a caixa para a diagonal traseira do microfone, perto de 125 graus","Leve a caixa para a diagonal do microfone, perto de 110 graus")),IF(M12="Ring-out","Faça o ring-out desta saída antes de montar a mistura","Preencha o padrão polar, o ângulo e as colunas Sim / Não desta linha"))))))</f>
        <v/>
      </c>
      <c r="O12" s="5"/>
    </row>
    <row r="13" customFormat="false" ht="27" hidden="false" customHeight="true" outlineLevel="0" collapsed="false">
      <c r="B13" s="18" t="n">
        <v>2</v>
      </c>
      <c r="C13" s="5"/>
      <c r="D13" s="9"/>
      <c r="E13" s="9"/>
      <c r="F13" s="9"/>
      <c r="G13" s="9"/>
      <c r="H13" s="19" t="str">
        <f aca="false">IF(OR(E13&lt;&gt;"Caixa de chão",F13=""),"",IF(F13="Cardioide","150 a 180",IF(F13="Supercardioide","105 a 145",IF(F13="Hipercardioide","95 a 125",IF(F13="Omni","não há","")))))</f>
        <v/>
      </c>
      <c r="I13" s="25"/>
      <c r="J13" s="9"/>
      <c r="K13" s="9"/>
      <c r="L13" s="9"/>
      <c r="M13" s="20" t="str">
        <f aca="false">IF(E13="","",IF(OR(E13="In-ear com fio",E13="In-ear sem fio",E13="Pessoal"),IF(L13="Sim","OK",IF(L13="","Falta dado","Limitador")),IF(AND(E13="Caixa de chão",F13="Omni"),"Omni",IF(AND(E13="Caixa de chão",F13=""),"Falta dado",IF(AND(E13="Caixa de chão",OR(F13="Cardioide",F13="Supercardioide",F13="Hipercardioide"),G13=""),"Falta dado",IF(AND(E13="Caixa de chão",OR(F13="Cardioide",F13="Supercardioide",F13="Hipercardioide"),OR(AND(F13="Cardioide",G13&lt;150),AND(F13="Supercardioide",OR(G13&lt;105,G13&gt;145)),AND(F13="Hipercardioide",OR(G13&lt;95,G13&gt;125)))),"Posição",IF(K13="Sim","OK",IF(K13="","Falta dado","Ring-out"))))))))</f>
        <v/>
      </c>
      <c r="N13" s="23" t="str">
        <f aca="false">IF(M13="","",IF(M13="OK","Manter",IF(M13="Limitador","Ligue o limitador do receptor ou do amplificador de fones antes de o músico pôr os fones",IF(M13="Omni","Microfone omnidirecional capta a caixa de todos os lados: troque o microfone ou use fone",IF(M13="Posição",IF(F13="Cardioide","Leve a caixa para trás do microfone, perto de 180 graus",IF(F13="Supercardioide","Leve a caixa para a diagonal traseira do microfone, perto de 125 graus","Leve a caixa para a diagonal do microfone, perto de 110 graus")),IF(M13="Ring-out","Faça o ring-out desta saída antes de montar a mistura","Preencha o padrão polar, o ângulo e as colunas Sim / Não desta linha"))))))</f>
        <v/>
      </c>
      <c r="O13" s="5"/>
    </row>
    <row r="14" customFormat="false" ht="27" hidden="false" customHeight="true" outlineLevel="0" collapsed="false">
      <c r="B14" s="18" t="n">
        <v>3</v>
      </c>
      <c r="C14" s="5"/>
      <c r="D14" s="9"/>
      <c r="E14" s="9"/>
      <c r="F14" s="9"/>
      <c r="G14" s="9"/>
      <c r="H14" s="19" t="str">
        <f aca="false">IF(OR(E14&lt;&gt;"Caixa de chão",F14=""),"",IF(F14="Cardioide","150 a 180",IF(F14="Supercardioide","105 a 145",IF(F14="Hipercardioide","95 a 125",IF(F14="Omni","não há","")))))</f>
        <v/>
      </c>
      <c r="I14" s="25"/>
      <c r="J14" s="9"/>
      <c r="K14" s="9"/>
      <c r="L14" s="9"/>
      <c r="M14" s="20" t="str">
        <f aca="false">IF(E14="","",IF(OR(E14="In-ear com fio",E14="In-ear sem fio",E14="Pessoal"),IF(L14="Sim","OK",IF(L14="","Falta dado","Limitador")),IF(AND(E14="Caixa de chão",F14="Omni"),"Omni",IF(AND(E14="Caixa de chão",F14=""),"Falta dado",IF(AND(E14="Caixa de chão",OR(F14="Cardioide",F14="Supercardioide",F14="Hipercardioide"),G14=""),"Falta dado",IF(AND(E14="Caixa de chão",OR(F14="Cardioide",F14="Supercardioide",F14="Hipercardioide"),OR(AND(F14="Cardioide",G14&lt;150),AND(F14="Supercardioide",OR(G14&lt;105,G14&gt;145)),AND(F14="Hipercardioide",OR(G14&lt;95,G14&gt;125)))),"Posição",IF(K14="Sim","OK",IF(K14="","Falta dado","Ring-out"))))))))</f>
        <v/>
      </c>
      <c r="N14" s="23" t="str">
        <f aca="false">IF(M14="","",IF(M14="OK","Manter",IF(M14="Limitador","Ligue o limitador do receptor ou do amplificador de fones antes de o músico pôr os fones",IF(M14="Omni","Microfone omnidirecional capta a caixa de todos os lados: troque o microfone ou use fone",IF(M14="Posição",IF(F14="Cardioide","Leve a caixa para trás do microfone, perto de 180 graus",IF(F14="Supercardioide","Leve a caixa para a diagonal traseira do microfone, perto de 125 graus","Leve a caixa para a diagonal do microfone, perto de 110 graus")),IF(M14="Ring-out","Faça o ring-out desta saída antes de montar a mistura","Preencha o padrão polar, o ângulo e as colunas Sim / Não desta linha"))))))</f>
        <v/>
      </c>
      <c r="O14" s="5"/>
    </row>
    <row r="15" customFormat="false" ht="27" hidden="false" customHeight="true" outlineLevel="0" collapsed="false">
      <c r="B15" s="18" t="n">
        <v>4</v>
      </c>
      <c r="C15" s="5"/>
      <c r="D15" s="9"/>
      <c r="E15" s="9"/>
      <c r="F15" s="9"/>
      <c r="G15" s="9"/>
      <c r="H15" s="19" t="str">
        <f aca="false">IF(OR(E15&lt;&gt;"Caixa de chão",F15=""),"",IF(F15="Cardioide","150 a 180",IF(F15="Supercardioide","105 a 145",IF(F15="Hipercardioide","95 a 125",IF(F15="Omni","não há","")))))</f>
        <v/>
      </c>
      <c r="I15" s="25"/>
      <c r="J15" s="9"/>
      <c r="K15" s="9"/>
      <c r="L15" s="9"/>
      <c r="M15" s="20" t="str">
        <f aca="false">IF(E15="","",IF(OR(E15="In-ear com fio",E15="In-ear sem fio",E15="Pessoal"),IF(L15="Sim","OK",IF(L15="","Falta dado","Limitador")),IF(AND(E15="Caixa de chão",F15="Omni"),"Omni",IF(AND(E15="Caixa de chão",F15=""),"Falta dado",IF(AND(E15="Caixa de chão",OR(F15="Cardioide",F15="Supercardioide",F15="Hipercardioide"),G15=""),"Falta dado",IF(AND(E15="Caixa de chão",OR(F15="Cardioide",F15="Supercardioide",F15="Hipercardioide"),OR(AND(F15="Cardioide",G15&lt;150),AND(F15="Supercardioide",OR(G15&lt;105,G15&gt;145)),AND(F15="Hipercardioide",OR(G15&lt;95,G15&gt;125)))),"Posição",IF(K15="Sim","OK",IF(K15="","Falta dado","Ring-out"))))))))</f>
        <v/>
      </c>
      <c r="N15" s="23" t="str">
        <f aca="false">IF(M15="","",IF(M15="OK","Manter",IF(M15="Limitador","Ligue o limitador do receptor ou do amplificador de fones antes de o músico pôr os fones",IF(M15="Omni","Microfone omnidirecional capta a caixa de todos os lados: troque o microfone ou use fone",IF(M15="Posição",IF(F15="Cardioide","Leve a caixa para trás do microfone, perto de 180 graus",IF(F15="Supercardioide","Leve a caixa para a diagonal traseira do microfone, perto de 125 graus","Leve a caixa para a diagonal do microfone, perto de 110 graus")),IF(M15="Ring-out","Faça o ring-out desta saída antes de montar a mistura","Preencha o padrão polar, o ângulo e as colunas Sim / Não desta linha"))))))</f>
        <v/>
      </c>
      <c r="O15" s="5"/>
    </row>
    <row r="16" customFormat="false" ht="27" hidden="false" customHeight="true" outlineLevel="0" collapsed="false">
      <c r="B16" s="18" t="n">
        <v>5</v>
      </c>
      <c r="C16" s="5"/>
      <c r="D16" s="9"/>
      <c r="E16" s="9"/>
      <c r="F16" s="9"/>
      <c r="G16" s="9"/>
      <c r="H16" s="19" t="str">
        <f aca="false">IF(OR(E16&lt;&gt;"Caixa de chão",F16=""),"",IF(F16="Cardioide","150 a 180",IF(F16="Supercardioide","105 a 145",IF(F16="Hipercardioide","95 a 125",IF(F16="Omni","não há","")))))</f>
        <v/>
      </c>
      <c r="I16" s="25"/>
      <c r="J16" s="9"/>
      <c r="K16" s="9"/>
      <c r="L16" s="9"/>
      <c r="M16" s="20" t="str">
        <f aca="false">IF(E16="","",IF(OR(E16="In-ear com fio",E16="In-ear sem fio",E16="Pessoal"),IF(L16="Sim","OK",IF(L16="","Falta dado","Limitador")),IF(AND(E16="Caixa de chão",F16="Omni"),"Omni",IF(AND(E16="Caixa de chão",F16=""),"Falta dado",IF(AND(E16="Caixa de chão",OR(F16="Cardioide",F16="Supercardioide",F16="Hipercardioide"),G16=""),"Falta dado",IF(AND(E16="Caixa de chão",OR(F16="Cardioide",F16="Supercardioide",F16="Hipercardioide"),OR(AND(F16="Cardioide",G16&lt;150),AND(F16="Supercardioide",OR(G16&lt;105,G16&gt;145)),AND(F16="Hipercardioide",OR(G16&lt;95,G16&gt;125)))),"Posição",IF(K16="Sim","OK",IF(K16="","Falta dado","Ring-out"))))))))</f>
        <v/>
      </c>
      <c r="N16" s="23" t="str">
        <f aca="false">IF(M16="","",IF(M16="OK","Manter",IF(M16="Limitador","Ligue o limitador do receptor ou do amplificador de fones antes de o músico pôr os fones",IF(M16="Omni","Microfone omnidirecional capta a caixa de todos os lados: troque o microfone ou use fone",IF(M16="Posição",IF(F16="Cardioide","Leve a caixa para trás do microfone, perto de 180 graus",IF(F16="Supercardioide","Leve a caixa para a diagonal traseira do microfone, perto de 125 graus","Leve a caixa para a diagonal do microfone, perto de 110 graus")),IF(M16="Ring-out","Faça o ring-out desta saída antes de montar a mistura","Preencha o padrão polar, o ângulo e as colunas Sim / Não desta linha"))))))</f>
        <v/>
      </c>
      <c r="O16" s="5"/>
    </row>
    <row r="17" customFormat="false" ht="27" hidden="false" customHeight="true" outlineLevel="0" collapsed="false">
      <c r="B17" s="18" t="n">
        <v>6</v>
      </c>
      <c r="C17" s="5"/>
      <c r="D17" s="9"/>
      <c r="E17" s="9"/>
      <c r="F17" s="9"/>
      <c r="G17" s="9"/>
      <c r="H17" s="19" t="str">
        <f aca="false">IF(OR(E17&lt;&gt;"Caixa de chão",F17=""),"",IF(F17="Cardioide","150 a 180",IF(F17="Supercardioide","105 a 145",IF(F17="Hipercardioide","95 a 125",IF(F17="Omni","não há","")))))</f>
        <v/>
      </c>
      <c r="I17" s="25"/>
      <c r="J17" s="9"/>
      <c r="K17" s="9"/>
      <c r="L17" s="9"/>
      <c r="M17" s="20" t="str">
        <f aca="false">IF(E17="","",IF(OR(E17="In-ear com fio",E17="In-ear sem fio",E17="Pessoal"),IF(L17="Sim","OK",IF(L17="","Falta dado","Limitador")),IF(AND(E17="Caixa de chão",F17="Omni"),"Omni",IF(AND(E17="Caixa de chão",F17=""),"Falta dado",IF(AND(E17="Caixa de chão",OR(F17="Cardioide",F17="Supercardioide",F17="Hipercardioide"),G17=""),"Falta dado",IF(AND(E17="Caixa de chão",OR(F17="Cardioide",F17="Supercardioide",F17="Hipercardioide"),OR(AND(F17="Cardioide",G17&lt;150),AND(F17="Supercardioide",OR(G17&lt;105,G17&gt;145)),AND(F17="Hipercardioide",OR(G17&lt;95,G17&gt;125)))),"Posição",IF(K17="Sim","OK",IF(K17="","Falta dado","Ring-out"))))))))</f>
        <v/>
      </c>
      <c r="N17" s="23" t="str">
        <f aca="false">IF(M17="","",IF(M17="OK","Manter",IF(M17="Limitador","Ligue o limitador do receptor ou do amplificador de fones antes de o músico pôr os fones",IF(M17="Omni","Microfone omnidirecional capta a caixa de todos os lados: troque o microfone ou use fone",IF(M17="Posição",IF(F17="Cardioide","Leve a caixa para trás do microfone, perto de 180 graus",IF(F17="Supercardioide","Leve a caixa para a diagonal traseira do microfone, perto de 125 graus","Leve a caixa para a diagonal do microfone, perto de 110 graus")),IF(M17="Ring-out","Faça o ring-out desta saída antes de montar a mistura","Preencha o padrão polar, o ângulo e as colunas Sim / Não desta linha"))))))</f>
        <v/>
      </c>
      <c r="O17" s="5"/>
    </row>
    <row r="18" customFormat="false" ht="27" hidden="false" customHeight="true" outlineLevel="0" collapsed="false">
      <c r="B18" s="18" t="n">
        <v>7</v>
      </c>
      <c r="C18" s="5"/>
      <c r="D18" s="9"/>
      <c r="E18" s="9"/>
      <c r="F18" s="9"/>
      <c r="G18" s="9"/>
      <c r="H18" s="19" t="str">
        <f aca="false">IF(OR(E18&lt;&gt;"Caixa de chão",F18=""),"",IF(F18="Cardioide","150 a 180",IF(F18="Supercardioide","105 a 145",IF(F18="Hipercardioide","95 a 125",IF(F18="Omni","não há","")))))</f>
        <v/>
      </c>
      <c r="I18" s="25"/>
      <c r="J18" s="9"/>
      <c r="K18" s="9"/>
      <c r="L18" s="9"/>
      <c r="M18" s="20" t="str">
        <f aca="false">IF(E18="","",IF(OR(E18="In-ear com fio",E18="In-ear sem fio",E18="Pessoal"),IF(L18="Sim","OK",IF(L18="","Falta dado","Limitador")),IF(AND(E18="Caixa de chão",F18="Omni"),"Omni",IF(AND(E18="Caixa de chão",F18=""),"Falta dado",IF(AND(E18="Caixa de chão",OR(F18="Cardioide",F18="Supercardioide",F18="Hipercardioide"),G18=""),"Falta dado",IF(AND(E18="Caixa de chão",OR(F18="Cardioide",F18="Supercardioide",F18="Hipercardioide"),OR(AND(F18="Cardioide",G18&lt;150),AND(F18="Supercardioide",OR(G18&lt;105,G18&gt;145)),AND(F18="Hipercardioide",OR(G18&lt;95,G18&gt;125)))),"Posição",IF(K18="Sim","OK",IF(K18="","Falta dado","Ring-out"))))))))</f>
        <v/>
      </c>
      <c r="N18" s="23" t="str">
        <f aca="false">IF(M18="","",IF(M18="OK","Manter",IF(M18="Limitador","Ligue o limitador do receptor ou do amplificador de fones antes de o músico pôr os fones",IF(M18="Omni","Microfone omnidirecional capta a caixa de todos os lados: troque o microfone ou use fone",IF(M18="Posição",IF(F18="Cardioide","Leve a caixa para trás do microfone, perto de 180 graus",IF(F18="Supercardioide","Leve a caixa para a diagonal traseira do microfone, perto de 125 graus","Leve a caixa para a diagonal do microfone, perto de 110 graus")),IF(M18="Ring-out","Faça o ring-out desta saída antes de montar a mistura","Preencha o padrão polar, o ângulo e as colunas Sim / Não desta linha"))))))</f>
        <v/>
      </c>
      <c r="O18" s="5"/>
    </row>
    <row r="19" customFormat="false" ht="27" hidden="false" customHeight="true" outlineLevel="0" collapsed="false">
      <c r="B19" s="18" t="n">
        <v>8</v>
      </c>
      <c r="C19" s="5"/>
      <c r="D19" s="9"/>
      <c r="E19" s="9"/>
      <c r="F19" s="9"/>
      <c r="G19" s="9"/>
      <c r="H19" s="19" t="str">
        <f aca="false">IF(OR(E19&lt;&gt;"Caixa de chão",F19=""),"",IF(F19="Cardioide","150 a 180",IF(F19="Supercardioide","105 a 145",IF(F19="Hipercardioide","95 a 125",IF(F19="Omni","não há","")))))</f>
        <v/>
      </c>
      <c r="I19" s="25"/>
      <c r="J19" s="9"/>
      <c r="K19" s="9"/>
      <c r="L19" s="9"/>
      <c r="M19" s="20" t="str">
        <f aca="false">IF(E19="","",IF(OR(E19="In-ear com fio",E19="In-ear sem fio",E19="Pessoal"),IF(L19="Sim","OK",IF(L19="","Falta dado","Limitador")),IF(AND(E19="Caixa de chão",F19="Omni"),"Omni",IF(AND(E19="Caixa de chão",F19=""),"Falta dado",IF(AND(E19="Caixa de chão",OR(F19="Cardioide",F19="Supercardioide",F19="Hipercardioide"),G19=""),"Falta dado",IF(AND(E19="Caixa de chão",OR(F19="Cardioide",F19="Supercardioide",F19="Hipercardioide"),OR(AND(F19="Cardioide",G19&lt;150),AND(F19="Supercardioide",OR(G19&lt;105,G19&gt;145)),AND(F19="Hipercardioide",OR(G19&lt;95,G19&gt;125)))),"Posição",IF(K19="Sim","OK",IF(K19="","Falta dado","Ring-out"))))))))</f>
        <v/>
      </c>
      <c r="N19" s="23" t="str">
        <f aca="false">IF(M19="","",IF(M19="OK","Manter",IF(M19="Limitador","Ligue o limitador do receptor ou do amplificador de fones antes de o músico pôr os fones",IF(M19="Omni","Microfone omnidirecional capta a caixa de todos os lados: troque o microfone ou use fone",IF(M19="Posição",IF(F19="Cardioide","Leve a caixa para trás do microfone, perto de 180 graus",IF(F19="Supercardioide","Leve a caixa para a diagonal traseira do microfone, perto de 125 graus","Leve a caixa para a diagonal do microfone, perto de 110 graus")),IF(M19="Ring-out","Faça o ring-out desta saída antes de montar a mistura","Preencha o padrão polar, o ângulo e as colunas Sim / Não desta linha"))))))</f>
        <v/>
      </c>
      <c r="O19" s="5"/>
    </row>
    <row r="21" customFormat="false" ht="21.75" hidden="false" customHeight="true" outlineLevel="0" collapsed="false">
      <c r="B21" s="12" t="s">
        <v>109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customFormat="false" ht="19.5" hidden="false" customHeight="true" outlineLevel="0" collapsed="false">
      <c r="B22" s="16" t="s">
        <v>172</v>
      </c>
      <c r="C22" s="16"/>
      <c r="D22" s="16"/>
      <c r="E22" s="16"/>
      <c r="F22" s="8" t="n">
        <f aca="false">COUNTA(E12:E19)</f>
        <v>0</v>
      </c>
    </row>
    <row r="23" customFormat="false" ht="19.5" hidden="false" customHeight="true" outlineLevel="0" collapsed="false">
      <c r="B23" s="16" t="s">
        <v>173</v>
      </c>
      <c r="C23" s="16"/>
      <c r="D23" s="16"/>
      <c r="E23" s="16"/>
      <c r="F23" s="8" t="n">
        <f aca="false">COUNTIF(E12:E19,"Caixa de chão")+COUNTIF(E12:E19,"Side fill")+COUNTIF(E12:E19,"Drum fill")</f>
        <v>0</v>
      </c>
    </row>
    <row r="24" customFormat="false" ht="19.5" hidden="false" customHeight="true" outlineLevel="0" collapsed="false">
      <c r="B24" s="16" t="s">
        <v>174</v>
      </c>
      <c r="C24" s="16"/>
      <c r="D24" s="16"/>
      <c r="E24" s="16"/>
      <c r="F24" s="8" t="n">
        <f aca="false">F22-F23</f>
        <v>0</v>
      </c>
    </row>
    <row r="25" customFormat="false" ht="19.5" hidden="false" customHeight="true" outlineLevel="0" collapsed="false">
      <c r="B25" s="16" t="s">
        <v>175</v>
      </c>
      <c r="C25" s="16"/>
      <c r="D25" s="16"/>
      <c r="E25" s="16"/>
      <c r="F25" s="8" t="n">
        <f aca="false">COUNTIF(M12:M19,"OK")</f>
        <v>0</v>
      </c>
    </row>
    <row r="26" customFormat="false" ht="19.5" hidden="false" customHeight="true" outlineLevel="0" collapsed="false">
      <c r="B26" s="16" t="s">
        <v>176</v>
      </c>
      <c r="C26" s="16"/>
      <c r="D26" s="16"/>
      <c r="E26" s="16"/>
      <c r="F26" s="8" t="n">
        <f aca="false">F22-F25</f>
        <v>0</v>
      </c>
    </row>
    <row r="27" customFormat="false" ht="21.75" hidden="false" customHeight="true" outlineLevel="0" collapsed="false">
      <c r="B27" s="16" t="s">
        <v>115</v>
      </c>
      <c r="C27" s="16"/>
      <c r="D27" s="16"/>
      <c r="E27" s="16"/>
      <c r="F27" s="21" t="str">
        <f aca="false">IF(F22=0,"Registre os retornos",IF(F26&gt;0,"Há retorno a resolver: veja a coluna O que fazer","OK"))</f>
        <v>Registre os retornos</v>
      </c>
      <c r="G27" s="21"/>
      <c r="H27" s="21"/>
      <c r="I27" s="21"/>
      <c r="J27" s="21"/>
      <c r="K27" s="21"/>
      <c r="L27" s="21"/>
      <c r="M27" s="21"/>
      <c r="N27" s="21"/>
    </row>
    <row r="28" customFormat="false" ht="15" hidden="false" customHeight="true" outlineLevel="0" collapsed="false">
      <c r="B28" s="10" t="s">
        <v>177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</sheetData>
  <mergeCells count="21">
    <mergeCell ref="B1:O1"/>
    <mergeCell ref="B2:O2"/>
    <mergeCell ref="B4:C4"/>
    <mergeCell ref="D4:F4"/>
    <mergeCell ref="G4:O4"/>
    <mergeCell ref="B5:C5"/>
    <mergeCell ref="D5:F5"/>
    <mergeCell ref="G5:O5"/>
    <mergeCell ref="B6:C6"/>
    <mergeCell ref="D6:F6"/>
    <mergeCell ref="G6:O6"/>
    <mergeCell ref="B8:O8"/>
    <mergeCell ref="B21:O21"/>
    <mergeCell ref="B22:E22"/>
    <mergeCell ref="B23:E23"/>
    <mergeCell ref="B24:E24"/>
    <mergeCell ref="B25:E25"/>
    <mergeCell ref="B26:E26"/>
    <mergeCell ref="B27:E27"/>
    <mergeCell ref="F27:N27"/>
    <mergeCell ref="B28:O28"/>
  </mergeCells>
  <conditionalFormatting sqref="M12:M19">
    <cfRule type="cellIs" priority="2" operator="equal" aboveAverage="0" equalAverage="0" bottom="0" percent="0" rank="0" text="" dxfId="2">
      <formula>"OK"</formula>
    </cfRule>
    <cfRule type="cellIs" priority="3" operator="equal" aboveAverage="0" equalAverage="0" bottom="0" percent="0" rank="0" text="" dxfId="4">
      <formula>"Posição"</formula>
    </cfRule>
    <cfRule type="cellIs" priority="4" operator="equal" aboveAverage="0" equalAverage="0" bottom="0" percent="0" rank="0" text="" dxfId="4">
      <formula>"Ring-out"</formula>
    </cfRule>
    <cfRule type="cellIs" priority="5" operator="equal" aboveAverage="0" equalAverage="0" bottom="0" percent="0" rank="0" text="" dxfId="4">
      <formula>"Falta dado"</formula>
    </cfRule>
    <cfRule type="cellIs" priority="6" operator="equal" aboveAverage="0" equalAverage="0" bottom="0" percent="0" rank="0" text="" dxfId="3">
      <formula>"Omni"</formula>
    </cfRule>
    <cfRule type="cellIs" priority="7" operator="equal" aboveAverage="0" equalAverage="0" bottom="0" percent="0" rank="0" text="" dxfId="3">
      <formula>"Limitador"</formula>
    </cfRule>
  </conditionalFormatting>
  <conditionalFormatting sqref="F27:N27">
    <cfRule type="cellIs" priority="8" operator="equal" aboveAverage="0" equalAverage="0" bottom="0" percent="0" rank="0" text="" dxfId="2">
      <formula>"OK"</formula>
    </cfRule>
    <cfRule type="cellIs" priority="9" operator="notEqual" aboveAverage="0" equalAverage="0" bottom="0" percent="0" rank="0" text="" dxfId="4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Caixa de chão, Side fill, Drum fill, In-ear com fio, In-ear sem fio ou Pessoal." promptTitle="Opções" showDropDown="false" showErrorMessage="true" showInputMessage="true" sqref="E12:E19" type="list">
      <formula1>"Caixa de chão,Side fill,Drum fill,In-ear com fio,In-ear sem fio,Pessoal"</formula1>
      <formula2>0</formula2>
    </dataValidation>
    <dataValidation allowBlank="true" error="Escolha uma das opções da lista." errorStyle="stop" errorTitle="Valor inválido" operator="between" prompt="Cardioide, Supercardioide, Hipercardioide, Omni ou Sem microfone." promptTitle="Opções" showDropDown="false" showErrorMessage="true" showInputMessage="true" sqref="F12:F19" type="list">
      <formula1>"Cardioide,Supercardioide,Hipercardioide,Omni,Sem microfone"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K12:L19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2:G1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I12:J1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36"/>
    <col collapsed="false" customWidth="true" hidden="false" outlineLevel="0" max="5" min="5" style="0" width="56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178</v>
      </c>
      <c r="C1" s="1"/>
      <c r="D1" s="1"/>
      <c r="E1" s="1"/>
    </row>
    <row r="2" customFormat="false" ht="19.5" hidden="false" customHeight="true" outlineLevel="0" collapsed="false">
      <c r="B2" s="2" t="s">
        <v>179</v>
      </c>
      <c r="C2" s="2"/>
      <c r="D2" s="2"/>
      <c r="E2" s="2"/>
    </row>
    <row r="4" customFormat="false" ht="21.75" hidden="false" customHeight="true" outlineLevel="0" collapsed="false">
      <c r="B4" s="12" t="s">
        <v>180</v>
      </c>
      <c r="C4" s="12"/>
      <c r="D4" s="12"/>
      <c r="E4" s="12"/>
    </row>
    <row r="5" customFormat="false" ht="21.75" hidden="false" customHeight="true" outlineLevel="0" collapsed="false">
      <c r="B5" s="8" t="s">
        <v>181</v>
      </c>
      <c r="C5" s="8" t="s">
        <v>182</v>
      </c>
      <c r="D5" s="8" t="s">
        <v>183</v>
      </c>
      <c r="E5" s="8" t="s">
        <v>184</v>
      </c>
    </row>
    <row r="6" customFormat="false" ht="31.5" hidden="false" customHeight="true" outlineLevel="0" collapsed="false">
      <c r="B6" s="26" t="s">
        <v>185</v>
      </c>
      <c r="C6" s="7" t="s">
        <v>186</v>
      </c>
      <c r="D6" s="7" t="s">
        <v>187</v>
      </c>
      <c r="E6" s="7" t="s">
        <v>188</v>
      </c>
    </row>
    <row r="7" customFormat="false" ht="31.5" hidden="false" customHeight="true" outlineLevel="0" collapsed="false">
      <c r="B7" s="26" t="s">
        <v>189</v>
      </c>
      <c r="C7" s="7" t="s">
        <v>190</v>
      </c>
      <c r="D7" s="7" t="s">
        <v>191</v>
      </c>
      <c r="E7" s="7" t="s">
        <v>192</v>
      </c>
    </row>
    <row r="8" customFormat="false" ht="31.5" hidden="false" customHeight="true" outlineLevel="0" collapsed="false">
      <c r="B8" s="26" t="s">
        <v>193</v>
      </c>
      <c r="C8" s="7" t="s">
        <v>194</v>
      </c>
      <c r="D8" s="7" t="s">
        <v>195</v>
      </c>
      <c r="E8" s="7" t="s">
        <v>196</v>
      </c>
    </row>
    <row r="9" customFormat="false" ht="31.5" hidden="false" customHeight="true" outlineLevel="0" collapsed="false">
      <c r="B9" s="26" t="s">
        <v>197</v>
      </c>
      <c r="C9" s="7" t="s">
        <v>198</v>
      </c>
      <c r="D9" s="7" t="s">
        <v>199</v>
      </c>
      <c r="E9" s="7" t="s">
        <v>200</v>
      </c>
    </row>
    <row r="10" customFormat="false" ht="31.5" hidden="false" customHeight="true" outlineLevel="0" collapsed="false">
      <c r="B10" s="26" t="s">
        <v>201</v>
      </c>
      <c r="C10" s="7" t="s">
        <v>202</v>
      </c>
      <c r="D10" s="7" t="s">
        <v>203</v>
      </c>
      <c r="E10" s="7" t="s">
        <v>204</v>
      </c>
    </row>
    <row r="12" customFormat="false" ht="21.75" hidden="false" customHeight="true" outlineLevel="0" collapsed="false">
      <c r="B12" s="12" t="s">
        <v>205</v>
      </c>
      <c r="C12" s="12"/>
      <c r="D12" s="12"/>
      <c r="E12" s="12"/>
    </row>
    <row r="13" customFormat="false" ht="21.75" hidden="false" customHeight="true" outlineLevel="0" collapsed="false">
      <c r="B13" s="8" t="s">
        <v>206</v>
      </c>
      <c r="C13" s="8" t="s">
        <v>207</v>
      </c>
      <c r="D13" s="8" t="s">
        <v>208</v>
      </c>
      <c r="E13" s="8" t="s">
        <v>85</v>
      </c>
    </row>
    <row r="14" customFormat="false" ht="31.5" hidden="false" customHeight="true" outlineLevel="0" collapsed="false">
      <c r="B14" s="26" t="s">
        <v>209</v>
      </c>
      <c r="C14" s="7" t="s">
        <v>210</v>
      </c>
      <c r="D14" s="7" t="s">
        <v>211</v>
      </c>
      <c r="E14" s="7" t="s">
        <v>212</v>
      </c>
    </row>
    <row r="15" customFormat="false" ht="31.5" hidden="false" customHeight="true" outlineLevel="0" collapsed="false">
      <c r="B15" s="26" t="s">
        <v>213</v>
      </c>
      <c r="C15" s="7" t="s">
        <v>214</v>
      </c>
      <c r="D15" s="7" t="s">
        <v>215</v>
      </c>
      <c r="E15" s="7" t="s">
        <v>216</v>
      </c>
    </row>
    <row r="16" customFormat="false" ht="31.5" hidden="false" customHeight="true" outlineLevel="0" collapsed="false">
      <c r="B16" s="26" t="s">
        <v>217</v>
      </c>
      <c r="C16" s="7" t="s">
        <v>218</v>
      </c>
      <c r="D16" s="7" t="s">
        <v>219</v>
      </c>
      <c r="E16" s="7" t="s">
        <v>220</v>
      </c>
    </row>
    <row r="17" customFormat="false" ht="31.5" hidden="false" customHeight="true" outlineLevel="0" collapsed="false">
      <c r="B17" s="26" t="s">
        <v>221</v>
      </c>
      <c r="C17" s="7" t="s">
        <v>222</v>
      </c>
      <c r="D17" s="7" t="s">
        <v>223</v>
      </c>
      <c r="E17" s="7" t="s">
        <v>224</v>
      </c>
    </row>
    <row r="18" customFormat="false" ht="31.5" hidden="false" customHeight="true" outlineLevel="0" collapsed="false">
      <c r="B18" s="26" t="s">
        <v>225</v>
      </c>
      <c r="C18" s="7" t="s">
        <v>226</v>
      </c>
      <c r="D18" s="7" t="s">
        <v>227</v>
      </c>
      <c r="E18" s="7" t="s">
        <v>228</v>
      </c>
    </row>
    <row r="19" customFormat="false" ht="31.5" hidden="false" customHeight="true" outlineLevel="0" collapsed="false">
      <c r="B19" s="26" t="s">
        <v>229</v>
      </c>
      <c r="C19" s="7" t="s">
        <v>230</v>
      </c>
      <c r="D19" s="7" t="s">
        <v>231</v>
      </c>
      <c r="E19" s="7" t="s">
        <v>232</v>
      </c>
    </row>
    <row r="20" customFormat="false" ht="31.5" hidden="false" customHeight="true" outlineLevel="0" collapsed="false">
      <c r="B20" s="26" t="s">
        <v>233</v>
      </c>
      <c r="C20" s="7" t="s">
        <v>234</v>
      </c>
      <c r="D20" s="7" t="s">
        <v>235</v>
      </c>
      <c r="E20" s="7" t="s">
        <v>236</v>
      </c>
    </row>
    <row r="21" customFormat="false" ht="31.5" hidden="false" customHeight="true" outlineLevel="0" collapsed="false">
      <c r="B21" s="26" t="s">
        <v>237</v>
      </c>
      <c r="C21" s="7" t="s">
        <v>238</v>
      </c>
      <c r="D21" s="7" t="s">
        <v>239</v>
      </c>
      <c r="E21" s="7" t="s">
        <v>240</v>
      </c>
    </row>
    <row r="23" customFormat="false" ht="21.75" hidden="false" customHeight="true" outlineLevel="0" collapsed="false">
      <c r="B23" s="12" t="s">
        <v>241</v>
      </c>
      <c r="C23" s="12"/>
      <c r="D23" s="12"/>
      <c r="E23" s="12"/>
    </row>
    <row r="24" customFormat="false" ht="21.75" hidden="false" customHeight="true" outlineLevel="0" collapsed="false">
      <c r="B24" s="8" t="s">
        <v>242</v>
      </c>
      <c r="C24" s="8" t="s">
        <v>243</v>
      </c>
      <c r="D24" s="8" t="s">
        <v>244</v>
      </c>
      <c r="E24" s="8" t="s">
        <v>85</v>
      </c>
    </row>
    <row r="25" customFormat="false" ht="31.5" hidden="false" customHeight="true" outlineLevel="0" collapsed="false">
      <c r="B25" s="26" t="s">
        <v>245</v>
      </c>
      <c r="C25" s="7" t="s">
        <v>246</v>
      </c>
      <c r="D25" s="7" t="s">
        <v>247</v>
      </c>
      <c r="E25" s="7" t="s">
        <v>248</v>
      </c>
    </row>
    <row r="26" customFormat="false" ht="31.5" hidden="false" customHeight="true" outlineLevel="0" collapsed="false">
      <c r="B26" s="26" t="s">
        <v>168</v>
      </c>
      <c r="C26" s="7" t="s">
        <v>249</v>
      </c>
      <c r="D26" s="7" t="s">
        <v>250</v>
      </c>
      <c r="E26" s="7" t="s">
        <v>251</v>
      </c>
    </row>
    <row r="27" customFormat="false" ht="31.5" hidden="false" customHeight="true" outlineLevel="0" collapsed="false">
      <c r="B27" s="26" t="s">
        <v>252</v>
      </c>
      <c r="C27" s="7" t="s">
        <v>253</v>
      </c>
      <c r="D27" s="7" t="s">
        <v>254</v>
      </c>
      <c r="E27" s="7" t="s">
        <v>255</v>
      </c>
    </row>
    <row r="28" customFormat="false" ht="31.5" hidden="false" customHeight="true" outlineLevel="0" collapsed="false">
      <c r="B28" s="26" t="s">
        <v>256</v>
      </c>
      <c r="C28" s="7" t="s">
        <v>257</v>
      </c>
      <c r="D28" s="7" t="s">
        <v>258</v>
      </c>
      <c r="E28" s="7" t="s">
        <v>259</v>
      </c>
    </row>
    <row r="30" customFormat="false" ht="21.75" hidden="false" customHeight="true" outlineLevel="0" collapsed="false">
      <c r="B30" s="12" t="s">
        <v>260</v>
      </c>
      <c r="C30" s="12"/>
      <c r="D30" s="12"/>
      <c r="E30" s="12"/>
    </row>
    <row r="31" customFormat="false" ht="21.75" hidden="false" customHeight="true" outlineLevel="0" collapsed="false">
      <c r="B31" s="8" t="s">
        <v>261</v>
      </c>
      <c r="C31" s="8" t="s">
        <v>262</v>
      </c>
      <c r="D31" s="8" t="s">
        <v>263</v>
      </c>
      <c r="E31" s="8" t="s">
        <v>85</v>
      </c>
    </row>
    <row r="32" customFormat="false" ht="31.5" hidden="false" customHeight="true" outlineLevel="0" collapsed="false">
      <c r="B32" s="26" t="s">
        <v>264</v>
      </c>
      <c r="C32" s="7" t="s">
        <v>265</v>
      </c>
      <c r="D32" s="7" t="s">
        <v>266</v>
      </c>
      <c r="E32" s="7" t="s">
        <v>267</v>
      </c>
    </row>
    <row r="33" customFormat="false" ht="31.5" hidden="false" customHeight="true" outlineLevel="0" collapsed="false">
      <c r="B33" s="26" t="s">
        <v>268</v>
      </c>
      <c r="C33" s="7" t="s">
        <v>269</v>
      </c>
      <c r="D33" s="7" t="s">
        <v>270</v>
      </c>
      <c r="E33" s="7" t="s">
        <v>271</v>
      </c>
    </row>
    <row r="34" customFormat="false" ht="31.5" hidden="false" customHeight="true" outlineLevel="0" collapsed="false">
      <c r="B34" s="26" t="s">
        <v>272</v>
      </c>
      <c r="C34" s="7" t="s">
        <v>273</v>
      </c>
      <c r="D34" s="7" t="s">
        <v>274</v>
      </c>
      <c r="E34" s="7" t="s">
        <v>275</v>
      </c>
    </row>
    <row r="35" customFormat="false" ht="31.5" hidden="false" customHeight="true" outlineLevel="0" collapsed="false">
      <c r="B35" s="26" t="s">
        <v>276</v>
      </c>
      <c r="C35" s="7" t="s">
        <v>277</v>
      </c>
      <c r="D35" s="7" t="s">
        <v>278</v>
      </c>
      <c r="E35" s="7" t="s">
        <v>279</v>
      </c>
    </row>
    <row r="37" customFormat="false" ht="21.75" hidden="false" customHeight="true" outlineLevel="0" collapsed="false">
      <c r="B37" s="12" t="s">
        <v>280</v>
      </c>
      <c r="C37" s="12"/>
      <c r="D37" s="12"/>
      <c r="E37" s="12"/>
    </row>
    <row r="38" customFormat="false" ht="21.75" hidden="false" customHeight="true" outlineLevel="0" collapsed="false">
      <c r="B38" s="8" t="s">
        <v>281</v>
      </c>
      <c r="C38" s="8" t="s">
        <v>282</v>
      </c>
      <c r="D38" s="8" t="s">
        <v>283</v>
      </c>
      <c r="E38" s="8" t="s">
        <v>85</v>
      </c>
    </row>
    <row r="39" customFormat="false" ht="24" hidden="false" customHeight="true" outlineLevel="0" collapsed="false">
      <c r="B39" s="26" t="s">
        <v>284</v>
      </c>
      <c r="C39" s="7" t="s">
        <v>285</v>
      </c>
      <c r="D39" s="7" t="s">
        <v>286</v>
      </c>
      <c r="E39" s="7" t="s">
        <v>287</v>
      </c>
    </row>
    <row r="40" customFormat="false" ht="24" hidden="false" customHeight="true" outlineLevel="0" collapsed="false">
      <c r="B40" s="26" t="s">
        <v>288</v>
      </c>
      <c r="C40" s="7" t="s">
        <v>289</v>
      </c>
      <c r="D40" s="7" t="s">
        <v>290</v>
      </c>
      <c r="E40" s="7" t="s">
        <v>291</v>
      </c>
    </row>
    <row r="41" customFormat="false" ht="24" hidden="false" customHeight="true" outlineLevel="0" collapsed="false">
      <c r="B41" s="26" t="s">
        <v>292</v>
      </c>
      <c r="C41" s="7" t="s">
        <v>293</v>
      </c>
      <c r="D41" s="7" t="s">
        <v>294</v>
      </c>
      <c r="E41" s="7" t="s">
        <v>295</v>
      </c>
    </row>
    <row r="42" customFormat="false" ht="24" hidden="false" customHeight="true" outlineLevel="0" collapsed="false">
      <c r="B42" s="26" t="s">
        <v>296</v>
      </c>
      <c r="C42" s="7" t="s">
        <v>297</v>
      </c>
      <c r="D42" s="7" t="s">
        <v>298</v>
      </c>
      <c r="E42" s="7"/>
    </row>
    <row r="43" customFormat="false" ht="24" hidden="false" customHeight="true" outlineLevel="0" collapsed="false">
      <c r="B43" s="26" t="s">
        <v>299</v>
      </c>
      <c r="C43" s="7" t="s">
        <v>300</v>
      </c>
      <c r="D43" s="7" t="s">
        <v>301</v>
      </c>
      <c r="E43" s="7"/>
    </row>
    <row r="44" customFormat="false" ht="15" hidden="false" customHeight="true" outlineLevel="0" collapsed="false">
      <c r="B44" s="10" t="s">
        <v>302</v>
      </c>
      <c r="C44" s="10"/>
      <c r="D44" s="10"/>
      <c r="E44" s="10"/>
    </row>
  </sheetData>
  <mergeCells count="8">
    <mergeCell ref="B1:E1"/>
    <mergeCell ref="B2:E2"/>
    <mergeCell ref="B4:E4"/>
    <mergeCell ref="B12:E12"/>
    <mergeCell ref="B23:E23"/>
    <mergeCell ref="B30:E30"/>
    <mergeCell ref="B37:E37"/>
    <mergeCell ref="B44:E4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303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304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122</v>
      </c>
      <c r="C4" s="13" t="s">
        <v>305</v>
      </c>
      <c r="D4" s="13" t="s">
        <v>306</v>
      </c>
      <c r="E4" s="13" t="s">
        <v>104</v>
      </c>
      <c r="F4" s="13" t="s">
        <v>85</v>
      </c>
    </row>
    <row r="5" customFormat="false" ht="31.5" hidden="false" customHeight="true" outlineLevel="0" collapsed="false">
      <c r="B5" s="18" t="n">
        <v>1</v>
      </c>
      <c r="C5" s="6" t="s">
        <v>307</v>
      </c>
      <c r="D5" s="7" t="s">
        <v>308</v>
      </c>
      <c r="E5" s="9"/>
      <c r="F5" s="5"/>
    </row>
    <row r="6" customFormat="false" ht="19.5" hidden="false" customHeight="true" outlineLevel="0" collapsed="false">
      <c r="B6" s="18" t="n">
        <v>2</v>
      </c>
      <c r="C6" s="6" t="s">
        <v>307</v>
      </c>
      <c r="D6" s="7" t="s">
        <v>309</v>
      </c>
      <c r="E6" s="9"/>
      <c r="F6" s="5"/>
    </row>
    <row r="7" customFormat="false" ht="19.5" hidden="false" customHeight="true" outlineLevel="0" collapsed="false">
      <c r="B7" s="18" t="n">
        <v>3</v>
      </c>
      <c r="C7" s="6" t="s">
        <v>310</v>
      </c>
      <c r="D7" s="7" t="s">
        <v>311</v>
      </c>
      <c r="E7" s="9"/>
      <c r="F7" s="5"/>
    </row>
    <row r="8" customFormat="false" ht="31.5" hidden="false" customHeight="true" outlineLevel="0" collapsed="false">
      <c r="B8" s="18" t="n">
        <v>4</v>
      </c>
      <c r="C8" s="6" t="s">
        <v>310</v>
      </c>
      <c r="D8" s="7" t="s">
        <v>312</v>
      </c>
      <c r="E8" s="9"/>
      <c r="F8" s="5"/>
    </row>
    <row r="9" customFormat="false" ht="19.5" hidden="false" customHeight="true" outlineLevel="0" collapsed="false">
      <c r="B9" s="18" t="n">
        <v>5</v>
      </c>
      <c r="C9" s="6" t="s">
        <v>310</v>
      </c>
      <c r="D9" s="7" t="s">
        <v>313</v>
      </c>
      <c r="E9" s="9"/>
      <c r="F9" s="5"/>
    </row>
    <row r="10" customFormat="false" ht="19.5" hidden="false" customHeight="true" outlineLevel="0" collapsed="false">
      <c r="B10" s="18" t="n">
        <v>6</v>
      </c>
      <c r="C10" s="6" t="s">
        <v>314</v>
      </c>
      <c r="D10" s="7" t="s">
        <v>315</v>
      </c>
      <c r="E10" s="9"/>
      <c r="F10" s="5"/>
    </row>
    <row r="11" customFormat="false" ht="19.5" hidden="false" customHeight="true" outlineLevel="0" collapsed="false">
      <c r="B11" s="18" t="n">
        <v>7</v>
      </c>
      <c r="C11" s="6" t="s">
        <v>314</v>
      </c>
      <c r="D11" s="7" t="s">
        <v>316</v>
      </c>
      <c r="E11" s="9"/>
      <c r="F11" s="5"/>
    </row>
    <row r="12" customFormat="false" ht="31.5" hidden="false" customHeight="true" outlineLevel="0" collapsed="false">
      <c r="B12" s="18" t="n">
        <v>8</v>
      </c>
      <c r="C12" s="6" t="s">
        <v>314</v>
      </c>
      <c r="D12" s="7" t="s">
        <v>317</v>
      </c>
      <c r="E12" s="9"/>
      <c r="F12" s="5"/>
    </row>
    <row r="13" customFormat="false" ht="19.5" hidden="false" customHeight="true" outlineLevel="0" collapsed="false">
      <c r="B13" s="18" t="n">
        <v>9</v>
      </c>
      <c r="C13" s="6" t="s">
        <v>197</v>
      </c>
      <c r="D13" s="7" t="s">
        <v>318</v>
      </c>
      <c r="E13" s="9"/>
      <c r="F13" s="5"/>
    </row>
    <row r="14" customFormat="false" ht="31.5" hidden="false" customHeight="true" outlineLevel="0" collapsed="false">
      <c r="B14" s="18" t="n">
        <v>10</v>
      </c>
      <c r="C14" s="6" t="s">
        <v>197</v>
      </c>
      <c r="D14" s="7" t="s">
        <v>319</v>
      </c>
      <c r="E14" s="9"/>
      <c r="F14" s="5"/>
    </row>
    <row r="15" customFormat="false" ht="19.5" hidden="false" customHeight="true" outlineLevel="0" collapsed="false">
      <c r="B15" s="18" t="n">
        <v>11</v>
      </c>
      <c r="C15" s="6" t="s">
        <v>320</v>
      </c>
      <c r="D15" s="7" t="s">
        <v>321</v>
      </c>
      <c r="E15" s="9"/>
      <c r="F15" s="5"/>
    </row>
    <row r="16" customFormat="false" ht="19.5" hidden="false" customHeight="true" outlineLevel="0" collapsed="false">
      <c r="B16" s="18" t="n">
        <v>12</v>
      </c>
      <c r="C16" s="6" t="s">
        <v>320</v>
      </c>
      <c r="D16" s="7" t="s">
        <v>322</v>
      </c>
      <c r="E16" s="9"/>
      <c r="F16" s="5"/>
    </row>
    <row r="18" customFormat="false" ht="19.5" hidden="false" customHeight="true" outlineLevel="0" collapsed="false">
      <c r="B18" s="16" t="s">
        <v>323</v>
      </c>
      <c r="C18" s="16"/>
      <c r="D18" s="16"/>
      <c r="E18" s="8" t="n">
        <f aca="false">COUNTA(E5:E16)</f>
        <v>0</v>
      </c>
    </row>
    <row r="19" customFormat="false" ht="19.5" hidden="false" customHeight="true" outlineLevel="0" collapsed="false">
      <c r="B19" s="16" t="s">
        <v>324</v>
      </c>
      <c r="C19" s="16"/>
      <c r="D19" s="16"/>
      <c r="E19" s="27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16" t="s">
        <v>104</v>
      </c>
      <c r="C20" s="16"/>
      <c r="D20" s="16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3">
      <formula>"Não"</formula>
    </cfRule>
  </conditionalFormatting>
  <conditionalFormatting sqref="E20">
    <cfRule type="cellIs" priority="5" operator="equal" aboveAverage="0" equalAverage="0" bottom="0" percent="0" rank="0" text="" dxfId="2">
      <formula>"OK"</formula>
    </cfRule>
    <cfRule type="cellIs" priority="6" operator="notEqual" aboveAverage="0" equalAverage="0" bottom="0" percent="0" rank="0" text="" dxfId="4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13" min="6" style="0" width="13"/>
    <col collapsed="false" customWidth="true" hidden="false" outlineLevel="0" max="14" min="14" style="0" width="11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325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61</v>
      </c>
      <c r="C4" s="4"/>
      <c r="D4" s="28" t="s">
        <v>326</v>
      </c>
      <c r="E4" s="28"/>
      <c r="F4" s="28"/>
      <c r="G4" s="28"/>
      <c r="I4" s="4" t="s">
        <v>62</v>
      </c>
      <c r="J4" s="4"/>
      <c r="K4" s="4"/>
      <c r="L4" s="29" t="n">
        <v>6</v>
      </c>
      <c r="M4" s="10" t="s">
        <v>63</v>
      </c>
      <c r="N4" s="10"/>
      <c r="O4" s="10"/>
    </row>
    <row r="5" customFormat="false" ht="21.75" hidden="false" customHeight="true" outlineLevel="0" collapsed="false">
      <c r="B5" s="4" t="s">
        <v>64</v>
      </c>
      <c r="C5" s="4"/>
      <c r="D5" s="28" t="s">
        <v>327</v>
      </c>
      <c r="E5" s="28"/>
      <c r="F5" s="28"/>
      <c r="G5" s="28"/>
      <c r="I5" s="4" t="s">
        <v>65</v>
      </c>
      <c r="J5" s="4"/>
      <c r="K5" s="4"/>
      <c r="L5" s="29" t="n">
        <v>4</v>
      </c>
      <c r="M5" s="10" t="s">
        <v>66</v>
      </c>
      <c r="N5" s="10"/>
      <c r="O5" s="10"/>
    </row>
    <row r="6" customFormat="false" ht="21.75" hidden="false" customHeight="true" outlineLevel="0" collapsed="false">
      <c r="B6" s="4" t="s">
        <v>67</v>
      </c>
      <c r="C6" s="4"/>
      <c r="D6" s="30" t="n">
        <v>46299</v>
      </c>
      <c r="E6" s="30"/>
      <c r="F6" s="30"/>
      <c r="G6" s="30"/>
      <c r="I6" s="10" t="s">
        <v>68</v>
      </c>
      <c r="J6" s="10"/>
      <c r="K6" s="10"/>
      <c r="L6" s="10"/>
      <c r="M6" s="10"/>
      <c r="N6" s="10"/>
      <c r="O6" s="10"/>
    </row>
    <row r="7" customFormat="false" ht="21.75" hidden="false" customHeight="true" outlineLevel="0" collapsed="false">
      <c r="B7" s="4" t="s">
        <v>69</v>
      </c>
      <c r="C7" s="4"/>
      <c r="D7" s="28" t="s">
        <v>328</v>
      </c>
      <c r="E7" s="28"/>
      <c r="F7" s="28"/>
      <c r="G7" s="28"/>
      <c r="I7" s="10" t="s">
        <v>70</v>
      </c>
      <c r="J7" s="10"/>
      <c r="K7" s="10"/>
      <c r="L7" s="10"/>
      <c r="M7" s="10"/>
      <c r="N7" s="10"/>
      <c r="O7" s="10"/>
    </row>
    <row r="9" customFormat="false" ht="21.75" hidden="false" customHeight="true" outlineLevel="0" collapsed="false">
      <c r="B9" s="12" t="s">
        <v>71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30" hidden="false" customHeight="true" outlineLevel="0" collapsed="false">
      <c r="B10" s="13" t="s">
        <v>72</v>
      </c>
      <c r="C10" s="13" t="s">
        <v>73</v>
      </c>
      <c r="D10" s="13" t="s">
        <v>74</v>
      </c>
      <c r="E10" s="13" t="s">
        <v>75</v>
      </c>
      <c r="F10" s="14" t="s">
        <v>76</v>
      </c>
      <c r="G10" s="14" t="s">
        <v>77</v>
      </c>
      <c r="H10" s="14" t="s">
        <v>78</v>
      </c>
      <c r="I10" s="14" t="s">
        <v>79</v>
      </c>
      <c r="J10" s="14" t="s">
        <v>80</v>
      </c>
      <c r="K10" s="14" t="s">
        <v>81</v>
      </c>
      <c r="L10" s="14" t="s">
        <v>82</v>
      </c>
      <c r="M10" s="14" t="s">
        <v>83</v>
      </c>
      <c r="N10" s="15" t="s">
        <v>84</v>
      </c>
      <c r="O10" s="13" t="s">
        <v>85</v>
      </c>
    </row>
    <row r="11" customFormat="false" ht="33" hidden="false" customHeight="true" outlineLevel="0" collapsed="false">
      <c r="B11" s="16" t="s">
        <v>86</v>
      </c>
      <c r="C11" s="16"/>
      <c r="D11" s="16"/>
      <c r="E11" s="16"/>
      <c r="F11" s="29" t="s">
        <v>137</v>
      </c>
      <c r="G11" s="29" t="s">
        <v>213</v>
      </c>
      <c r="H11" s="29" t="s">
        <v>329</v>
      </c>
      <c r="I11" s="29" t="s">
        <v>229</v>
      </c>
      <c r="J11" s="29"/>
      <c r="K11" s="29"/>
      <c r="L11" s="29"/>
      <c r="M11" s="29"/>
      <c r="N11" s="6"/>
      <c r="O11" s="6"/>
    </row>
    <row r="12" customFormat="false" ht="33" hidden="false" customHeight="true" outlineLevel="0" collapsed="false">
      <c r="B12" s="16" t="s">
        <v>87</v>
      </c>
      <c r="C12" s="16"/>
      <c r="D12" s="16"/>
      <c r="E12" s="16"/>
      <c r="F12" s="29" t="s">
        <v>167</v>
      </c>
      <c r="G12" s="29" t="s">
        <v>167</v>
      </c>
      <c r="H12" s="29" t="s">
        <v>167</v>
      </c>
      <c r="I12" s="29" t="s">
        <v>330</v>
      </c>
      <c r="J12" s="29"/>
      <c r="K12" s="29"/>
      <c r="L12" s="29"/>
      <c r="M12" s="29"/>
      <c r="N12" s="6"/>
      <c r="O12" s="6"/>
    </row>
    <row r="13" customFormat="false" ht="33" hidden="false" customHeight="true" outlineLevel="0" collapsed="false">
      <c r="B13" s="16" t="s">
        <v>88</v>
      </c>
      <c r="C13" s="16"/>
      <c r="D13" s="16"/>
      <c r="E13" s="16"/>
      <c r="F13" s="29" t="s">
        <v>166</v>
      </c>
      <c r="G13" s="29" t="s">
        <v>331</v>
      </c>
      <c r="H13" s="29" t="s">
        <v>332</v>
      </c>
      <c r="I13" s="29" t="s">
        <v>333</v>
      </c>
      <c r="J13" s="29"/>
      <c r="K13" s="29"/>
      <c r="L13" s="29"/>
      <c r="M13" s="29"/>
      <c r="N13" s="6"/>
      <c r="O13" s="6"/>
    </row>
    <row r="14" customFormat="false" ht="19.5" hidden="false" customHeight="true" outlineLevel="0" collapsed="false">
      <c r="B14" s="17" t="s">
        <v>89</v>
      </c>
      <c r="C14" s="17" t="s">
        <v>90</v>
      </c>
      <c r="D14" s="17" t="s">
        <v>91</v>
      </c>
      <c r="E14" s="17" t="s">
        <v>92</v>
      </c>
      <c r="F14" s="17" t="s">
        <v>93</v>
      </c>
      <c r="G14" s="17" t="s">
        <v>93</v>
      </c>
      <c r="H14" s="17" t="s">
        <v>93</v>
      </c>
      <c r="I14" s="17" t="s">
        <v>93</v>
      </c>
      <c r="J14" s="17" t="s">
        <v>93</v>
      </c>
      <c r="K14" s="17" t="s">
        <v>93</v>
      </c>
      <c r="L14" s="17" t="s">
        <v>93</v>
      </c>
      <c r="M14" s="17" t="s">
        <v>93</v>
      </c>
      <c r="N14" s="17" t="s">
        <v>94</v>
      </c>
      <c r="O14" s="17"/>
    </row>
    <row r="15" customFormat="false" ht="21.75" hidden="false" customHeight="true" outlineLevel="0" collapsed="false">
      <c r="B15" s="10" t="s">
        <v>334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customFormat="false" ht="21.75" hidden="false" customHeight="true" outlineLevel="0" collapsed="false">
      <c r="B16" s="18" t="n">
        <v>1</v>
      </c>
      <c r="C16" s="28" t="s">
        <v>96</v>
      </c>
      <c r="D16" s="29" t="s">
        <v>97</v>
      </c>
      <c r="E16" s="29" t="s">
        <v>98</v>
      </c>
      <c r="F16" s="29" t="n">
        <v>3</v>
      </c>
      <c r="G16" s="29" t="n">
        <v>3</v>
      </c>
      <c r="H16" s="29" t="n">
        <v>3</v>
      </c>
      <c r="I16" s="29" t="n">
        <v>4</v>
      </c>
      <c r="J16" s="29"/>
      <c r="K16" s="29"/>
      <c r="L16" s="29"/>
      <c r="M16" s="29"/>
      <c r="N16" s="8" t="n">
        <f aca="false">IF(C16="","",COUNT(F16:M16))</f>
        <v>4</v>
      </c>
      <c r="O16" s="28"/>
    </row>
    <row r="17" customFormat="false" ht="21.75" hidden="false" customHeight="true" outlineLevel="0" collapsed="false">
      <c r="B17" s="18" t="n">
        <v>2</v>
      </c>
      <c r="C17" s="28" t="s">
        <v>335</v>
      </c>
      <c r="D17" s="29" t="s">
        <v>97</v>
      </c>
      <c r="E17" s="29" t="s">
        <v>98</v>
      </c>
      <c r="F17" s="29" t="n">
        <v>3</v>
      </c>
      <c r="G17" s="29" t="n">
        <v>5</v>
      </c>
      <c r="H17" s="29"/>
      <c r="I17" s="29"/>
      <c r="J17" s="29"/>
      <c r="K17" s="29"/>
      <c r="L17" s="29"/>
      <c r="M17" s="29"/>
      <c r="N17" s="8" t="n">
        <f aca="false">IF(C17="","",COUNT(F17:M17))</f>
        <v>2</v>
      </c>
      <c r="O17" s="28"/>
    </row>
    <row r="18" customFormat="false" ht="21.75" hidden="false" customHeight="true" outlineLevel="0" collapsed="false">
      <c r="B18" s="18" t="n">
        <v>3</v>
      </c>
      <c r="C18" s="28" t="s">
        <v>336</v>
      </c>
      <c r="D18" s="29" t="s">
        <v>97</v>
      </c>
      <c r="E18" s="29" t="s">
        <v>98</v>
      </c>
      <c r="F18" s="29" t="n">
        <v>3</v>
      </c>
      <c r="G18" s="29" t="n">
        <v>5</v>
      </c>
      <c r="H18" s="29"/>
      <c r="I18" s="29"/>
      <c r="J18" s="29"/>
      <c r="K18" s="29"/>
      <c r="L18" s="29"/>
      <c r="M18" s="29"/>
      <c r="N18" s="8" t="n">
        <f aca="false">IF(C18="","",COUNT(F18:M18))</f>
        <v>2</v>
      </c>
      <c r="O18" s="28"/>
    </row>
    <row r="19" customFormat="false" ht="21.75" hidden="false" customHeight="true" outlineLevel="0" collapsed="false">
      <c r="B19" s="18" t="n">
        <v>4</v>
      </c>
      <c r="C19" s="28" t="s">
        <v>337</v>
      </c>
      <c r="D19" s="29" t="s">
        <v>338</v>
      </c>
      <c r="E19" s="29" t="s">
        <v>339</v>
      </c>
      <c r="F19" s="29" t="n">
        <v>3</v>
      </c>
      <c r="G19" s="29"/>
      <c r="H19" s="29" t="n">
        <v>4</v>
      </c>
      <c r="I19" s="29" t="n">
        <v>3</v>
      </c>
      <c r="J19" s="29"/>
      <c r="K19" s="29"/>
      <c r="L19" s="29"/>
      <c r="M19" s="29"/>
      <c r="N19" s="8" t="n">
        <f aca="false">IF(C19="","",COUNT(F19:M19))</f>
        <v>3</v>
      </c>
      <c r="O19" s="28"/>
    </row>
    <row r="20" customFormat="false" ht="21.75" hidden="false" customHeight="true" outlineLevel="0" collapsed="false">
      <c r="B20" s="18" t="n">
        <v>5</v>
      </c>
      <c r="C20" s="28" t="s">
        <v>340</v>
      </c>
      <c r="D20" s="29" t="s">
        <v>338</v>
      </c>
      <c r="E20" s="29" t="s">
        <v>339</v>
      </c>
      <c r="F20" s="29" t="n">
        <v>3</v>
      </c>
      <c r="G20" s="29" t="n">
        <v>3</v>
      </c>
      <c r="H20" s="29" t="n">
        <v>5</v>
      </c>
      <c r="I20" s="29" t="n">
        <v>3</v>
      </c>
      <c r="J20" s="29"/>
      <c r="K20" s="29"/>
      <c r="L20" s="29"/>
      <c r="M20" s="29"/>
      <c r="N20" s="8" t="n">
        <f aca="false">IF(C20="","",COUNT(F20:M20))</f>
        <v>4</v>
      </c>
      <c r="O20" s="28"/>
    </row>
    <row r="21" customFormat="false" ht="21.75" hidden="false" customHeight="true" outlineLevel="0" collapsed="false">
      <c r="B21" s="18" t="n">
        <v>6</v>
      </c>
      <c r="C21" s="28" t="s">
        <v>341</v>
      </c>
      <c r="D21" s="29" t="s">
        <v>338</v>
      </c>
      <c r="E21" s="29" t="s">
        <v>339</v>
      </c>
      <c r="F21" s="29" t="n">
        <v>3</v>
      </c>
      <c r="G21" s="29"/>
      <c r="H21" s="29" t="n">
        <v>2</v>
      </c>
      <c r="I21" s="29" t="n">
        <v>5</v>
      </c>
      <c r="J21" s="29"/>
      <c r="K21" s="29"/>
      <c r="L21" s="29"/>
      <c r="M21" s="29"/>
      <c r="N21" s="8" t="n">
        <f aca="false">IF(C21="","",COUNT(F21:M21))</f>
        <v>3</v>
      </c>
      <c r="O21" s="28"/>
    </row>
    <row r="22" customFormat="false" ht="21.75" hidden="false" customHeight="true" outlineLevel="0" collapsed="false">
      <c r="B22" s="18" t="n">
        <v>7</v>
      </c>
      <c r="C22" s="28" t="s">
        <v>342</v>
      </c>
      <c r="D22" s="29" t="s">
        <v>343</v>
      </c>
      <c r="E22" s="29" t="s">
        <v>98</v>
      </c>
      <c r="F22" s="29" t="n">
        <v>3</v>
      </c>
      <c r="G22" s="29"/>
      <c r="H22" s="29"/>
      <c r="I22" s="29"/>
      <c r="J22" s="29"/>
      <c r="K22" s="29"/>
      <c r="L22" s="29"/>
      <c r="M22" s="29"/>
      <c r="N22" s="8" t="n">
        <f aca="false">IF(C22="","",COUNT(F22:M22))</f>
        <v>1</v>
      </c>
      <c r="O22" s="28"/>
    </row>
    <row r="23" customFormat="false" ht="21.75" hidden="false" customHeight="true" outlineLevel="0" collapsed="false">
      <c r="B23" s="18" t="n">
        <v>8</v>
      </c>
      <c r="C23" s="28" t="s">
        <v>344</v>
      </c>
      <c r="D23" s="29" t="s">
        <v>343</v>
      </c>
      <c r="E23" s="29" t="s">
        <v>98</v>
      </c>
      <c r="F23" s="29" t="n">
        <v>3</v>
      </c>
      <c r="G23" s="29"/>
      <c r="H23" s="29"/>
      <c r="I23" s="29"/>
      <c r="J23" s="29"/>
      <c r="K23" s="29"/>
      <c r="L23" s="29"/>
      <c r="M23" s="29"/>
      <c r="N23" s="8" t="n">
        <f aca="false">IF(C23="","",COUNT(F23:M23))</f>
        <v>1</v>
      </c>
      <c r="O23" s="28"/>
    </row>
    <row r="24" customFormat="false" ht="21.75" hidden="false" customHeight="true" outlineLevel="0" collapsed="false">
      <c r="B24" s="18" t="n">
        <v>9</v>
      </c>
      <c r="C24" s="28" t="s">
        <v>345</v>
      </c>
      <c r="D24" s="29" t="s">
        <v>343</v>
      </c>
      <c r="E24" s="29" t="s">
        <v>98</v>
      </c>
      <c r="F24" s="29" t="n">
        <v>2</v>
      </c>
      <c r="G24" s="29"/>
      <c r="H24" s="29"/>
      <c r="I24" s="29"/>
      <c r="J24" s="29"/>
      <c r="K24" s="29"/>
      <c r="L24" s="29"/>
      <c r="M24" s="29"/>
      <c r="N24" s="8" t="n">
        <f aca="false">IF(C24="","",COUNT(F24:M24))</f>
        <v>1</v>
      </c>
      <c r="O24" s="28"/>
    </row>
    <row r="25" customFormat="false" ht="21.75" hidden="false" customHeight="true" outlineLevel="0" collapsed="false">
      <c r="B25" s="18" t="n">
        <v>10</v>
      </c>
      <c r="C25" s="28" t="s">
        <v>346</v>
      </c>
      <c r="D25" s="29" t="s">
        <v>97</v>
      </c>
      <c r="E25" s="29" t="s">
        <v>98</v>
      </c>
      <c r="F25" s="29"/>
      <c r="G25" s="29"/>
      <c r="H25" s="29"/>
      <c r="I25" s="29"/>
      <c r="J25" s="29"/>
      <c r="K25" s="29"/>
      <c r="L25" s="29"/>
      <c r="M25" s="29"/>
      <c r="N25" s="8" t="n">
        <f aca="false">IF(C25="","",COUNT(F25:M25))</f>
        <v>0</v>
      </c>
      <c r="O25" s="28"/>
    </row>
    <row r="26" customFormat="false" ht="21.75" hidden="false" customHeight="true" outlineLevel="0" collapsed="false">
      <c r="B26" s="18" t="n">
        <v>11</v>
      </c>
      <c r="C26" s="28" t="s">
        <v>347</v>
      </c>
      <c r="D26" s="29" t="s">
        <v>348</v>
      </c>
      <c r="E26" s="29" t="s">
        <v>339</v>
      </c>
      <c r="F26" s="29" t="n">
        <v>3</v>
      </c>
      <c r="G26" s="29"/>
      <c r="H26" s="29" t="n">
        <v>2</v>
      </c>
      <c r="I26" s="29"/>
      <c r="J26" s="29"/>
      <c r="K26" s="29"/>
      <c r="L26" s="29"/>
      <c r="M26" s="29"/>
      <c r="N26" s="8" t="n">
        <f aca="false">IF(C26="","",COUNT(F26:M26))</f>
        <v>2</v>
      </c>
      <c r="O26" s="28"/>
    </row>
    <row r="27" customFormat="false" ht="21.75" hidden="false" customHeight="true" outlineLevel="0" collapsed="false">
      <c r="B27" s="18" t="n">
        <v>12</v>
      </c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8" t="str">
        <f aca="false">IF(C27="","",COUNT(F27:M27))</f>
        <v/>
      </c>
      <c r="O27" s="28"/>
    </row>
    <row r="28" customFormat="false" ht="21.75" hidden="false" customHeight="true" outlineLevel="0" collapsed="false">
      <c r="B28" s="18" t="n">
        <v>13</v>
      </c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8" t="str">
        <f aca="false">IF(C28="","",COUNT(F28:M28))</f>
        <v/>
      </c>
      <c r="O28" s="28"/>
    </row>
    <row r="29" customFormat="false" ht="21.75" hidden="false" customHeight="true" outlineLevel="0" collapsed="false">
      <c r="B29" s="18" t="n">
        <v>14</v>
      </c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8" t="str">
        <f aca="false">IF(C29="","",COUNT(F29:M29))</f>
        <v/>
      </c>
      <c r="O29" s="28"/>
    </row>
    <row r="30" customFormat="false" ht="21.75" hidden="false" customHeight="true" outlineLevel="0" collapsed="false">
      <c r="B30" s="18" t="n">
        <v>15</v>
      </c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8" t="str">
        <f aca="false">IF(C30="","",COUNT(F30:M30))</f>
        <v/>
      </c>
      <c r="O30" s="28"/>
    </row>
    <row r="31" customFormat="false" ht="21.75" hidden="false" customHeight="true" outlineLevel="0" collapsed="false">
      <c r="B31" s="18" t="n">
        <v>16</v>
      </c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8" t="str">
        <f aca="false">IF(C31="","",COUNT(F31:M31))</f>
        <v/>
      </c>
      <c r="O31" s="28"/>
    </row>
    <row r="33" customFormat="false" ht="21.75" hidden="false" customHeight="true" outlineLevel="0" collapsed="false">
      <c r="B33" s="12" t="s">
        <v>99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customFormat="false" ht="21.75" hidden="false" customHeight="true" outlineLevel="0" collapsed="false">
      <c r="B34" s="16" t="s">
        <v>100</v>
      </c>
      <c r="C34" s="16"/>
      <c r="D34" s="16"/>
      <c r="E34" s="16"/>
      <c r="F34" s="8" t="n">
        <f aca="false">IF(COUNT(F16:F31)=0,"",COUNT(F16:F31))</f>
        <v>10</v>
      </c>
      <c r="G34" s="8" t="n">
        <f aca="false">IF(COUNT(G16:G31)=0,"",COUNT(G16:G31))</f>
        <v>4</v>
      </c>
      <c r="H34" s="8" t="n">
        <f aca="false">IF(COUNT(H16:H31)=0,"",COUNT(H16:H31))</f>
        <v>5</v>
      </c>
      <c r="I34" s="8" t="n">
        <f aca="false">IF(COUNT(I16:I31)=0,"",COUNT(I16:I31))</f>
        <v>4</v>
      </c>
      <c r="J34" s="8" t="str">
        <f aca="false">IF(COUNT(J16:J31)=0,"",COUNT(J16:J31))</f>
        <v/>
      </c>
      <c r="K34" s="8" t="str">
        <f aca="false">IF(COUNT(K16:K31)=0,"",COUNT(K16:K31))</f>
        <v/>
      </c>
      <c r="L34" s="8" t="str">
        <f aca="false">IF(COUNT(L16:L31)=0,"",COUNT(L16:L31))</f>
        <v/>
      </c>
      <c r="M34" s="8" t="str">
        <f aca="false">IF(COUNT(M16:M31)=0,"",COUNT(M16:M31))</f>
        <v/>
      </c>
      <c r="N34" s="6"/>
      <c r="O34" s="6"/>
    </row>
    <row r="35" customFormat="false" ht="21.75" hidden="false" customHeight="true" outlineLevel="0" collapsed="false">
      <c r="B35" s="16" t="s">
        <v>101</v>
      </c>
      <c r="C35" s="16"/>
      <c r="D35" s="16"/>
      <c r="E35" s="16"/>
      <c r="F35" s="19" t="n">
        <f aca="false">IF(F34="","",COUNTIFS($E$16:$E$31,"Sim",F16:F31,"&gt;0"))</f>
        <v>6</v>
      </c>
      <c r="G35" s="19" t="n">
        <f aca="false">IF(G34="","",COUNTIFS($E$16:$E$31,"Sim",G16:G31,"&gt;0"))</f>
        <v>3</v>
      </c>
      <c r="H35" s="19" t="n">
        <f aca="false">IF(H34="","",COUNTIFS($E$16:$E$31,"Sim",H16:H31,"&gt;0"))</f>
        <v>1</v>
      </c>
      <c r="I35" s="19" t="n">
        <f aca="false">IF(I34="","",COUNTIFS($E$16:$E$31,"Sim",I16:I31,"&gt;0"))</f>
        <v>1</v>
      </c>
      <c r="J35" s="19" t="str">
        <f aca="false">IF(J34="","",COUNTIFS($E$16:$E$31,"Sim",J16:J31,"&gt;0"))</f>
        <v/>
      </c>
      <c r="K35" s="19" t="str">
        <f aca="false">IF(K34="","",COUNTIFS($E$16:$E$31,"Sim",K16:K31,"&gt;0"))</f>
        <v/>
      </c>
      <c r="L35" s="19" t="str">
        <f aca="false">IF(L34="","",COUNTIFS($E$16:$E$31,"Sim",L16:L31,"&gt;0"))</f>
        <v/>
      </c>
      <c r="M35" s="19" t="str">
        <f aca="false">IF(M34="","",COUNTIFS($E$16:$E$31,"Sim",M16:M31,"&gt;0"))</f>
        <v/>
      </c>
      <c r="N35" s="6"/>
      <c r="O35" s="6"/>
    </row>
    <row r="36" customFormat="false" ht="21.75" hidden="false" customHeight="true" outlineLevel="0" collapsed="false">
      <c r="B36" s="16" t="s">
        <v>102</v>
      </c>
      <c r="C36" s="16"/>
      <c r="D36" s="16"/>
      <c r="E36" s="16"/>
      <c r="F36" s="19" t="n">
        <f aca="false">IF(F34="","",COUNTIF(F16:F31,"&gt;=4"))</f>
        <v>0</v>
      </c>
      <c r="G36" s="19" t="n">
        <f aca="false">IF(G34="","",COUNTIF(G16:G31,"&gt;=4"))</f>
        <v>2</v>
      </c>
      <c r="H36" s="19" t="n">
        <f aca="false">IF(H34="","",COUNTIF(H16:H31,"&gt;=4"))</f>
        <v>2</v>
      </c>
      <c r="I36" s="19" t="n">
        <f aca="false">IF(I34="","",COUNTIF(I16:I31,"&gt;=4"))</f>
        <v>2</v>
      </c>
      <c r="J36" s="19" t="str">
        <f aca="false">IF(J34="","",COUNTIF(J16:J31,"&gt;=4"))</f>
        <v/>
      </c>
      <c r="K36" s="19" t="str">
        <f aca="false">IF(K34="","",COUNTIF(K16:K31,"&gt;=4"))</f>
        <v/>
      </c>
      <c r="L36" s="19" t="str">
        <f aca="false">IF(L34="","",COUNTIF(L16:L31,"&gt;=4"))</f>
        <v/>
      </c>
      <c r="M36" s="19" t="str">
        <f aca="false">IF(M34="","",COUNTIF(M16:M31,"&gt;=4"))</f>
        <v/>
      </c>
      <c r="N36" s="6"/>
      <c r="O36" s="6"/>
    </row>
    <row r="37" customFormat="false" ht="21.75" hidden="false" customHeight="true" outlineLevel="0" collapsed="false">
      <c r="B37" s="16" t="s">
        <v>103</v>
      </c>
      <c r="C37" s="16"/>
      <c r="D37" s="16"/>
      <c r="E37" s="16"/>
      <c r="F37" s="19" t="str">
        <f aca="false">IF(F34="","",IF(COUNTIFS($D$16:$D$31,"Ambiente",F16:F31,"&gt;0")&gt;0,"Sim","Não"))</f>
        <v>Não</v>
      </c>
      <c r="G37" s="19" t="str">
        <f aca="false">IF(G34="","",IF(COUNTIFS($D$16:$D$31,"Ambiente",G16:G31,"&gt;0")&gt;0,"Sim","Não"))</f>
        <v>Não</v>
      </c>
      <c r="H37" s="19" t="str">
        <f aca="false">IF(H34="","",IF(COUNTIFS($D$16:$D$31,"Ambiente",H16:H31,"&gt;0")&gt;0,"Sim","Não"))</f>
        <v>Não</v>
      </c>
      <c r="I37" s="19" t="str">
        <f aca="false">IF(I34="","",IF(COUNTIFS($D$16:$D$31,"Ambiente",I16:I31,"&gt;0")&gt;0,"Sim","Não"))</f>
        <v>Não</v>
      </c>
      <c r="J37" s="19" t="str">
        <f aca="false">IF(J34="","",IF(COUNTIFS($D$16:$D$31,"Ambiente",J16:J31,"&gt;0")&gt;0,"Sim","Não"))</f>
        <v/>
      </c>
      <c r="K37" s="19" t="str">
        <f aca="false">IF(K34="","",IF(COUNTIFS($D$16:$D$31,"Ambiente",K16:K31,"&gt;0")&gt;0,"Sim","Não"))</f>
        <v/>
      </c>
      <c r="L37" s="19" t="str">
        <f aca="false">IF(L34="","",IF(COUNTIFS($D$16:$D$31,"Ambiente",L16:L31,"&gt;0")&gt;0,"Sim","Não"))</f>
        <v/>
      </c>
      <c r="M37" s="19" t="str">
        <f aca="false">IF(M34="","",IF(COUNTIFS($D$16:$D$31,"Ambiente",M16:M31,"&gt;0")&gt;0,"Sim","Não"))</f>
        <v/>
      </c>
      <c r="N37" s="6"/>
      <c r="O37" s="6"/>
    </row>
    <row r="38" customFormat="false" ht="30" hidden="false" customHeight="true" outlineLevel="0" collapsed="false">
      <c r="B38" s="16" t="s">
        <v>104</v>
      </c>
      <c r="C38" s="16"/>
      <c r="D38" s="16"/>
      <c r="E38" s="16"/>
      <c r="F38" s="20" t="str">
        <f aca="false">IF(F34="","",IF(F12="","Informe o tipo",IF(OR(F12="In-ear com fio",F12="In-ear sem fio",F12="Pessoal"),IF(F34&lt;$L$5,"Incompleto",IF(F37="Não","Sem ambiente",IF(F36=0,"Sem principal","OK"))),IF(F34&gt;$L$4,"Cheio",IF(F36=0,"Sem principal","OK")))))</f>
        <v>Cheio</v>
      </c>
      <c r="G38" s="20" t="str">
        <f aca="false">IF(G34="","",IF(G12="","Informe o tipo",IF(OR(G12="In-ear com fio",G12="In-ear sem fio",G12="Pessoal"),IF(G34&lt;$L$5,"Incompleto",IF(G37="Não","Sem ambiente",IF(G36=0,"Sem principal","OK"))),IF(G34&gt;$L$4,"Cheio",IF(G36=0,"Sem principal","OK")))))</f>
        <v>OK</v>
      </c>
      <c r="H38" s="20" t="str">
        <f aca="false">IF(H34="","",IF(H12="","Informe o tipo",IF(OR(H12="In-ear com fio",H12="In-ear sem fio",H12="Pessoal"),IF(H34&lt;$L$5,"Incompleto",IF(H37="Não","Sem ambiente",IF(H36=0,"Sem principal","OK"))),IF(H34&gt;$L$4,"Cheio",IF(H36=0,"Sem principal","OK")))))</f>
        <v>OK</v>
      </c>
      <c r="I38" s="20" t="str">
        <f aca="false">IF(I34="","",IF(I12="","Informe o tipo",IF(OR(I12="In-ear com fio",I12="In-ear sem fio",I12="Pessoal"),IF(I34&lt;$L$5,"Incompleto",IF(I37="Não","Sem ambiente",IF(I36=0,"Sem principal","OK"))),IF(I34&gt;$L$4,"Cheio",IF(I36=0,"Sem principal","OK")))))</f>
        <v>Sem ambiente</v>
      </c>
      <c r="J38" s="20" t="str">
        <f aca="false">IF(J34="","",IF(J12="","Informe o tipo",IF(OR(J12="In-ear com fio",J12="In-ear sem fio",J12="Pessoal"),IF(J34&lt;$L$5,"Incompleto",IF(J37="Não","Sem ambiente",IF(J36=0,"Sem principal","OK"))),IF(J34&gt;$L$4,"Cheio",IF(J36=0,"Sem principal","OK")))))</f>
        <v/>
      </c>
      <c r="K38" s="20" t="str">
        <f aca="false">IF(K34="","",IF(K12="","Informe o tipo",IF(OR(K12="In-ear com fio",K12="In-ear sem fio",K12="Pessoal"),IF(K34&lt;$L$5,"Incompleto",IF(K37="Não","Sem ambiente",IF(K36=0,"Sem principal","OK"))),IF(K34&gt;$L$4,"Cheio",IF(K36=0,"Sem principal","OK")))))</f>
        <v/>
      </c>
      <c r="L38" s="20" t="str">
        <f aca="false">IF(L34="","",IF(L12="","Informe o tipo",IF(OR(L12="In-ear com fio",L12="In-ear sem fio",L12="Pessoal"),IF(L34&lt;$L$5,"Incompleto",IF(L37="Não","Sem ambiente",IF(L36=0,"Sem principal","OK"))),IF(L34&gt;$L$4,"Cheio",IF(L36=0,"Sem principal","OK")))))</f>
        <v/>
      </c>
      <c r="M38" s="20" t="str">
        <f aca="false">IF(M34="","",IF(M12="","Informe o tipo",IF(OR(M12="In-ear com fio",M12="In-ear sem fio",M12="Pessoal"),IF(M34&lt;$L$5,"Incompleto",IF(M37="Não","Sem ambiente",IF(M36=0,"Sem principal","OK"))),IF(M34&gt;$L$4,"Cheio",IF(M36=0,"Sem principal","OK")))))</f>
        <v/>
      </c>
      <c r="N38" s="6"/>
      <c r="O38" s="6"/>
    </row>
    <row r="40" customFormat="false" ht="21.75" hidden="false" customHeight="true" outlineLevel="0" collapsed="false">
      <c r="B40" s="12" t="s">
        <v>105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customFormat="false" ht="21.75" hidden="false" customHeight="true" outlineLevel="0" collapsed="false">
      <c r="B41" s="8" t="s">
        <v>106</v>
      </c>
      <c r="C41" s="8" t="s">
        <v>107</v>
      </c>
      <c r="D41" s="8" t="s">
        <v>104</v>
      </c>
      <c r="E41" s="8"/>
      <c r="F41" s="8" t="s">
        <v>108</v>
      </c>
      <c r="G41" s="8"/>
      <c r="H41" s="8"/>
      <c r="I41" s="8"/>
      <c r="J41" s="8"/>
      <c r="K41" s="8"/>
      <c r="L41" s="8"/>
      <c r="M41" s="8"/>
      <c r="N41" s="8"/>
      <c r="O41" s="8"/>
    </row>
    <row r="42" customFormat="false" ht="21.75" hidden="false" customHeight="true" outlineLevel="0" collapsed="false">
      <c r="B42" s="18" t="n">
        <v>1</v>
      </c>
      <c r="C42" s="6" t="str">
        <f aca="false">IF(F11="","",F11)</f>
        <v>Cantora</v>
      </c>
      <c r="D42" s="20" t="str">
        <f aca="false">IF(F38="","",F38)</f>
        <v>Cheio</v>
      </c>
      <c r="E42" s="20"/>
      <c r="F42" s="21" t="str">
        <f aca="false">IF(D42="","",IF(D42="Cheio","Fontes demais para uma caixa: tire o que o músico não pediu e o que ele já ouve no palco",IF(D42="Incompleto","O fone isola o músico: complete com harmonia, baixo, tempo e a voz que conduz",IF(D42="Sem ambiente","Inclua um canal do tipo Ambiente neste mix, em nível baixo",IF(D42="Sem principal","Nenhuma fonte no nível 4 ou 5: defina o que o músico mais precisa ouvir, em geral ele mesmo",IF(D42="Informe o tipo","Escolha o tipo de retorno na linha 12","Manter"))))))</f>
        <v>Fontes demais para uma caixa: tire o que o músico não pediu e o que ele já ouve no palco</v>
      </c>
      <c r="G42" s="21"/>
      <c r="H42" s="21"/>
      <c r="I42" s="21"/>
      <c r="J42" s="21"/>
      <c r="K42" s="21"/>
      <c r="L42" s="21"/>
      <c r="M42" s="21"/>
      <c r="N42" s="21"/>
      <c r="O42" s="21"/>
    </row>
    <row r="43" customFormat="false" ht="21.75" hidden="false" customHeight="true" outlineLevel="0" collapsed="false">
      <c r="B43" s="18" t="n">
        <v>2</v>
      </c>
      <c r="C43" s="6" t="str">
        <f aca="false">IF(G11="","",G11)</f>
        <v>Vozes de apoio</v>
      </c>
      <c r="D43" s="20" t="str">
        <f aca="false">IF(G38="","",G38)</f>
        <v>OK</v>
      </c>
      <c r="E43" s="20"/>
      <c r="F43" s="21" t="str">
        <f aca="false">IF(D43="","",IF(D43="Cheio","Fontes demais para uma caixa: tire o que o músico não pediu e o que ele já ouve no palco",IF(D43="Incompleto","O fone isola o músico: complete com harmonia, baixo, tempo e a voz que conduz",IF(D43="Sem ambiente","Inclua um canal do tipo Ambiente neste mix, em nível baixo",IF(D43="Sem principal","Nenhuma fonte no nível 4 ou 5: defina o que o músico mais precisa ouvir, em geral ele mesmo",IF(D43="Informe o tipo","Escolha o tipo de retorno na linha 12","Manter"))))))</f>
        <v>Manter</v>
      </c>
      <c r="G43" s="21"/>
      <c r="H43" s="21"/>
      <c r="I43" s="21"/>
      <c r="J43" s="21"/>
      <c r="K43" s="21"/>
      <c r="L43" s="21"/>
      <c r="M43" s="21"/>
      <c r="N43" s="21"/>
      <c r="O43" s="21"/>
    </row>
    <row r="44" customFormat="false" ht="21.75" hidden="false" customHeight="true" outlineLevel="0" collapsed="false">
      <c r="B44" s="18" t="n">
        <v>3</v>
      </c>
      <c r="C44" s="6" t="str">
        <f aca="false">IF(H11="","",H11)</f>
        <v>Tecladista e violonista</v>
      </c>
      <c r="D44" s="20" t="str">
        <f aca="false">IF(H38="","",H38)</f>
        <v>OK</v>
      </c>
      <c r="E44" s="20"/>
      <c r="F44" s="21" t="str">
        <f aca="false">IF(D44="","",IF(D44="Cheio","Fontes demais para uma caixa: tire o que o músico não pediu e o que ele já ouve no palco",IF(D44="Incompleto","O fone isola o músico: complete com harmonia, baixo, tempo e a voz que conduz",IF(D44="Sem ambiente","Inclua um canal do tipo Ambiente neste mix, em nível baixo",IF(D44="Sem principal","Nenhuma fonte no nível 4 ou 5: defina o que o músico mais precisa ouvir, em geral ele mesmo",IF(D44="Informe o tipo","Escolha o tipo de retorno na linha 12","Manter"))))))</f>
        <v>Manter</v>
      </c>
      <c r="G44" s="21"/>
      <c r="H44" s="21"/>
      <c r="I44" s="21"/>
      <c r="J44" s="21"/>
      <c r="K44" s="21"/>
      <c r="L44" s="21"/>
      <c r="M44" s="21"/>
      <c r="N44" s="21"/>
      <c r="O44" s="21"/>
    </row>
    <row r="45" customFormat="false" ht="21.75" hidden="false" customHeight="true" outlineLevel="0" collapsed="false">
      <c r="B45" s="18" t="n">
        <v>4</v>
      </c>
      <c r="C45" s="6" t="str">
        <f aca="false">IF(I11="","",I11)</f>
        <v>Baterista</v>
      </c>
      <c r="D45" s="20" t="str">
        <f aca="false">IF(I38="","",I38)</f>
        <v>Sem ambiente</v>
      </c>
      <c r="E45" s="20"/>
      <c r="F45" s="21" t="str">
        <f aca="false">IF(D45="","",IF(D45="Cheio","Fontes demais para uma caixa: tire o que o músico não pediu e o que ele já ouve no palco",IF(D45="Incompleto","O fone isola o músico: complete com harmonia, baixo, tempo e a voz que conduz",IF(D45="Sem ambiente","Inclua um canal do tipo Ambiente neste mix, em nível baixo",IF(D45="Sem principal","Nenhuma fonte no nível 4 ou 5: defina o que o músico mais precisa ouvir, em geral ele mesmo",IF(D45="Informe o tipo","Escolha o tipo de retorno na linha 12","Manter"))))))</f>
        <v>Inclua um canal do tipo Ambiente neste mix, em nível baixo</v>
      </c>
      <c r="G45" s="21"/>
      <c r="H45" s="21"/>
      <c r="I45" s="21"/>
      <c r="J45" s="21"/>
      <c r="K45" s="21"/>
      <c r="L45" s="21"/>
      <c r="M45" s="21"/>
      <c r="N45" s="21"/>
      <c r="O45" s="21"/>
    </row>
    <row r="46" customFormat="false" ht="21.75" hidden="false" customHeight="true" outlineLevel="0" collapsed="false">
      <c r="B46" s="18" t="n">
        <v>5</v>
      </c>
      <c r="C46" s="6" t="str">
        <f aca="false">IF(J11="","",J11)</f>
        <v/>
      </c>
      <c r="D46" s="20" t="str">
        <f aca="false">IF(J38="","",J38)</f>
        <v/>
      </c>
      <c r="E46" s="20"/>
      <c r="F46" s="21" t="str">
        <f aca="false">IF(D46="","",IF(D46="Cheio","Fontes demais para uma caixa: tire o que o músico não pediu e o que ele já ouve no palco",IF(D46="Incompleto","O fone isola o músico: complete com harmonia, baixo, tempo e a voz que conduz",IF(D46="Sem ambiente","Inclua um canal do tipo Ambiente neste mix, em nível baixo",IF(D46="Sem principal","Nenhuma fonte no nível 4 ou 5: defina o que o músico mais precisa ouvir, em geral ele mesmo",IF(D46="Informe o tipo","Escolha o tipo de retorno na linha 12","Manter"))))))</f>
        <v/>
      </c>
      <c r="G46" s="21"/>
      <c r="H46" s="21"/>
      <c r="I46" s="21"/>
      <c r="J46" s="21"/>
      <c r="K46" s="21"/>
      <c r="L46" s="21"/>
      <c r="M46" s="21"/>
      <c r="N46" s="21"/>
      <c r="O46" s="21"/>
    </row>
    <row r="47" customFormat="false" ht="21.75" hidden="false" customHeight="true" outlineLevel="0" collapsed="false">
      <c r="B47" s="18" t="n">
        <v>6</v>
      </c>
      <c r="C47" s="6" t="str">
        <f aca="false">IF(K11="","",K11)</f>
        <v/>
      </c>
      <c r="D47" s="20" t="str">
        <f aca="false">IF(K38="","",K38)</f>
        <v/>
      </c>
      <c r="E47" s="20"/>
      <c r="F47" s="21" t="str">
        <f aca="false">IF(D47="","",IF(D47="Cheio","Fontes demais para uma caixa: tire o que o músico não pediu e o que ele já ouve no palco",IF(D47="Incompleto","O fone isola o músico: complete com harmonia, baixo, tempo e a voz que conduz",IF(D47="Sem ambiente","Inclua um canal do tipo Ambiente neste mix, em nível baixo",IF(D47="Sem principal","Nenhuma fonte no nível 4 ou 5: defina o que o músico mais precisa ouvir, em geral ele mesmo",IF(D47="Informe o tipo","Escolha o tipo de retorno na linha 12","Manter"))))))</f>
        <v/>
      </c>
      <c r="G47" s="21"/>
      <c r="H47" s="21"/>
      <c r="I47" s="21"/>
      <c r="J47" s="21"/>
      <c r="K47" s="21"/>
      <c r="L47" s="21"/>
      <c r="M47" s="21"/>
      <c r="N47" s="21"/>
      <c r="O47" s="21"/>
    </row>
    <row r="48" customFormat="false" ht="21.75" hidden="false" customHeight="true" outlineLevel="0" collapsed="false">
      <c r="B48" s="18" t="n">
        <v>7</v>
      </c>
      <c r="C48" s="6" t="str">
        <f aca="false">IF(L11="","",L11)</f>
        <v/>
      </c>
      <c r="D48" s="20" t="str">
        <f aca="false">IF(L38="","",L38)</f>
        <v/>
      </c>
      <c r="E48" s="20"/>
      <c r="F48" s="21" t="str">
        <f aca="false">IF(D48="","",IF(D48="Cheio","Fontes demais para uma caixa: tire o que o músico não pediu e o que ele já ouve no palco",IF(D48="Incompleto","O fone isola o músico: complete com harmonia, baixo, tempo e a voz que conduz",IF(D48="Sem ambiente","Inclua um canal do tipo Ambiente neste mix, em nível baixo",IF(D48="Sem principal","Nenhuma fonte no nível 4 ou 5: defina o que o músico mais precisa ouvir, em geral ele mesmo",IF(D48="Informe o tipo","Escolha o tipo de retorno na linha 12","Manter"))))))</f>
        <v/>
      </c>
      <c r="G48" s="21"/>
      <c r="H48" s="21"/>
      <c r="I48" s="21"/>
      <c r="J48" s="21"/>
      <c r="K48" s="21"/>
      <c r="L48" s="21"/>
      <c r="M48" s="21"/>
      <c r="N48" s="21"/>
      <c r="O48" s="21"/>
    </row>
    <row r="49" customFormat="false" ht="21.75" hidden="false" customHeight="true" outlineLevel="0" collapsed="false">
      <c r="B49" s="18" t="n">
        <v>8</v>
      </c>
      <c r="C49" s="6" t="str">
        <f aca="false">IF(M11="","",M11)</f>
        <v/>
      </c>
      <c r="D49" s="20" t="str">
        <f aca="false">IF(M38="","",M38)</f>
        <v/>
      </c>
      <c r="E49" s="20"/>
      <c r="F49" s="21" t="str">
        <f aca="false">IF(D49="","",IF(D49="Cheio","Fontes demais para uma caixa: tire o que o músico não pediu e o que ele já ouve no palco",IF(D49="Incompleto","O fone isola o músico: complete com harmonia, baixo, tempo e a voz que conduz",IF(D49="Sem ambiente","Inclua um canal do tipo Ambiente neste mix, em nível baixo",IF(D49="Sem principal","Nenhuma fonte no nível 4 ou 5: defina o que o músico mais precisa ouvir, em geral ele mesmo",IF(D49="Informe o tipo","Escolha o tipo de retorno na linha 12","Manter"))))))</f>
        <v/>
      </c>
      <c r="G49" s="21"/>
      <c r="H49" s="21"/>
      <c r="I49" s="21"/>
      <c r="J49" s="21"/>
      <c r="K49" s="21"/>
      <c r="L49" s="21"/>
      <c r="M49" s="21"/>
      <c r="N49" s="21"/>
      <c r="O49" s="21"/>
    </row>
    <row r="51" customFormat="false" ht="21.75" hidden="false" customHeight="true" outlineLevel="0" collapsed="false">
      <c r="B51" s="12" t="s">
        <v>109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customFormat="false" ht="19.5" hidden="false" customHeight="true" outlineLevel="0" collapsed="false">
      <c r="B52" s="16" t="s">
        <v>110</v>
      </c>
      <c r="C52" s="16"/>
      <c r="D52" s="16"/>
      <c r="E52" s="16"/>
      <c r="F52" s="8" t="n">
        <f aca="false">COUNTA(C16:C31)</f>
        <v>11</v>
      </c>
    </row>
    <row r="53" customFormat="false" ht="19.5" hidden="false" customHeight="true" outlineLevel="0" collapsed="false">
      <c r="B53" s="16" t="s">
        <v>111</v>
      </c>
      <c r="C53" s="16"/>
      <c r="D53" s="16"/>
      <c r="E53" s="16"/>
      <c r="F53" s="8" t="n">
        <f aca="false">COUNTIF(N16:N31,0)</f>
        <v>1</v>
      </c>
    </row>
    <row r="54" customFormat="false" ht="19.5" hidden="false" customHeight="true" outlineLevel="0" collapsed="false">
      <c r="B54" s="16" t="s">
        <v>112</v>
      </c>
      <c r="C54" s="16"/>
      <c r="D54" s="16"/>
      <c r="E54" s="16"/>
      <c r="F54" s="8" t="n">
        <f aca="false">COUNT(F34:M34)</f>
        <v>4</v>
      </c>
    </row>
    <row r="55" customFormat="false" ht="19.5" hidden="false" customHeight="true" outlineLevel="0" collapsed="false">
      <c r="B55" s="16" t="s">
        <v>113</v>
      </c>
      <c r="C55" s="16"/>
      <c r="D55" s="16"/>
      <c r="E55" s="16"/>
      <c r="F55" s="8" t="n">
        <f aca="false">COUNTIF(F38:M38,"OK")</f>
        <v>2</v>
      </c>
    </row>
    <row r="56" customFormat="false" ht="19.5" hidden="false" customHeight="true" outlineLevel="0" collapsed="false">
      <c r="B56" s="16" t="s">
        <v>114</v>
      </c>
      <c r="C56" s="16"/>
      <c r="D56" s="16"/>
      <c r="E56" s="16"/>
      <c r="F56" s="8" t="n">
        <f aca="false">F54-F55</f>
        <v>2</v>
      </c>
    </row>
    <row r="57" customFormat="false" ht="21.75" hidden="false" customHeight="true" outlineLevel="0" collapsed="false">
      <c r="B57" s="16" t="s">
        <v>115</v>
      </c>
      <c r="C57" s="16"/>
      <c r="D57" s="16"/>
      <c r="E57" s="16"/>
      <c r="F57" s="21" t="str">
        <f aca="false">IF(F52=0,"Liste os canais",IF(F54=0,"Preencha os níveis de pelo menos um mix",IF(F56&gt;0,"Há mix a ajustar: veja o que fazer em cada um","OK")))</f>
        <v>Há mix a ajustar: veja o que fazer em cada um</v>
      </c>
      <c r="G57" s="21"/>
      <c r="H57" s="21"/>
      <c r="I57" s="21"/>
      <c r="J57" s="21"/>
      <c r="K57" s="21"/>
      <c r="L57" s="21"/>
      <c r="M57" s="21"/>
      <c r="N57" s="21"/>
      <c r="O57" s="21"/>
    </row>
    <row r="59" customFormat="false" ht="21.75" hidden="false" customHeight="true" outlineLevel="0" collapsed="false">
      <c r="B59" s="12" t="s">
        <v>349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customFormat="false" ht="21.75" hidden="false" customHeight="true" outlineLevel="0" collapsed="false">
      <c r="B60" s="8" t="s">
        <v>106</v>
      </c>
      <c r="C60" s="8"/>
      <c r="D60" s="8" t="s">
        <v>350</v>
      </c>
      <c r="E60" s="8"/>
      <c r="F60" s="8"/>
      <c r="G60" s="8"/>
      <c r="H60" s="8"/>
      <c r="I60" s="8"/>
      <c r="J60" s="8"/>
      <c r="K60" s="8"/>
      <c r="L60" s="8" t="s">
        <v>351</v>
      </c>
      <c r="M60" s="8"/>
      <c r="N60" s="8"/>
      <c r="O60" s="8"/>
    </row>
    <row r="61" customFormat="false" ht="31.5" hidden="false" customHeight="true" outlineLevel="0" collapsed="false">
      <c r="B61" s="4" t="s">
        <v>76</v>
      </c>
      <c r="C61" s="4"/>
      <c r="D61" s="7" t="s">
        <v>352</v>
      </c>
      <c r="E61" s="7"/>
      <c r="F61" s="7"/>
      <c r="G61" s="7"/>
      <c r="H61" s="7"/>
      <c r="I61" s="7"/>
      <c r="J61" s="7"/>
      <c r="K61" s="7"/>
      <c r="L61" s="7" t="s">
        <v>353</v>
      </c>
      <c r="M61" s="7"/>
      <c r="N61" s="7"/>
      <c r="O61" s="7"/>
    </row>
    <row r="62" customFormat="false" ht="31.5" hidden="false" customHeight="true" outlineLevel="0" collapsed="false">
      <c r="B62" s="4" t="s">
        <v>77</v>
      </c>
      <c r="C62" s="4"/>
      <c r="D62" s="7" t="s">
        <v>354</v>
      </c>
      <c r="E62" s="7"/>
      <c r="F62" s="7"/>
      <c r="G62" s="7"/>
      <c r="H62" s="7"/>
      <c r="I62" s="7"/>
      <c r="J62" s="7"/>
      <c r="K62" s="7"/>
      <c r="L62" s="7" t="s">
        <v>355</v>
      </c>
      <c r="M62" s="7"/>
      <c r="N62" s="7"/>
      <c r="O62" s="7"/>
    </row>
    <row r="63" customFormat="false" ht="31.5" hidden="false" customHeight="true" outlineLevel="0" collapsed="false">
      <c r="B63" s="4" t="s">
        <v>78</v>
      </c>
      <c r="C63" s="4"/>
      <c r="D63" s="7" t="s">
        <v>354</v>
      </c>
      <c r="E63" s="7"/>
      <c r="F63" s="7"/>
      <c r="G63" s="7"/>
      <c r="H63" s="7"/>
      <c r="I63" s="7"/>
      <c r="J63" s="7"/>
      <c r="K63" s="7"/>
      <c r="L63" s="7" t="s">
        <v>356</v>
      </c>
      <c r="M63" s="7"/>
      <c r="N63" s="7"/>
      <c r="O63" s="7"/>
    </row>
    <row r="64" customFormat="false" ht="31.5" hidden="false" customHeight="true" outlineLevel="0" collapsed="false">
      <c r="B64" s="4" t="s">
        <v>79</v>
      </c>
      <c r="C64" s="4"/>
      <c r="D64" s="7" t="s">
        <v>357</v>
      </c>
      <c r="E64" s="7"/>
      <c r="F64" s="7"/>
      <c r="G64" s="7"/>
      <c r="H64" s="7"/>
      <c r="I64" s="7"/>
      <c r="J64" s="7"/>
      <c r="K64" s="7"/>
      <c r="L64" s="7" t="s">
        <v>358</v>
      </c>
      <c r="M64" s="7"/>
      <c r="N64" s="7"/>
      <c r="O64" s="7"/>
    </row>
    <row r="65" customFormat="false" ht="31.5" hidden="false" customHeight="true" outlineLevel="0" collapsed="false">
      <c r="B65" s="4" t="s">
        <v>359</v>
      </c>
      <c r="C65" s="4"/>
      <c r="D65" s="7" t="s">
        <v>360</v>
      </c>
      <c r="E65" s="7"/>
      <c r="F65" s="7"/>
      <c r="G65" s="7"/>
      <c r="H65" s="7"/>
      <c r="I65" s="7"/>
      <c r="J65" s="7"/>
      <c r="K65" s="7"/>
      <c r="L65" s="7" t="s">
        <v>361</v>
      </c>
      <c r="M65" s="7"/>
      <c r="N65" s="7"/>
      <c r="O65" s="7"/>
    </row>
  </sheetData>
  <mergeCells count="73">
    <mergeCell ref="B1:O1"/>
    <mergeCell ref="B2:O2"/>
    <mergeCell ref="B4:C4"/>
    <mergeCell ref="D4:G4"/>
    <mergeCell ref="I4:K4"/>
    <mergeCell ref="M4:O4"/>
    <mergeCell ref="B5:C5"/>
    <mergeCell ref="D5:G5"/>
    <mergeCell ref="I5:K5"/>
    <mergeCell ref="M5:O5"/>
    <mergeCell ref="B6:C6"/>
    <mergeCell ref="D6:G6"/>
    <mergeCell ref="I6:O6"/>
    <mergeCell ref="B7:C7"/>
    <mergeCell ref="D7:G7"/>
    <mergeCell ref="I7:O7"/>
    <mergeCell ref="B9:O9"/>
    <mergeCell ref="B11:E11"/>
    <mergeCell ref="B12:E12"/>
    <mergeCell ref="B13:E13"/>
    <mergeCell ref="B15:O15"/>
    <mergeCell ref="B33:O33"/>
    <mergeCell ref="B34:E34"/>
    <mergeCell ref="B35:E35"/>
    <mergeCell ref="B36:E36"/>
    <mergeCell ref="B37:E37"/>
    <mergeCell ref="B38:E38"/>
    <mergeCell ref="B40:O40"/>
    <mergeCell ref="D41:E41"/>
    <mergeCell ref="F41:O41"/>
    <mergeCell ref="D42:E42"/>
    <mergeCell ref="F42:O42"/>
    <mergeCell ref="D43:E43"/>
    <mergeCell ref="F43:O43"/>
    <mergeCell ref="D44:E44"/>
    <mergeCell ref="F44:O44"/>
    <mergeCell ref="D45:E45"/>
    <mergeCell ref="F45:O45"/>
    <mergeCell ref="D46:E46"/>
    <mergeCell ref="F46:O46"/>
    <mergeCell ref="D47:E47"/>
    <mergeCell ref="F47:O47"/>
    <mergeCell ref="D48:E48"/>
    <mergeCell ref="F48:O48"/>
    <mergeCell ref="D49:E49"/>
    <mergeCell ref="F49:O49"/>
    <mergeCell ref="B51:O51"/>
    <mergeCell ref="B52:E52"/>
    <mergeCell ref="B53:E53"/>
    <mergeCell ref="B54:E54"/>
    <mergeCell ref="B55:E55"/>
    <mergeCell ref="B56:E56"/>
    <mergeCell ref="B57:E57"/>
    <mergeCell ref="F57:O57"/>
    <mergeCell ref="B59:O59"/>
    <mergeCell ref="B60:C60"/>
    <mergeCell ref="D60:K60"/>
    <mergeCell ref="L60:O60"/>
    <mergeCell ref="B61:C61"/>
    <mergeCell ref="D61:K61"/>
    <mergeCell ref="L61:O61"/>
    <mergeCell ref="B62:C62"/>
    <mergeCell ref="D62:K62"/>
    <mergeCell ref="L62:O62"/>
    <mergeCell ref="B63:C63"/>
    <mergeCell ref="D63:K63"/>
    <mergeCell ref="L63:O63"/>
    <mergeCell ref="B64:C64"/>
    <mergeCell ref="D64:K64"/>
    <mergeCell ref="L64:O64"/>
    <mergeCell ref="B65:C65"/>
    <mergeCell ref="D65:K65"/>
    <mergeCell ref="L65:O65"/>
  </mergeCells>
  <conditionalFormatting sqref="F16:M31">
    <cfRule type="cellIs" priority="2" operator="greaterThanOrEqual" aboveAverage="0" equalAverage="0" bottom="0" percent="0" rank="0" text="" dxfId="0">
      <formula>4</formula>
    </cfRule>
    <cfRule type="cellIs" priority="3" operator="between" aboveAverage="0" equalAverage="0" bottom="0" percent="0" rank="0" text="" dxfId="1">
      <formula>1</formula>
      <formula>3</formula>
    </cfRule>
  </conditionalFormatting>
  <conditionalFormatting sqref="F38:M38">
    <cfRule type="cellIs" priority="4" operator="equal" aboveAverage="0" equalAverage="0" bottom="0" percent="0" rank="0" text="" dxfId="2">
      <formula>"OK"</formula>
    </cfRule>
    <cfRule type="cellIs" priority="5" operator="equal" aboveAverage="0" equalAverage="0" bottom="0" percent="0" rank="0" text="" dxfId="3">
      <formula>"Cheio"</formula>
    </cfRule>
    <cfRule type="cellIs" priority="6" operator="equal" aboveAverage="0" equalAverage="0" bottom="0" percent="0" rank="0" text="" dxfId="4">
      <formula>"Incompleto"</formula>
    </cfRule>
    <cfRule type="cellIs" priority="7" operator="equal" aboveAverage="0" equalAverage="0" bottom="0" percent="0" rank="0" text="" dxfId="4">
      <formula>"Sem ambiente"</formula>
    </cfRule>
    <cfRule type="cellIs" priority="8" operator="equal" aboveAverage="0" equalAverage="0" bottom="0" percent="0" rank="0" text="" dxfId="4">
      <formula>"Sem principal"</formula>
    </cfRule>
    <cfRule type="cellIs" priority="9" operator="equal" aboveAverage="0" equalAverage="0" bottom="0" percent="0" rank="0" text="" dxfId="4">
      <formula>"Informe o tipo"</formula>
    </cfRule>
  </conditionalFormatting>
  <conditionalFormatting sqref="D42:E49">
    <cfRule type="cellIs" priority="10" operator="equal" aboveAverage="0" equalAverage="0" bottom="0" percent="0" rank="0" text="" dxfId="2">
      <formula>"OK"</formula>
    </cfRule>
    <cfRule type="cellIs" priority="11" operator="equal" aboveAverage="0" equalAverage="0" bottom="0" percent="0" rank="0" text="" dxfId="3">
      <formula>"Cheio"</formula>
    </cfRule>
    <cfRule type="cellIs" priority="12" operator="equal" aboveAverage="0" equalAverage="0" bottom="0" percent="0" rank="0" text="" dxfId="4">
      <formula>"Incompleto"</formula>
    </cfRule>
    <cfRule type="cellIs" priority="13" operator="equal" aboveAverage="0" equalAverage="0" bottom="0" percent="0" rank="0" text="" dxfId="4">
      <formula>"Sem ambiente"</formula>
    </cfRule>
    <cfRule type="cellIs" priority="14" operator="equal" aboveAverage="0" equalAverage="0" bottom="0" percent="0" rank="0" text="" dxfId="4">
      <formula>"Sem principal"</formula>
    </cfRule>
    <cfRule type="cellIs" priority="15" operator="equal" aboveAverage="0" equalAverage="0" bottom="0" percent="0" rank="0" text="" dxfId="4">
      <formula>"Informe o tipo"</formula>
    </cfRule>
  </conditionalFormatting>
  <conditionalFormatting sqref="F57:O57">
    <cfRule type="cellIs" priority="16" operator="equal" aboveAverage="0" equalAverage="0" bottom="0" percent="0" rank="0" text="" dxfId="2">
      <formula>"OK"</formula>
    </cfRule>
    <cfRule type="cellIs" priority="17" operator="notEqual" aboveAverage="0" equalAverage="0" bottom="0" percent="0" rank="0" text="" dxfId="4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um número inteiro de 1 a 32." errorStyle="stop" errorTitle="Valor inválido" operator="between" showDropDown="false" showErrorMessage="true" showInputMessage="false" sqref="L4:L5" type="whole">
      <formula1>1</formula1>
      <formula2>32</formula2>
    </dataValidation>
    <dataValidation allowBlank="true" error="Escolha uma das opções da lista." errorStyle="stop" errorTitle="Valor inválido" operator="between" prompt="Caixa de chão, Side fill, Drum fill, In-ear com fio, In-ear sem fio ou Pessoal." promptTitle="Opções" showDropDown="false" showErrorMessage="true" showInputMessage="true" sqref="F12:M12" type="list">
      <formula1>"Caixa de chão,Side fill,Drum fill,In-ear com fio,In-ear sem fio,Pessoal"</formula1>
      <formula2>0</formula2>
    </dataValidation>
    <dataValidation allowBlank="true" error="Escolha uma das opções da lista." errorStyle="stop" errorTitle="Valor inválido" operator="between" prompt="Voz, Instrumento, Bateria, Linha ou DI, Mídia ou Ambiente." promptTitle="Opções" showDropDown="false" showErrorMessage="true" showInputMessage="true" sqref="D16:D31" type="list">
      <formula1>"Voz,Instrumento,Bateria,Linha ou DI,Mídia,Ambiente"</formula1>
      <formula2>0</formula2>
    </dataValidation>
    <dataValidation allowBlank="true" error="Escolha uma das opções da lista." errorStyle="stop" errorTitle="Valor inválido" operator="between" prompt="O canal é um microfone aberto no palco?" promptTitle="Opções" showDropDown="false" showErrorMessage="true" showInputMessage="true" sqref="E16:E31" type="list">
      <formula1>"Sim,Não"</formula1>
      <formula2>0</formula2>
    </dataValidation>
    <dataValidation allowBlank="true" error="Digite um nível de 1 a 5, ou deixe vazio." errorStyle="stop" errorTitle="Valor inválido" operator="between" showDropDown="false" showErrorMessage="true" showInputMessage="false" sqref="F16:M31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2026-10-01T12:59:10Z</dcterms:created>
  <dc:creator>Estudos: Técnico em áudio e vídeo</dc:creator>
  <dc:description/>
  <dc:language>pt-BR</dc:language>
  <cp:lastModifiedBy/>
  <dcterms:modified xsi:type="dcterms:W3CDTF">2026-10-01T12:59:10Z</dcterms:modified>
  <cp:revision>0</cp:revision>
  <dc:subject/>
  <dc:title>Monitores e retornos — modelo de matriz de retornos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